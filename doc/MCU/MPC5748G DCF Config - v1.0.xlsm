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T:\MPC - 5\DCF config\"/>
    </mc:Choice>
  </mc:AlternateContent>
  <xr:revisionPtr revIDLastSave="0" documentId="10_ncr:100000_{14D9A0D7-F840-4EAC-A2CF-FB14366A6107}" xr6:coauthVersionLast="31" xr6:coauthVersionMax="31" xr10:uidLastSave="{00000000-0000-0000-0000-000000000000}"/>
  <bookViews>
    <workbookView xWindow="0" yWindow="0" windowWidth="24870" windowHeight="11955" activeTab="2" xr2:uid="{00000000-000D-0000-FFFF-FFFF00000000}"/>
  </bookViews>
  <sheets>
    <sheet name="ReleaseNotes" sheetId="6" r:id="rId1"/>
    <sheet name="HowToUse" sheetId="5" r:id="rId2"/>
    <sheet name="DCF" sheetId="1" r:id="rId3"/>
    <sheet name="Sheet3" sheetId="3" state="hidden" r:id="rId4"/>
    <sheet name="Miscellaneous_clients" sheetId="2" state="hidden" r:id="rId5"/>
    <sheet name="STCU_clients" sheetId="4" state="hidden" r:id="rId6"/>
    <sheet name="PASS_clients" sheetId="7" state="hidden" r:id="rId7"/>
  </sheets>
  <functionGroups builtInGroupCount="19"/>
  <definedNames>
    <definedName name="client_list">Sheet3!$F$9:$F$112</definedName>
    <definedName name="client_list1">Sheet3!$F$9</definedName>
    <definedName name="Miscellaneous_list">Sheet3!$G$9:$G$112</definedName>
    <definedName name="Miscellaneous1">Sheet3!$G$9</definedName>
    <definedName name="module_list">Sheet3!$C$9:$C$11</definedName>
    <definedName name="module1">Sheet3!$C$9</definedName>
    <definedName name="PASS_list">Sheet3!$I$9:$I$112</definedName>
    <definedName name="PASS1">Sheet3!$I$9</definedName>
    <definedName name="STCU_list">Sheet3!$H$9:$H$112</definedName>
    <definedName name="STCU1">Sheet3!$H$9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0" i="2" l="1"/>
  <c r="F39" i="2"/>
  <c r="V25" i="1" l="1"/>
  <c r="P25" i="1"/>
  <c r="K25" i="1"/>
  <c r="G25" i="1"/>
  <c r="V24" i="1"/>
  <c r="P24" i="1"/>
  <c r="K24" i="1"/>
  <c r="G24" i="1"/>
  <c r="G29" i="1" s="1"/>
  <c r="V23" i="1"/>
  <c r="P23" i="1"/>
  <c r="K23" i="1"/>
  <c r="G23" i="1"/>
  <c r="J11" i="1"/>
  <c r="G30" i="1" l="1"/>
  <c r="G28" i="1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U2304" i="4"/>
  <c r="O2304" i="4"/>
  <c r="J2304" i="4"/>
  <c r="F2304" i="4"/>
  <c r="I2292" i="4"/>
  <c r="U2282" i="4"/>
  <c r="O2282" i="4"/>
  <c r="J2282" i="4"/>
  <c r="F2282" i="4"/>
  <c r="I2270" i="4"/>
  <c r="U2260" i="4"/>
  <c r="O2260" i="4"/>
  <c r="J2260" i="4"/>
  <c r="F2260" i="4"/>
  <c r="I2248" i="4"/>
  <c r="U2238" i="4"/>
  <c r="O2238" i="4"/>
  <c r="J2238" i="4"/>
  <c r="F2238" i="4"/>
  <c r="I2226" i="4"/>
  <c r="U2216" i="4"/>
  <c r="O2216" i="4"/>
  <c r="J2216" i="4"/>
  <c r="F2216" i="4"/>
  <c r="I2204" i="4"/>
  <c r="U2194" i="4"/>
  <c r="O2194" i="4"/>
  <c r="J2194" i="4"/>
  <c r="F2194" i="4"/>
  <c r="I2182" i="4"/>
  <c r="U2172" i="4"/>
  <c r="O2172" i="4"/>
  <c r="J2172" i="4"/>
  <c r="F2172" i="4"/>
  <c r="I2160" i="4"/>
  <c r="U2150" i="4"/>
  <c r="O2150" i="4"/>
  <c r="J2150" i="4"/>
  <c r="F2150" i="4"/>
  <c r="I2138" i="4"/>
  <c r="U2128" i="4"/>
  <c r="O2128" i="4"/>
  <c r="J2128" i="4"/>
  <c r="F2128" i="4"/>
  <c r="I2116" i="4"/>
  <c r="U2106" i="4"/>
  <c r="O2106" i="4"/>
  <c r="J2106" i="4"/>
  <c r="F2106" i="4"/>
  <c r="I2094" i="4"/>
  <c r="U2084" i="4"/>
  <c r="O2084" i="4"/>
  <c r="J2084" i="4"/>
  <c r="F2084" i="4"/>
  <c r="I2072" i="4"/>
  <c r="U2062" i="4"/>
  <c r="O2062" i="4"/>
  <c r="J2062" i="4"/>
  <c r="F2062" i="4"/>
  <c r="I2050" i="4"/>
  <c r="U2040" i="4"/>
  <c r="O2040" i="4"/>
  <c r="J2040" i="4"/>
  <c r="F2040" i="4"/>
  <c r="I2028" i="4"/>
  <c r="U2018" i="4"/>
  <c r="O2018" i="4"/>
  <c r="J2018" i="4"/>
  <c r="F2018" i="4"/>
  <c r="I2006" i="4"/>
  <c r="U1996" i="4"/>
  <c r="O1996" i="4"/>
  <c r="J1996" i="4"/>
  <c r="F1996" i="4"/>
  <c r="I1984" i="4"/>
  <c r="U1974" i="4"/>
  <c r="O1974" i="4"/>
  <c r="J1974" i="4"/>
  <c r="F1974" i="4"/>
  <c r="I1962" i="4"/>
  <c r="U1952" i="4"/>
  <c r="O1952" i="4"/>
  <c r="J1952" i="4"/>
  <c r="F1952" i="4"/>
  <c r="I1940" i="4"/>
  <c r="U1930" i="4"/>
  <c r="O1930" i="4"/>
  <c r="J1930" i="4"/>
  <c r="F1930" i="4"/>
  <c r="I1918" i="4"/>
  <c r="U1908" i="4"/>
  <c r="O1908" i="4"/>
  <c r="J1908" i="4"/>
  <c r="F1908" i="4"/>
  <c r="I1896" i="4"/>
  <c r="U1886" i="4"/>
  <c r="O1886" i="4"/>
  <c r="J1886" i="4"/>
  <c r="F1886" i="4"/>
  <c r="I1874" i="4"/>
  <c r="U1864" i="4"/>
  <c r="O1864" i="4"/>
  <c r="J1864" i="4"/>
  <c r="F1864" i="4"/>
  <c r="I1852" i="4"/>
  <c r="U1842" i="4"/>
  <c r="O1842" i="4"/>
  <c r="J1842" i="4"/>
  <c r="F1842" i="4"/>
  <c r="I1830" i="4"/>
  <c r="U1820" i="4"/>
  <c r="O1820" i="4"/>
  <c r="J1820" i="4"/>
  <c r="F1820" i="4"/>
  <c r="I1808" i="4"/>
  <c r="U1798" i="4"/>
  <c r="O1798" i="4"/>
  <c r="J1798" i="4"/>
  <c r="F1798" i="4"/>
  <c r="F1803" i="4" s="1"/>
  <c r="I1786" i="4"/>
  <c r="U1776" i="4"/>
  <c r="O1776" i="4"/>
  <c r="J1776" i="4"/>
  <c r="F1776" i="4"/>
  <c r="I1764" i="4"/>
  <c r="U1754" i="4"/>
  <c r="O1754" i="4"/>
  <c r="J1754" i="4"/>
  <c r="F1754" i="4"/>
  <c r="I1742" i="4"/>
  <c r="U1732" i="4"/>
  <c r="O1732" i="4"/>
  <c r="J1732" i="4"/>
  <c r="F1732" i="4"/>
  <c r="I1720" i="4"/>
  <c r="U1710" i="4"/>
  <c r="O1710" i="4"/>
  <c r="J1710" i="4"/>
  <c r="F1710" i="4"/>
  <c r="I1698" i="4"/>
  <c r="U1688" i="4"/>
  <c r="O1688" i="4"/>
  <c r="J1688" i="4"/>
  <c r="F1688" i="4"/>
  <c r="I1676" i="4"/>
  <c r="U236" i="4"/>
  <c r="O236" i="4"/>
  <c r="J236" i="4"/>
  <c r="F236" i="4"/>
  <c r="I224" i="4"/>
  <c r="F2089" i="4" l="1"/>
  <c r="F1759" i="4"/>
  <c r="F2243" i="4"/>
  <c r="F2221" i="4"/>
  <c r="F2309" i="4"/>
  <c r="F2287" i="4"/>
  <c r="F2265" i="4"/>
  <c r="F2199" i="4"/>
  <c r="F2177" i="4"/>
  <c r="F2155" i="4"/>
  <c r="F2133" i="4"/>
  <c r="F2111" i="4"/>
  <c r="F2067" i="4"/>
  <c r="F2045" i="4"/>
  <c r="F2023" i="4"/>
  <c r="F2001" i="4"/>
  <c r="F1979" i="4"/>
  <c r="F1957" i="4"/>
  <c r="F1935" i="4"/>
  <c r="F1913" i="4"/>
  <c r="F1891" i="4"/>
  <c r="F1869" i="4"/>
  <c r="F1847" i="4"/>
  <c r="F1825" i="4"/>
  <c r="F1781" i="4"/>
  <c r="F1737" i="4"/>
  <c r="F1715" i="4"/>
  <c r="F1693" i="4"/>
  <c r="F241" i="4"/>
  <c r="G11" i="3"/>
  <c r="G12" i="3"/>
  <c r="G13" i="3"/>
  <c r="G14" i="3"/>
  <c r="G15" i="3"/>
  <c r="G16" i="3"/>
  <c r="G17" i="3"/>
  <c r="G18" i="3"/>
  <c r="G19" i="3"/>
  <c r="G20" i="3"/>
  <c r="F62" i="2"/>
  <c r="F61" i="2"/>
  <c r="O40" i="2"/>
  <c r="O39" i="2"/>
  <c r="O38" i="2"/>
  <c r="T62" i="2" l="1"/>
  <c r="T61" i="2" l="1"/>
  <c r="U412" i="7" l="1"/>
  <c r="O412" i="7"/>
  <c r="J412" i="7"/>
  <c r="F412" i="7"/>
  <c r="I400" i="7"/>
  <c r="U390" i="7"/>
  <c r="O390" i="7"/>
  <c r="J390" i="7"/>
  <c r="F390" i="7"/>
  <c r="I378" i="7"/>
  <c r="U368" i="7"/>
  <c r="O368" i="7"/>
  <c r="J368" i="7"/>
  <c r="F368" i="7"/>
  <c r="I356" i="7"/>
  <c r="U346" i="7"/>
  <c r="O346" i="7"/>
  <c r="J346" i="7"/>
  <c r="F346" i="7"/>
  <c r="I334" i="7"/>
  <c r="U324" i="7"/>
  <c r="O324" i="7"/>
  <c r="J324" i="7"/>
  <c r="F324" i="7"/>
  <c r="I312" i="7"/>
  <c r="U302" i="7"/>
  <c r="O302" i="7"/>
  <c r="J302" i="7"/>
  <c r="F302" i="7"/>
  <c r="I290" i="7"/>
  <c r="U280" i="7"/>
  <c r="O280" i="7"/>
  <c r="J280" i="7"/>
  <c r="F280" i="7"/>
  <c r="I268" i="7"/>
  <c r="U258" i="7"/>
  <c r="O258" i="7"/>
  <c r="J258" i="7"/>
  <c r="F258" i="7"/>
  <c r="I246" i="7"/>
  <c r="U236" i="7"/>
  <c r="O236" i="7"/>
  <c r="J236" i="7"/>
  <c r="F236" i="7"/>
  <c r="I224" i="7"/>
  <c r="U214" i="7"/>
  <c r="O214" i="7"/>
  <c r="J214" i="7"/>
  <c r="F214" i="7"/>
  <c r="I202" i="7"/>
  <c r="U192" i="7"/>
  <c r="O192" i="7"/>
  <c r="J192" i="7"/>
  <c r="F192" i="7"/>
  <c r="I180" i="7"/>
  <c r="U170" i="7"/>
  <c r="O170" i="7"/>
  <c r="J170" i="7"/>
  <c r="F170" i="7"/>
  <c r="I158" i="7"/>
  <c r="U148" i="7"/>
  <c r="O148" i="7"/>
  <c r="J148" i="7"/>
  <c r="F148" i="7"/>
  <c r="F153" i="7" s="1"/>
  <c r="I136" i="7"/>
  <c r="U126" i="7"/>
  <c r="O126" i="7"/>
  <c r="J126" i="7"/>
  <c r="F126" i="7"/>
  <c r="I114" i="7"/>
  <c r="U104" i="7"/>
  <c r="O104" i="7"/>
  <c r="J104" i="7"/>
  <c r="F104" i="7"/>
  <c r="I92" i="7"/>
  <c r="U82" i="7"/>
  <c r="O82" i="7"/>
  <c r="J82" i="7"/>
  <c r="F82" i="7"/>
  <c r="I70" i="7"/>
  <c r="U60" i="7"/>
  <c r="O60" i="7"/>
  <c r="J60" i="7"/>
  <c r="F60" i="7"/>
  <c r="I48" i="7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U38" i="7"/>
  <c r="O38" i="7"/>
  <c r="J38" i="7"/>
  <c r="F38" i="7"/>
  <c r="I26" i="7"/>
  <c r="U16" i="7"/>
  <c r="O16" i="7"/>
  <c r="J16" i="7"/>
  <c r="F16" i="7"/>
  <c r="I4" i="7"/>
  <c r="F21" i="7" l="1"/>
  <c r="F197" i="7"/>
  <c r="F307" i="7"/>
  <c r="F417" i="7"/>
  <c r="F395" i="7"/>
  <c r="F373" i="7"/>
  <c r="F351" i="7"/>
  <c r="F329" i="7"/>
  <c r="F285" i="7"/>
  <c r="F263" i="7"/>
  <c r="F241" i="7"/>
  <c r="F219" i="7"/>
  <c r="F175" i="7"/>
  <c r="F131" i="7"/>
  <c r="F109" i="7"/>
  <c r="F87" i="7"/>
  <c r="F65" i="7"/>
  <c r="F43" i="7"/>
  <c r="T60" i="2" l="1"/>
  <c r="T18" i="2"/>
  <c r="T17" i="2"/>
  <c r="T16" i="2"/>
  <c r="AG13" i="2"/>
  <c r="U62" i="2" l="1"/>
  <c r="O62" i="2"/>
  <c r="J62" i="2"/>
  <c r="U61" i="2"/>
  <c r="O61" i="2"/>
  <c r="J61" i="2"/>
  <c r="U60" i="2"/>
  <c r="O60" i="2"/>
  <c r="J60" i="2"/>
  <c r="F60" i="2"/>
  <c r="U40" i="2"/>
  <c r="J40" i="2"/>
  <c r="U39" i="2"/>
  <c r="J39" i="2"/>
  <c r="U38" i="2"/>
  <c r="J38" i="2"/>
  <c r="F38" i="2"/>
  <c r="O18" i="2"/>
  <c r="O17" i="2"/>
  <c r="O16" i="2"/>
  <c r="F67" i="2" l="1"/>
  <c r="F65" i="2"/>
  <c r="U18" i="2"/>
  <c r="J18" i="2"/>
  <c r="F18" i="2"/>
  <c r="U17" i="2"/>
  <c r="J17" i="2"/>
  <c r="F17" i="2"/>
  <c r="U16" i="2"/>
  <c r="J16" i="2"/>
  <c r="F16" i="2"/>
  <c r="F44" i="2"/>
  <c r="F22" i="2" l="1"/>
  <c r="F66" i="2"/>
  <c r="F21" i="2"/>
  <c r="F23" i="2"/>
  <c r="F43" i="2"/>
  <c r="F45" i="2"/>
  <c r="U1666" i="4" l="1"/>
  <c r="O1666" i="4"/>
  <c r="J1666" i="4"/>
  <c r="F1666" i="4"/>
  <c r="U1644" i="4"/>
  <c r="O1644" i="4"/>
  <c r="J1644" i="4"/>
  <c r="F1644" i="4"/>
  <c r="U1622" i="4"/>
  <c r="O1622" i="4"/>
  <c r="J1622" i="4"/>
  <c r="F1622" i="4"/>
  <c r="U1600" i="4"/>
  <c r="O1600" i="4"/>
  <c r="J1600" i="4"/>
  <c r="F1600" i="4"/>
  <c r="U1578" i="4"/>
  <c r="O1578" i="4"/>
  <c r="J1578" i="4"/>
  <c r="F1578" i="4"/>
  <c r="U1556" i="4"/>
  <c r="O1556" i="4"/>
  <c r="J1556" i="4"/>
  <c r="F1556" i="4"/>
  <c r="U1534" i="4"/>
  <c r="O1534" i="4"/>
  <c r="J1534" i="4"/>
  <c r="F1534" i="4"/>
  <c r="U1512" i="4"/>
  <c r="O1512" i="4"/>
  <c r="J1512" i="4"/>
  <c r="F1512" i="4"/>
  <c r="U1490" i="4"/>
  <c r="O1490" i="4"/>
  <c r="J1490" i="4"/>
  <c r="F1490" i="4"/>
  <c r="U1468" i="4"/>
  <c r="O1468" i="4"/>
  <c r="J1468" i="4"/>
  <c r="F1468" i="4"/>
  <c r="U1446" i="4"/>
  <c r="O1446" i="4"/>
  <c r="J1446" i="4"/>
  <c r="F1446" i="4"/>
  <c r="U1424" i="4"/>
  <c r="O1424" i="4"/>
  <c r="J1424" i="4"/>
  <c r="F1424" i="4"/>
  <c r="U1402" i="4"/>
  <c r="O1402" i="4"/>
  <c r="J1402" i="4"/>
  <c r="F1402" i="4"/>
  <c r="U1380" i="4"/>
  <c r="O1380" i="4"/>
  <c r="J1380" i="4"/>
  <c r="F1380" i="4"/>
  <c r="U1358" i="4"/>
  <c r="O1358" i="4"/>
  <c r="J1358" i="4"/>
  <c r="F1358" i="4"/>
  <c r="U1336" i="4"/>
  <c r="O1336" i="4"/>
  <c r="J1336" i="4"/>
  <c r="F1336" i="4"/>
  <c r="U1314" i="4"/>
  <c r="O1314" i="4"/>
  <c r="J1314" i="4"/>
  <c r="F1314" i="4"/>
  <c r="U1292" i="4"/>
  <c r="O1292" i="4"/>
  <c r="J1292" i="4"/>
  <c r="F1292" i="4"/>
  <c r="U1270" i="4"/>
  <c r="O1270" i="4"/>
  <c r="J1270" i="4"/>
  <c r="F1270" i="4"/>
  <c r="U1248" i="4"/>
  <c r="O1248" i="4"/>
  <c r="J1248" i="4"/>
  <c r="F1248" i="4"/>
  <c r="U1226" i="4"/>
  <c r="O1226" i="4"/>
  <c r="J1226" i="4"/>
  <c r="F1226" i="4"/>
  <c r="U1204" i="4"/>
  <c r="O1204" i="4"/>
  <c r="J1204" i="4"/>
  <c r="F1204" i="4"/>
  <c r="U1182" i="4"/>
  <c r="O1182" i="4"/>
  <c r="J1182" i="4"/>
  <c r="F1182" i="4"/>
  <c r="U1160" i="4"/>
  <c r="O1160" i="4"/>
  <c r="J1160" i="4"/>
  <c r="F1160" i="4"/>
  <c r="U1138" i="4"/>
  <c r="O1138" i="4"/>
  <c r="J1138" i="4"/>
  <c r="F1138" i="4"/>
  <c r="U1116" i="4"/>
  <c r="O1116" i="4"/>
  <c r="J1116" i="4"/>
  <c r="F1116" i="4"/>
  <c r="U1094" i="4"/>
  <c r="O1094" i="4"/>
  <c r="J1094" i="4"/>
  <c r="F1094" i="4"/>
  <c r="U1072" i="4"/>
  <c r="O1072" i="4"/>
  <c r="J1072" i="4"/>
  <c r="F1072" i="4"/>
  <c r="U1050" i="4"/>
  <c r="O1050" i="4"/>
  <c r="J1050" i="4"/>
  <c r="F1050" i="4"/>
  <c r="U1028" i="4"/>
  <c r="O1028" i="4"/>
  <c r="J1028" i="4"/>
  <c r="F1028" i="4"/>
  <c r="U1006" i="4"/>
  <c r="O1006" i="4"/>
  <c r="J1006" i="4"/>
  <c r="F1006" i="4"/>
  <c r="U984" i="4"/>
  <c r="O984" i="4"/>
  <c r="J984" i="4"/>
  <c r="F984" i="4"/>
  <c r="U962" i="4"/>
  <c r="O962" i="4"/>
  <c r="J962" i="4"/>
  <c r="F962" i="4"/>
  <c r="U940" i="4"/>
  <c r="O940" i="4"/>
  <c r="J940" i="4"/>
  <c r="F940" i="4"/>
  <c r="U918" i="4"/>
  <c r="O918" i="4"/>
  <c r="J918" i="4"/>
  <c r="F918" i="4"/>
  <c r="U896" i="4"/>
  <c r="O896" i="4"/>
  <c r="J896" i="4"/>
  <c r="F896" i="4"/>
  <c r="U874" i="4"/>
  <c r="O874" i="4"/>
  <c r="J874" i="4"/>
  <c r="F874" i="4"/>
  <c r="U852" i="4"/>
  <c r="O852" i="4"/>
  <c r="J852" i="4"/>
  <c r="F852" i="4"/>
  <c r="U830" i="4"/>
  <c r="O830" i="4"/>
  <c r="J830" i="4"/>
  <c r="F830" i="4"/>
  <c r="U808" i="4"/>
  <c r="O808" i="4"/>
  <c r="J808" i="4"/>
  <c r="F808" i="4"/>
  <c r="U786" i="4"/>
  <c r="O786" i="4"/>
  <c r="J786" i="4"/>
  <c r="F786" i="4"/>
  <c r="U764" i="4"/>
  <c r="O764" i="4"/>
  <c r="J764" i="4"/>
  <c r="F764" i="4"/>
  <c r="U742" i="4"/>
  <c r="O742" i="4"/>
  <c r="J742" i="4"/>
  <c r="F742" i="4"/>
  <c r="U720" i="4"/>
  <c r="O720" i="4"/>
  <c r="J720" i="4"/>
  <c r="F720" i="4"/>
  <c r="U698" i="4"/>
  <c r="O698" i="4"/>
  <c r="J698" i="4"/>
  <c r="F698" i="4"/>
  <c r="U676" i="4"/>
  <c r="O676" i="4"/>
  <c r="J676" i="4"/>
  <c r="F676" i="4"/>
  <c r="U654" i="4"/>
  <c r="O654" i="4"/>
  <c r="J654" i="4"/>
  <c r="F654" i="4"/>
  <c r="U632" i="4"/>
  <c r="O632" i="4"/>
  <c r="J632" i="4"/>
  <c r="F632" i="4"/>
  <c r="U610" i="4"/>
  <c r="O610" i="4"/>
  <c r="J610" i="4"/>
  <c r="F610" i="4"/>
  <c r="U588" i="4"/>
  <c r="O588" i="4"/>
  <c r="J588" i="4"/>
  <c r="F588" i="4"/>
  <c r="U566" i="4"/>
  <c r="O566" i="4"/>
  <c r="J566" i="4"/>
  <c r="F566" i="4"/>
  <c r="U544" i="4"/>
  <c r="O544" i="4"/>
  <c r="J544" i="4"/>
  <c r="F544" i="4"/>
  <c r="U522" i="4"/>
  <c r="O522" i="4"/>
  <c r="J522" i="4"/>
  <c r="F522" i="4"/>
  <c r="U500" i="4"/>
  <c r="O500" i="4"/>
  <c r="J500" i="4"/>
  <c r="F500" i="4"/>
  <c r="U478" i="4"/>
  <c r="O478" i="4"/>
  <c r="J478" i="4"/>
  <c r="F478" i="4"/>
  <c r="U456" i="4"/>
  <c r="O456" i="4"/>
  <c r="J456" i="4"/>
  <c r="F456" i="4"/>
  <c r="U434" i="4"/>
  <c r="O434" i="4"/>
  <c r="J434" i="4"/>
  <c r="F434" i="4"/>
  <c r="U412" i="4"/>
  <c r="O412" i="4"/>
  <c r="J412" i="4"/>
  <c r="F412" i="4"/>
  <c r="U390" i="4"/>
  <c r="O390" i="4"/>
  <c r="J390" i="4"/>
  <c r="F390" i="4"/>
  <c r="U368" i="4"/>
  <c r="O368" i="4"/>
  <c r="J368" i="4"/>
  <c r="F368" i="4"/>
  <c r="U346" i="4"/>
  <c r="O346" i="4"/>
  <c r="J346" i="4"/>
  <c r="F346" i="4"/>
  <c r="U324" i="4"/>
  <c r="O324" i="4"/>
  <c r="J324" i="4"/>
  <c r="F324" i="4"/>
  <c r="U302" i="4"/>
  <c r="O302" i="4"/>
  <c r="J302" i="4"/>
  <c r="F302" i="4"/>
  <c r="U280" i="4"/>
  <c r="O280" i="4"/>
  <c r="J280" i="4"/>
  <c r="F280" i="4"/>
  <c r="U258" i="4"/>
  <c r="O258" i="4"/>
  <c r="J258" i="4"/>
  <c r="F258" i="4"/>
  <c r="U214" i="4"/>
  <c r="O214" i="4"/>
  <c r="J214" i="4"/>
  <c r="F214" i="4"/>
  <c r="U192" i="4"/>
  <c r="O192" i="4"/>
  <c r="J192" i="4"/>
  <c r="F192" i="4"/>
  <c r="U170" i="4"/>
  <c r="O170" i="4"/>
  <c r="J170" i="4"/>
  <c r="F170" i="4"/>
  <c r="U148" i="4"/>
  <c r="O148" i="4"/>
  <c r="J148" i="4"/>
  <c r="F148" i="4"/>
  <c r="F153" i="4" l="1"/>
  <c r="F307" i="4"/>
  <c r="F329" i="4"/>
  <c r="F395" i="4"/>
  <c r="F417" i="4"/>
  <c r="F549" i="4"/>
  <c r="F593" i="4"/>
  <c r="F615" i="4"/>
  <c r="F681" i="4"/>
  <c r="F703" i="4"/>
  <c r="F747" i="4"/>
  <c r="F835" i="4"/>
  <c r="F857" i="4"/>
  <c r="F945" i="4"/>
  <c r="F967" i="4"/>
  <c r="F1011" i="4"/>
  <c r="F1077" i="4"/>
  <c r="F1099" i="4"/>
  <c r="F1143" i="4"/>
  <c r="F1209" i="4"/>
  <c r="F1253" i="4"/>
  <c r="F1275" i="4"/>
  <c r="F1297" i="4"/>
  <c r="F1341" i="4"/>
  <c r="F1363" i="4"/>
  <c r="F1385" i="4"/>
  <c r="F1429" i="4"/>
  <c r="F1473" i="4"/>
  <c r="F1495" i="4"/>
  <c r="F1517" i="4"/>
  <c r="F1539" i="4"/>
  <c r="F1583" i="4"/>
  <c r="F1649" i="4"/>
  <c r="F1671" i="4"/>
  <c r="F483" i="4"/>
  <c r="F505" i="4"/>
  <c r="F197" i="4"/>
  <c r="F263" i="4"/>
  <c r="F351" i="4"/>
  <c r="F439" i="4"/>
  <c r="F527" i="4"/>
  <c r="F571" i="4"/>
  <c r="F659" i="4"/>
  <c r="F791" i="4"/>
  <c r="F879" i="4"/>
  <c r="F923" i="4"/>
  <c r="F1055" i="4"/>
  <c r="F1187" i="4"/>
  <c r="F1231" i="4"/>
  <c r="F1319" i="4"/>
  <c r="F1407" i="4"/>
  <c r="F1451" i="4"/>
  <c r="F1605" i="4"/>
  <c r="F1627" i="4"/>
  <c r="F175" i="4"/>
  <c r="F219" i="4"/>
  <c r="F285" i="4"/>
  <c r="F373" i="4"/>
  <c r="F461" i="4"/>
  <c r="F637" i="4"/>
  <c r="F725" i="4"/>
  <c r="F769" i="4"/>
  <c r="F813" i="4"/>
  <c r="F901" i="4"/>
  <c r="F989" i="4"/>
  <c r="F1033" i="4"/>
  <c r="F1121" i="4"/>
  <c r="F1165" i="4"/>
  <c r="F1561" i="4"/>
  <c r="G99" i="3"/>
  <c r="U60" i="4"/>
  <c r="O60" i="4"/>
  <c r="J60" i="4"/>
  <c r="I48" i="4"/>
  <c r="I70" i="4"/>
  <c r="F82" i="4"/>
  <c r="F87" i="4" s="1"/>
  <c r="J82" i="4"/>
  <c r="O82" i="4"/>
  <c r="U82" i="4"/>
  <c r="I92" i="4"/>
  <c r="F104" i="4"/>
  <c r="J104" i="4"/>
  <c r="O104" i="4"/>
  <c r="U104" i="4"/>
  <c r="I114" i="4"/>
  <c r="F126" i="4"/>
  <c r="J126" i="4"/>
  <c r="O126" i="4"/>
  <c r="U126" i="4"/>
  <c r="I136" i="4"/>
  <c r="I158" i="4"/>
  <c r="I180" i="4"/>
  <c r="I202" i="4"/>
  <c r="I246" i="4"/>
  <c r="I268" i="4"/>
  <c r="I290" i="4"/>
  <c r="I312" i="4"/>
  <c r="I334" i="4"/>
  <c r="I356" i="4"/>
  <c r="I378" i="4"/>
  <c r="I400" i="4"/>
  <c r="I422" i="4"/>
  <c r="I444" i="4"/>
  <c r="I466" i="4"/>
  <c r="I488" i="4"/>
  <c r="I510" i="4"/>
  <c r="I532" i="4"/>
  <c r="I554" i="4"/>
  <c r="I576" i="4"/>
  <c r="I598" i="4"/>
  <c r="I620" i="4"/>
  <c r="I642" i="4"/>
  <c r="I664" i="4"/>
  <c r="I686" i="4"/>
  <c r="I708" i="4"/>
  <c r="I730" i="4"/>
  <c r="I752" i="4"/>
  <c r="I774" i="4"/>
  <c r="I796" i="4"/>
  <c r="I818" i="4"/>
  <c r="I840" i="4"/>
  <c r="I862" i="4"/>
  <c r="I884" i="4"/>
  <c r="I906" i="4"/>
  <c r="I928" i="4"/>
  <c r="I950" i="4"/>
  <c r="I972" i="4"/>
  <c r="I994" i="4"/>
  <c r="I1016" i="4"/>
  <c r="I1038" i="4"/>
  <c r="I1060" i="4"/>
  <c r="I1082" i="4"/>
  <c r="I1104" i="4"/>
  <c r="I1126" i="4"/>
  <c r="I1148" i="4"/>
  <c r="I1170" i="4"/>
  <c r="I1192" i="4"/>
  <c r="I1214" i="4"/>
  <c r="I1236" i="4"/>
  <c r="I1258" i="4"/>
  <c r="I1280" i="4"/>
  <c r="I1302" i="4"/>
  <c r="I1324" i="4"/>
  <c r="I1346" i="4"/>
  <c r="I1368" i="4"/>
  <c r="I1390" i="4"/>
  <c r="I1412" i="4"/>
  <c r="I1434" i="4"/>
  <c r="I1456" i="4"/>
  <c r="I1478" i="4"/>
  <c r="I1500" i="4"/>
  <c r="I1522" i="4"/>
  <c r="I1544" i="4"/>
  <c r="I1566" i="4"/>
  <c r="I1588" i="4"/>
  <c r="I1610" i="4"/>
  <c r="I1632" i="4"/>
  <c r="I1654" i="4"/>
  <c r="F131" i="4" l="1"/>
  <c r="F65" i="4"/>
  <c r="F109" i="4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52" i="3"/>
  <c r="G53" i="3"/>
  <c r="G54" i="3"/>
  <c r="G55" i="3"/>
  <c r="G56" i="3"/>
  <c r="G57" i="3"/>
  <c r="G58" i="3"/>
  <c r="G59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21" i="3"/>
  <c r="N8" i="3" l="1"/>
  <c r="O8" i="3" s="1"/>
  <c r="M2" i="3" l="1"/>
  <c r="O2" i="3" l="1"/>
  <c r="M3" i="3" s="1"/>
  <c r="M4" i="3" s="1"/>
  <c r="M6" i="3" s="1"/>
  <c r="I2" i="3"/>
  <c r="I4" i="3" s="1"/>
  <c r="C30" i="1" l="1"/>
  <c r="C24" i="1"/>
  <c r="C29" i="1"/>
  <c r="C23" i="1"/>
  <c r="C28" i="1"/>
  <c r="C25" i="1"/>
  <c r="B2265" i="4"/>
  <c r="B2238" i="4"/>
  <c r="B2177" i="4"/>
  <c r="B2150" i="4"/>
  <c r="B2089" i="4"/>
  <c r="B2062" i="4"/>
  <c r="B2001" i="4"/>
  <c r="B1974" i="4"/>
  <c r="B1913" i="4"/>
  <c r="B1886" i="4"/>
  <c r="B1825" i="4"/>
  <c r="B1798" i="4"/>
  <c r="B1737" i="4"/>
  <c r="B1710" i="4"/>
  <c r="B2287" i="4"/>
  <c r="B2260" i="4"/>
  <c r="B2199" i="4"/>
  <c r="B2172" i="4"/>
  <c r="B2111" i="4"/>
  <c r="B2084" i="4"/>
  <c r="B2023" i="4"/>
  <c r="B1935" i="4"/>
  <c r="B1908" i="4"/>
  <c r="B1847" i="4"/>
  <c r="B1820" i="4"/>
  <c r="B1759" i="4"/>
  <c r="B1732" i="4"/>
  <c r="B241" i="4"/>
  <c r="B2309" i="4"/>
  <c r="B2282" i="4"/>
  <c r="B2221" i="4"/>
  <c r="B2194" i="4"/>
  <c r="B2133" i="4"/>
  <c r="B2045" i="4"/>
  <c r="B1957" i="4"/>
  <c r="B1869" i="4"/>
  <c r="B1842" i="4"/>
  <c r="B1754" i="4"/>
  <c r="B236" i="4"/>
  <c r="B2304" i="4"/>
  <c r="B2216" i="4"/>
  <c r="B2155" i="4"/>
  <c r="B2067" i="4"/>
  <c r="B2040" i="4"/>
  <c r="B1952" i="4"/>
  <c r="B1891" i="4"/>
  <c r="B1803" i="4"/>
  <c r="B1776" i="4"/>
  <c r="B1688" i="4"/>
  <c r="B1996" i="4"/>
  <c r="B2106" i="4"/>
  <c r="B2018" i="4"/>
  <c r="B1930" i="4"/>
  <c r="B1781" i="4"/>
  <c r="B1693" i="4"/>
  <c r="B2243" i="4"/>
  <c r="B2128" i="4"/>
  <c r="B1979" i="4"/>
  <c r="B1864" i="4"/>
  <c r="B1715" i="4"/>
  <c r="B412" i="7"/>
  <c r="B351" i="7"/>
  <c r="B324" i="7"/>
  <c r="B263" i="7"/>
  <c r="B236" i="7"/>
  <c r="B175" i="7"/>
  <c r="B373" i="7"/>
  <c r="B346" i="7"/>
  <c r="B285" i="7"/>
  <c r="B258" i="7"/>
  <c r="B197" i="7"/>
  <c r="B170" i="7"/>
  <c r="B395" i="7"/>
  <c r="B368" i="7"/>
  <c r="B307" i="7"/>
  <c r="B280" i="7"/>
  <c r="B219" i="7"/>
  <c r="B192" i="7"/>
  <c r="B417" i="7"/>
  <c r="B390" i="7"/>
  <c r="B329" i="7"/>
  <c r="B302" i="7"/>
  <c r="B241" i="7"/>
  <c r="B214" i="7"/>
  <c r="B148" i="7"/>
  <c r="B87" i="7"/>
  <c r="B60" i="7"/>
  <c r="B109" i="7"/>
  <c r="B82" i="7"/>
  <c r="B131" i="7"/>
  <c r="B104" i="7"/>
  <c r="B153" i="7"/>
  <c r="B126" i="7"/>
  <c r="B65" i="7"/>
  <c r="B21" i="7"/>
  <c r="B43" i="7"/>
  <c r="B16" i="7"/>
  <c r="B38" i="7"/>
  <c r="B60" i="2"/>
  <c r="B38" i="2"/>
  <c r="B62" i="2"/>
  <c r="B40" i="2"/>
  <c r="B61" i="2"/>
  <c r="B39" i="2"/>
  <c r="B18" i="2"/>
  <c r="B44" i="2"/>
  <c r="B67" i="2"/>
  <c r="B23" i="2"/>
  <c r="B17" i="2"/>
  <c r="B43" i="2"/>
  <c r="B66" i="2"/>
  <c r="B22" i="2"/>
  <c r="B16" i="2"/>
  <c r="B65" i="2"/>
  <c r="B21" i="2"/>
  <c r="B45" i="2"/>
  <c r="B1649" i="4"/>
  <c r="B1600" i="4"/>
  <c r="B1561" i="4"/>
  <c r="B1512" i="4"/>
  <c r="B1473" i="4"/>
  <c r="B1424" i="4"/>
  <c r="B1385" i="4"/>
  <c r="B1336" i="4"/>
  <c r="B1297" i="4"/>
  <c r="B1248" i="4"/>
  <c r="B1209" i="4"/>
  <c r="B1160" i="4"/>
  <c r="B1121" i="4"/>
  <c r="B1072" i="4"/>
  <c r="B1033" i="4"/>
  <c r="B984" i="4"/>
  <c r="B945" i="4"/>
  <c r="B896" i="4"/>
  <c r="B857" i="4"/>
  <c r="B808" i="4"/>
  <c r="B769" i="4"/>
  <c r="B720" i="4"/>
  <c r="B681" i="4"/>
  <c r="B632" i="4"/>
  <c r="B593" i="4"/>
  <c r="B549" i="4"/>
  <c r="B500" i="4"/>
  <c r="B461" i="4"/>
  <c r="B417" i="4"/>
  <c r="B368" i="4"/>
  <c r="B329" i="4"/>
  <c r="B285" i="4"/>
  <c r="B214" i="4"/>
  <c r="B175" i="4"/>
  <c r="B148" i="4"/>
  <c r="B1671" i="4"/>
  <c r="B1622" i="4"/>
  <c r="B1583" i="4"/>
  <c r="B1534" i="4"/>
  <c r="B1495" i="4"/>
  <c r="B1446" i="4"/>
  <c r="B1407" i="4"/>
  <c r="B1358" i="4"/>
  <c r="B1319" i="4"/>
  <c r="B1270" i="4"/>
  <c r="B1231" i="4"/>
  <c r="B1182" i="4"/>
  <c r="B1143" i="4"/>
  <c r="B1094" i="4"/>
  <c r="B1055" i="4"/>
  <c r="B1006" i="4"/>
  <c r="B967" i="4"/>
  <c r="B918" i="4"/>
  <c r="B879" i="4"/>
  <c r="B830" i="4"/>
  <c r="B791" i="4"/>
  <c r="B742" i="4"/>
  <c r="B703" i="4"/>
  <c r="B654" i="4"/>
  <c r="B615" i="4"/>
  <c r="B566" i="4"/>
  <c r="B522" i="4"/>
  <c r="B483" i="4"/>
  <c r="B434" i="4"/>
  <c r="B390" i="4"/>
  <c r="B351" i="4"/>
  <c r="B302" i="4"/>
  <c r="B258" i="4"/>
  <c r="B197" i="4"/>
  <c r="B1644" i="4"/>
  <c r="B1556" i="4"/>
  <c r="B1468" i="4"/>
  <c r="B1380" i="4"/>
  <c r="B1292" i="4"/>
  <c r="B1204" i="4"/>
  <c r="B1116" i="4"/>
  <c r="B1028" i="4"/>
  <c r="B940" i="4"/>
  <c r="B852" i="4"/>
  <c r="B764" i="4"/>
  <c r="B676" i="4"/>
  <c r="B588" i="4"/>
  <c r="B544" i="4"/>
  <c r="B456" i="4"/>
  <c r="B412" i="4"/>
  <c r="B324" i="4"/>
  <c r="B280" i="4"/>
  <c r="B170" i="4"/>
  <c r="B1627" i="4"/>
  <c r="B1539" i="4"/>
  <c r="B1451" i="4"/>
  <c r="B1363" i="4"/>
  <c r="B1275" i="4"/>
  <c r="B1187" i="4"/>
  <c r="B1099" i="4"/>
  <c r="B1011" i="4"/>
  <c r="B923" i="4"/>
  <c r="B835" i="4"/>
  <c r="B747" i="4"/>
  <c r="B659" i="4"/>
  <c r="B571" i="4"/>
  <c r="B527" i="4"/>
  <c r="B439" i="4"/>
  <c r="B395" i="4"/>
  <c r="B307" i="4"/>
  <c r="B263" i="4"/>
  <c r="B1666" i="4"/>
  <c r="B1578" i="4"/>
  <c r="B1490" i="4"/>
  <c r="B1402" i="4"/>
  <c r="B1314" i="4"/>
  <c r="B1226" i="4"/>
  <c r="B1138" i="4"/>
  <c r="B1050" i="4"/>
  <c r="B962" i="4"/>
  <c r="B874" i="4"/>
  <c r="B786" i="4"/>
  <c r="B698" i="4"/>
  <c r="B610" i="4"/>
  <c r="B478" i="4"/>
  <c r="B346" i="4"/>
  <c r="B192" i="4"/>
  <c r="B1605" i="4"/>
  <c r="B1517" i="4"/>
  <c r="B1429" i="4"/>
  <c r="B1341" i="4"/>
  <c r="B1253" i="4"/>
  <c r="B1165" i="4"/>
  <c r="B1077" i="4"/>
  <c r="B989" i="4"/>
  <c r="B901" i="4"/>
  <c r="B813" i="4"/>
  <c r="B725" i="4"/>
  <c r="B637" i="4"/>
  <c r="B505" i="4"/>
  <c r="B373" i="4"/>
  <c r="B219" i="4"/>
  <c r="B153" i="4"/>
  <c r="B65" i="4"/>
  <c r="B60" i="4"/>
  <c r="B87" i="4"/>
  <c r="B109" i="4"/>
  <c r="B126" i="4"/>
  <c r="B131" i="4"/>
  <c r="B82" i="4"/>
  <c r="B104" i="4"/>
  <c r="Z6" i="3"/>
  <c r="AP6" i="3"/>
  <c r="AA6" i="3"/>
  <c r="AQ6" i="3"/>
  <c r="AB6" i="3"/>
  <c r="N6" i="3"/>
  <c r="AC6" i="3"/>
  <c r="AR6" i="3"/>
  <c r="AD6" i="3"/>
  <c r="O6" i="3"/>
  <c r="AE6" i="3"/>
  <c r="P6" i="3"/>
  <c r="AF6" i="3"/>
  <c r="Q6" i="3"/>
  <c r="AG6" i="3"/>
  <c r="R6" i="3"/>
  <c r="AH6" i="3"/>
  <c r="S6" i="3"/>
  <c r="AI6" i="3"/>
  <c r="T6" i="3"/>
  <c r="AJ6" i="3"/>
  <c r="U6" i="3"/>
  <c r="AK6" i="3"/>
  <c r="V6" i="3"/>
  <c r="AL6" i="3"/>
  <c r="W6" i="3"/>
  <c r="AM6" i="3"/>
  <c r="X6" i="3"/>
  <c r="AN6" i="3"/>
  <c r="Y6" i="3"/>
  <c r="AO6" i="3"/>
  <c r="B16" i="4"/>
  <c r="B39" i="4"/>
  <c r="B44" i="4"/>
  <c r="B43" i="4"/>
  <c r="B21" i="4"/>
  <c r="B38" i="4"/>
  <c r="O39" i="4"/>
  <c r="O38" i="4"/>
  <c r="F43" i="4" s="1"/>
  <c r="O16" i="4"/>
  <c r="U39" i="4"/>
  <c r="J39" i="4"/>
  <c r="U38" i="4"/>
  <c r="J38" i="4"/>
  <c r="I26" i="4"/>
  <c r="U16" i="4"/>
  <c r="J16" i="4"/>
  <c r="F16" i="4"/>
  <c r="I4" i="4"/>
  <c r="I5" i="3" l="1"/>
  <c r="F44" i="4"/>
  <c r="F21" i="4"/>
  <c r="D3" i="3" l="1"/>
  <c r="D1" i="3"/>
  <c r="D2" i="3" s="1"/>
  <c r="F16" i="3" l="1"/>
  <c r="F20" i="3"/>
  <c r="F24" i="3"/>
  <c r="F28" i="3"/>
  <c r="F32" i="3"/>
  <c r="F36" i="3"/>
  <c r="F40" i="3"/>
  <c r="F44" i="3"/>
  <c r="F48" i="3"/>
  <c r="F52" i="3"/>
  <c r="F56" i="3"/>
  <c r="F60" i="3"/>
  <c r="F64" i="3"/>
  <c r="F68" i="3"/>
  <c r="F72" i="3"/>
  <c r="F76" i="3"/>
  <c r="F80" i="3"/>
  <c r="F84" i="3"/>
  <c r="F88" i="3"/>
  <c r="F92" i="3"/>
  <c r="F96" i="3"/>
  <c r="F100" i="3"/>
  <c r="F104" i="3"/>
  <c r="F108" i="3"/>
  <c r="F112" i="3"/>
  <c r="F13" i="3"/>
  <c r="F17" i="3"/>
  <c r="F21" i="3"/>
  <c r="F25" i="3"/>
  <c r="F29" i="3"/>
  <c r="F33" i="3"/>
  <c r="F37" i="3"/>
  <c r="F41" i="3"/>
  <c r="F45" i="3"/>
  <c r="F49" i="3"/>
  <c r="F53" i="3"/>
  <c r="F57" i="3"/>
  <c r="F61" i="3"/>
  <c r="F65" i="3"/>
  <c r="F69" i="3"/>
  <c r="F73" i="3"/>
  <c r="F77" i="3"/>
  <c r="F81" i="3"/>
  <c r="F85" i="3"/>
  <c r="F89" i="3"/>
  <c r="F93" i="3"/>
  <c r="F97" i="3"/>
  <c r="F101" i="3"/>
  <c r="F105" i="3"/>
  <c r="F109" i="3"/>
  <c r="F14" i="3"/>
  <c r="F18" i="3"/>
  <c r="F22" i="3"/>
  <c r="F26" i="3"/>
  <c r="F30" i="3"/>
  <c r="F34" i="3"/>
  <c r="F38" i="3"/>
  <c r="F42" i="3"/>
  <c r="F46" i="3"/>
  <c r="F50" i="3"/>
  <c r="F54" i="3"/>
  <c r="F58" i="3"/>
  <c r="F62" i="3"/>
  <c r="F66" i="3"/>
  <c r="F70" i="3"/>
  <c r="F74" i="3"/>
  <c r="F78" i="3"/>
  <c r="F82" i="3"/>
  <c r="F86" i="3"/>
  <c r="F90" i="3"/>
  <c r="F94" i="3"/>
  <c r="F98" i="3"/>
  <c r="F102" i="3"/>
  <c r="F106" i="3"/>
  <c r="F110" i="3"/>
  <c r="F15" i="3"/>
  <c r="F19" i="3"/>
  <c r="F23" i="3"/>
  <c r="F27" i="3"/>
  <c r="F31" i="3"/>
  <c r="F35" i="3"/>
  <c r="F39" i="3"/>
  <c r="F43" i="3"/>
  <c r="F47" i="3"/>
  <c r="F51" i="3"/>
  <c r="F67" i="3"/>
  <c r="F83" i="3"/>
  <c r="F99" i="3"/>
  <c r="F55" i="3"/>
  <c r="F71" i="3"/>
  <c r="F87" i="3"/>
  <c r="F103" i="3"/>
  <c r="F59" i="3"/>
  <c r="F75" i="3"/>
  <c r="F91" i="3"/>
  <c r="F107" i="3"/>
  <c r="F63" i="3"/>
  <c r="F79" i="3"/>
  <c r="F95" i="3"/>
  <c r="F111" i="3"/>
  <c r="F10" i="3"/>
  <c r="F9" i="3"/>
  <c r="F11" i="3"/>
  <c r="F12" i="3"/>
  <c r="I4" i="2"/>
  <c r="I48" i="2"/>
  <c r="I26" i="2"/>
  <c r="D4" i="3" l="1"/>
</calcChain>
</file>

<file path=xl/sharedStrings.xml><?xml version="1.0" encoding="utf-8"?>
<sst xmlns="http://schemas.openxmlformats.org/spreadsheetml/2006/main" count="4521" uniqueCount="417">
  <si>
    <t>REG_SLB</t>
  </si>
  <si>
    <t>STCU FCB</t>
  </si>
  <si>
    <t>self_test_failure</t>
  </si>
  <si>
    <t>RESET_MASK</t>
  </si>
  <si>
    <t>XOSC  ALC_DIS</t>
  </si>
  <si>
    <t>XOSC LF_EN</t>
  </si>
  <si>
    <t>XOSC EN_40MHz</t>
  </si>
  <si>
    <t>LOCK STEP EN</t>
  </si>
  <si>
    <t>XOSC_EN</t>
  </si>
  <si>
    <t>XOSC EXT CLOAD EN</t>
  </si>
  <si>
    <t>XOSC LOAD CAP SEL [4:0]</t>
  </si>
  <si>
    <t>Reset</t>
  </si>
  <si>
    <t>User</t>
  </si>
  <si>
    <t>CS14</t>
  </si>
  <si>
    <t>CS13</t>
  </si>
  <si>
    <t>CS12</t>
  </si>
  <si>
    <t>CS11</t>
  </si>
  <si>
    <t>CS10</t>
  </si>
  <si>
    <t>CS9</t>
  </si>
  <si>
    <t>CS8</t>
  </si>
  <si>
    <t>CS7</t>
  </si>
  <si>
    <t>CS6</t>
  </si>
  <si>
    <t>CS5</t>
  </si>
  <si>
    <t>CS4</t>
  </si>
  <si>
    <t>CS3</t>
  </si>
  <si>
    <t>CS2</t>
  </si>
  <si>
    <t>CS1</t>
  </si>
  <si>
    <t>CS0</t>
  </si>
  <si>
    <t>Parity</t>
  </si>
  <si>
    <t>Stop</t>
  </si>
  <si>
    <t>Address [16:2]</t>
  </si>
  <si>
    <t>R</t>
  </si>
  <si>
    <t>W</t>
  </si>
  <si>
    <t>Miscellaneous DCF client</t>
  </si>
  <si>
    <t>DCF_UTEST_Miscellaneous</t>
  </si>
  <si>
    <t>modules</t>
  </si>
  <si>
    <t>Miscellaneous</t>
  </si>
  <si>
    <t>selected modules</t>
  </si>
  <si>
    <t>selected client</t>
  </si>
  <si>
    <t>index</t>
  </si>
  <si>
    <t>Select DCF client</t>
  </si>
  <si>
    <t>Miscellaneous DCFs</t>
  </si>
  <si>
    <t>Select module</t>
  </si>
  <si>
    <t>Address in UTEST</t>
  </si>
  <si>
    <t>Register Value</t>
  </si>
  <si>
    <t>Periphery</t>
  </si>
  <si>
    <t>register address</t>
  </si>
  <si>
    <t>DCF records</t>
  </si>
  <si>
    <t>stop</t>
  </si>
  <si>
    <t>parity</t>
  </si>
  <si>
    <t>Base address [hex]</t>
  </si>
  <si>
    <t>STCU</t>
  </si>
  <si>
    <t>Selected client list</t>
  </si>
  <si>
    <t>STCU DCF client</t>
  </si>
  <si>
    <t>0xD3FEA98B</t>
  </si>
  <si>
    <t>0x2C015674</t>
  </si>
  <si>
    <t>SCK</t>
  </si>
  <si>
    <t>STCU_RUN</t>
  </si>
  <si>
    <t>RUN</t>
  </si>
  <si>
    <t>BYP</t>
  </si>
  <si>
    <t>MBPLLEN</t>
  </si>
  <si>
    <t>LBPLLEN</t>
  </si>
  <si>
    <t>STCU_CFG</t>
  </si>
  <si>
    <t>PTR</t>
  </si>
  <si>
    <t>WRP</t>
  </si>
  <si>
    <t>PMOSEN</t>
  </si>
  <si>
    <t>MBU</t>
  </si>
  <si>
    <t>CLK_CFG</t>
  </si>
  <si>
    <t>STCU_WDG</t>
  </si>
  <si>
    <t>WDGEOC</t>
  </si>
  <si>
    <t>STCU_ERR_FM</t>
  </si>
  <si>
    <t>LOCKEUFM</t>
  </si>
  <si>
    <t>WDTOUFM</t>
  </si>
  <si>
    <t>ENGEUFM</t>
  </si>
  <si>
    <t>INVPUFM</t>
  </si>
  <si>
    <t>STCU_LBU_FM</t>
  </si>
  <si>
    <t>LBUFM2</t>
  </si>
  <si>
    <t>LBUFM1</t>
  </si>
  <si>
    <t>LBUFM0</t>
  </si>
  <si>
    <t>STCU_MBU_FML[31:0]</t>
  </si>
  <si>
    <t>MBUFM31</t>
  </si>
  <si>
    <t>MBUFM30</t>
  </si>
  <si>
    <t>MBUFM29</t>
  </si>
  <si>
    <t>MBUFM28</t>
  </si>
  <si>
    <t>MBUFM27</t>
  </si>
  <si>
    <t>MBUFM26</t>
  </si>
  <si>
    <t>MBUFM25</t>
  </si>
  <si>
    <t>MBUFM24</t>
  </si>
  <si>
    <t>MBUFM23</t>
  </si>
  <si>
    <t>MBUFM22</t>
  </si>
  <si>
    <t>MBUFM21</t>
  </si>
  <si>
    <t>MBUFM20</t>
  </si>
  <si>
    <t>MBUFM19</t>
  </si>
  <si>
    <t>MBUFM18</t>
  </si>
  <si>
    <t>MBUFM17</t>
  </si>
  <si>
    <t>MBUFM16</t>
  </si>
  <si>
    <t>MBUFM15</t>
  </si>
  <si>
    <t>MBUFM14</t>
  </si>
  <si>
    <t>MBUFM13</t>
  </si>
  <si>
    <t>MBUFM12</t>
  </si>
  <si>
    <t>MBUFM11</t>
  </si>
  <si>
    <t>MBUFM10</t>
  </si>
  <si>
    <t>MBUFM9</t>
  </si>
  <si>
    <t>MBUFM8</t>
  </si>
  <si>
    <t>MBUFM7</t>
  </si>
  <si>
    <t>MBUFM6</t>
  </si>
  <si>
    <t>MBUFM5</t>
  </si>
  <si>
    <t>MBUFM4</t>
  </si>
  <si>
    <t>MBUFM3</t>
  </si>
  <si>
    <t>MBUFM2</t>
  </si>
  <si>
    <t>MBUFM1</t>
  </si>
  <si>
    <t>MBUFM0</t>
  </si>
  <si>
    <t>Reserved</t>
  </si>
  <si>
    <t>MBUFM46</t>
  </si>
  <si>
    <t>MBUFM45</t>
  </si>
  <si>
    <t>MBUFM44</t>
  </si>
  <si>
    <t>MBUFM43</t>
  </si>
  <si>
    <t>MBUFM42</t>
  </si>
  <si>
    <t>MBUFM41</t>
  </si>
  <si>
    <t>MBUFM40</t>
  </si>
  <si>
    <t>MBUFM39</t>
  </si>
  <si>
    <t>MBUFM38</t>
  </si>
  <si>
    <t>MBUFM37</t>
  </si>
  <si>
    <t>MBUFM36</t>
  </si>
  <si>
    <t>MBUFM35</t>
  </si>
  <si>
    <t>MBUFM34</t>
  </si>
  <si>
    <t>MBUFM33</t>
  </si>
  <si>
    <t>MBUFM32</t>
  </si>
  <si>
    <t>STCU_MBU_FMM[31:0]</t>
  </si>
  <si>
    <t>record base address</t>
  </si>
  <si>
    <t>record offset</t>
  </si>
  <si>
    <t>record address</t>
  </si>
  <si>
    <t>data2write</t>
  </si>
  <si>
    <t>data entered bit2bit</t>
  </si>
  <si>
    <t>STCU_LB_CTRL_0</t>
  </si>
  <si>
    <t>SHS</t>
  </si>
  <si>
    <t>SCEN_OFF</t>
  </si>
  <si>
    <t>SCEN_ON</t>
  </si>
  <si>
    <t>PFT</t>
  </si>
  <si>
    <t>CWS</t>
  </si>
  <si>
    <t>STCU_LB_PCS_0</t>
  </si>
  <si>
    <t>PCS</t>
  </si>
  <si>
    <t>STCU_LB_MISREL_0</t>
  </si>
  <si>
    <t>MISREx</t>
  </si>
  <si>
    <t>STCU_LB_MISREH_0</t>
  </si>
  <si>
    <t>STCU_LB_MISRELSW_0</t>
  </si>
  <si>
    <t>MISRESWx</t>
  </si>
  <si>
    <t>STCU_LB_MISREHSW_0</t>
  </si>
  <si>
    <t>STCU_LB_CTRL_1</t>
  </si>
  <si>
    <t>STCU_LB_PCS_1</t>
  </si>
  <si>
    <t>STCU_LB_MISREL_1</t>
  </si>
  <si>
    <t>STCU_LB_MISREH_1</t>
  </si>
  <si>
    <t>STCU_LB_MISRELSW_1</t>
  </si>
  <si>
    <t>STCU_LB_MISREHSW_1</t>
  </si>
  <si>
    <t>STCU_LB_CTRL_2</t>
  </si>
  <si>
    <t>STCU_LB_PCS_2</t>
  </si>
  <si>
    <t>STCU_LB_MISREL_2</t>
  </si>
  <si>
    <t>STCU_LB_MISREH_2</t>
  </si>
  <si>
    <t>STCU_LB_MISRELSW_2</t>
  </si>
  <si>
    <t>STCU_LB_MISREHSW_2</t>
  </si>
  <si>
    <t>STCU_MB_CTRL_0</t>
  </si>
  <si>
    <t>CSM</t>
  </si>
  <si>
    <t>STCU_MB_CTRL_1</t>
  </si>
  <si>
    <t>STCU_MB_CTRL_2</t>
  </si>
  <si>
    <t>STCU_MB_CTRL_3</t>
  </si>
  <si>
    <t>STCU_MB_CTRL_4</t>
  </si>
  <si>
    <t>STCU_MB_CTRL_5</t>
  </si>
  <si>
    <t>STCU_MB_CTRL_6</t>
  </si>
  <si>
    <t>STCU_MB_CTRL_7</t>
  </si>
  <si>
    <t>STCU_MB_CTRL_8</t>
  </si>
  <si>
    <t>STCU_MB_CTRL_9</t>
  </si>
  <si>
    <t>STCU_MB_CTRL_10</t>
  </si>
  <si>
    <t>STCU_MB_CTRL_11</t>
  </si>
  <si>
    <t>STCU_MB_CTRL_12</t>
  </si>
  <si>
    <t>STCU_MB_CTRL_13</t>
  </si>
  <si>
    <t>STCU_MB_CTRL_14</t>
  </si>
  <si>
    <t>STCU_MB_CTRL_15</t>
  </si>
  <si>
    <t>STCU_MB_CTRL_16</t>
  </si>
  <si>
    <t>STCU_MB_CTRL_17</t>
  </si>
  <si>
    <t>STCU_MB_CTRL_18</t>
  </si>
  <si>
    <t>STCU_MB_CTRL_19</t>
  </si>
  <si>
    <t>STCU_MB_CTRL_20</t>
  </si>
  <si>
    <t>STCU_MB_CTRL_21</t>
  </si>
  <si>
    <t>STCU_MB_CTRL_22</t>
  </si>
  <si>
    <t>STCU_MB_CTRL_23</t>
  </si>
  <si>
    <t>STCU_MB_CTRL_24</t>
  </si>
  <si>
    <t>STCU_MB_CTRL_25</t>
  </si>
  <si>
    <t>STCU_MB_CTRL_26</t>
  </si>
  <si>
    <t>STCU_MB_CTRL_27</t>
  </si>
  <si>
    <t>STCU_MB_CTRL_28</t>
  </si>
  <si>
    <t>STCU_MB_CTRL_29</t>
  </si>
  <si>
    <t>STCU_MB_CTRL_30</t>
  </si>
  <si>
    <t>STCU_MB_CTRL_31</t>
  </si>
  <si>
    <t>STCU_MB_CTRL_32</t>
  </si>
  <si>
    <t>STCU_MB_CTRL_33</t>
  </si>
  <si>
    <t>STCU_MB_CTRL_34</t>
  </si>
  <si>
    <t>STCU_MB_CTRL_35</t>
  </si>
  <si>
    <t>STCU_MB_CTRL_36</t>
  </si>
  <si>
    <t>STCU_MB_CTRL_37</t>
  </si>
  <si>
    <t>STCU_MB_CTRL_38</t>
  </si>
  <si>
    <t>STCU_MB_CTRL_39</t>
  </si>
  <si>
    <t>STCU_MB_CTRL_40</t>
  </si>
  <si>
    <t>STCU_MB_CTRL_41</t>
  </si>
  <si>
    <t>STCU_MB_CTRL_42</t>
  </si>
  <si>
    <t>STCU_MB_CTRL_43</t>
  </si>
  <si>
    <t>STCU_MB_CTRL_44</t>
  </si>
  <si>
    <t>STCU_MB_CTRL_45</t>
  </si>
  <si>
    <t>STCU_MB_CTRL_46</t>
  </si>
  <si>
    <t>STCU_SCK   1st write</t>
  </si>
  <si>
    <t>SCK = Key1 / Key2  … to unlock writes to the STCU</t>
  </si>
  <si>
    <t>SCK = Key2 … to re-initialize the WDG time-out counter</t>
  </si>
  <si>
    <t>STCU_SCK   service WDG</t>
  </si>
  <si>
    <t>Macros has to be enabled !</t>
  </si>
  <si>
    <t>Client user value [hex]</t>
  </si>
  <si>
    <t>0b000000010000000</t>
  </si>
  <si>
    <t>0b000000000001001</t>
  </si>
  <si>
    <t>0b000000000001010</t>
  </si>
  <si>
    <t>0b000000000001100</t>
  </si>
  <si>
    <t>data.set 0x00400350 %QUAD 0x0031000102000024 ;DCF_SELFTEST_CONFIG_IPS_1</t>
  </si>
  <si>
    <t>data.set 0x00400358 %QUAD 0xFFCEFFFE02000028</t>
  </si>
  <si>
    <t>data.set 0x00400360 %QUAD 0x8018800002000030</t>
  </si>
  <si>
    <t>0x00400380</t>
  </si>
  <si>
    <t>0x00000000</t>
  </si>
  <si>
    <t>0x00400388</t>
  </si>
  <si>
    <t>0xFFFFFFFF</t>
  </si>
  <si>
    <t>0x00400390</t>
  </si>
  <si>
    <t>data.set 0x00400368 %QUAD 0x0002850001000024 ;DCF_UTEST_Miscellaneous</t>
  </si>
  <si>
    <t>data.set 0x00400370 %QUAD 0xFFFD7AFF01000028</t>
  </si>
  <si>
    <t>data.set 0x00400378 %QUAD 0x0001428001000030</t>
  </si>
  <si>
    <t>0x0002850001000024</t>
  </si>
  <si>
    <t>0xFFFD7AFF01000028</t>
  </si>
  <si>
    <t>0x0001428001000030</t>
  </si>
  <si>
    <t>0x00028500_01000020</t>
  </si>
  <si>
    <t>1. Select available DCF module</t>
  </si>
  <si>
    <t>2. Choose DCF client of selected module</t>
  </si>
  <si>
    <t>3. Enter base address of DCF records</t>
  </si>
  <si>
    <t xml:space="preserve">    within UTEST memory in HEX format</t>
  </si>
  <si>
    <t>Calculated 64bit DCF records for given address in UTEST</t>
  </si>
  <si>
    <t>Click to add records into</t>
  </si>
  <si>
    <t>generated list of DCF records</t>
  </si>
  <si>
    <t>Click to clear all lines rom records list</t>
  </si>
  <si>
    <t>Click to delete last line from DCF records list</t>
  </si>
  <si>
    <t>4. Enter HEX value of DCF record's data part</t>
  </si>
  <si>
    <t>or double click on individual bits</t>
  </si>
  <si>
    <t>of data part to change bit value</t>
  </si>
  <si>
    <t xml:space="preserve">Click to save DCF client data value, so thus value can be loaded back when </t>
  </si>
  <si>
    <t>the same client is selected again</t>
  </si>
  <si>
    <t>Click to reset DCF client data value</t>
  </si>
  <si>
    <t>New records are added to the end of the list</t>
  </si>
  <si>
    <t>(formatted for Lauterbach script)</t>
  </si>
  <si>
    <t>********************************************************************************</t>
  </si>
  <si>
    <t xml:space="preserve">Detailed Description: </t>
  </si>
  <si>
    <t>Note: Macros have to be enabled!</t>
  </si>
  <si>
    <t>Revision History:</t>
  </si>
  <si>
    <t>Look at HowToUse sheet for simple guideline, then work with DCF sheet</t>
  </si>
  <si>
    <t>*******************************************************************************</t>
  </si>
  <si>
    <t>NXP Semiconductor Inc.</t>
  </si>
  <si>
    <t>(c) Copyright 2012 NXP Semiconductor, Inc.</t>
  </si>
  <si>
    <t>ALL RIGHTS RESERVED.</t>
  </si>
  <si>
    <t>Services performed by NXP in this matter are performed AS IS and without</t>
  </si>
  <si>
    <t>any warranty. CUSTOMER retains the final decision relative to the total design</t>
  </si>
  <si>
    <t>and functionality of the end product. NXP neither guarantees nor will be</t>
  </si>
  <si>
    <t>held liable by CUSTOMER for the success of this project.</t>
  </si>
  <si>
    <t>NXP DISCLAIMS ALL WARRANTIES, EXPRESSED, IMPLIED OR STATUTORY INCLUDING,</t>
  </si>
  <si>
    <t>BUT NOT LIMITED TO, IMPLIED WARRANTY OF MERCHANTABILITY OR FITNESS FOR</t>
  </si>
  <si>
    <t xml:space="preserve">A PARTICULAR PURPOSE ON ANY HARDWARE, SOFTWARE ORE ADVISE SUPPLIED </t>
  </si>
  <si>
    <t xml:space="preserve">TO THE PROJECT BY NXP, AND OR NAY PRODUCT RESULTING FROM NXP </t>
  </si>
  <si>
    <t xml:space="preserve">SERVICES. IN NO EVENT SHALL NXP BE LIABLE FOR INCIDENTAL OR CONSEQUENTIAL </t>
  </si>
  <si>
    <t>DAMAGES ARISING OUT OF THIS AGREEMENT.</t>
  </si>
  <si>
    <t xml:space="preserve">CUSTOMER agrees to hold NXP harmless against any and all claims demands </t>
  </si>
  <si>
    <t>or actions by anyone on account of any damage, or injury, whether commercial,</t>
  </si>
  <si>
    <t xml:space="preserve">contractual, or tortuous, rising directly or indirectly as a result </t>
  </si>
  <si>
    <t xml:space="preserve">of the advise or assistance supplied CUSTOMER in connection with product, </t>
  </si>
  <si>
    <t>services or goods supplied under this Agreement.</t>
  </si>
  <si>
    <t>Owner:           Petr Stancik</t>
  </si>
  <si>
    <t>Classification:   General Business Information</t>
  </si>
  <si>
    <t>PASS DCF client</t>
  </si>
  <si>
    <t>PASS</t>
  </si>
  <si>
    <t>Censorship</t>
  </si>
  <si>
    <t>Censorship value</t>
  </si>
  <si>
    <t>LOCK0_PG0</t>
  </si>
  <si>
    <t>LOCK0_PG1</t>
  </si>
  <si>
    <t>LOCK0_PG2</t>
  </si>
  <si>
    <t>LOCK0_PG3</t>
  </si>
  <si>
    <t>LOCK1_PG0</t>
  </si>
  <si>
    <t>LOCK2_PG0</t>
  </si>
  <si>
    <t>LOCK3_PG0</t>
  </si>
  <si>
    <t>LOCK1_PG1</t>
  </si>
  <si>
    <t>LOCK2_PG1</t>
  </si>
  <si>
    <t>LOCK3_PG1</t>
  </si>
  <si>
    <t>LOCK1_PG2</t>
  </si>
  <si>
    <t>LOCK2_PG2</t>
  </si>
  <si>
    <t>LOCK3_PG2</t>
  </si>
  <si>
    <t>LOCK1_PG3</t>
  </si>
  <si>
    <t>LOCK2_PG3</t>
  </si>
  <si>
    <t>LOCK3_PG3</t>
  </si>
  <si>
    <t>TSLOCK</t>
  </si>
  <si>
    <t>ATSL</t>
  </si>
  <si>
    <t>LOWLOCK</t>
  </si>
  <si>
    <t>MIDLOCK</t>
  </si>
  <si>
    <t>HIGHLOCK</t>
  </si>
  <si>
    <t>L_256LCK</t>
  </si>
  <si>
    <t>PGL</t>
  </si>
  <si>
    <t>DBL</t>
  </si>
  <si>
    <t>MO</t>
  </si>
  <si>
    <t>MSTR</t>
  </si>
  <si>
    <t>RL2</t>
  </si>
  <si>
    <t>RL1</t>
  </si>
  <si>
    <t>RL0</t>
  </si>
  <si>
    <t>U_256LCK</t>
  </si>
  <si>
    <t>rotate right to bit 13</t>
  </si>
  <si>
    <t>bits 0-12 not negated</t>
  </si>
  <si>
    <t>record lines</t>
  </si>
  <si>
    <t>S30D00400350003100010200002407</t>
  </si>
  <si>
    <t>S30D00400358FFCEFFFE0200002863</t>
  </si>
  <si>
    <t>S30D00400360801880000200003005</t>
  </si>
  <si>
    <t>S30D0040036800028500010000249B</t>
  </si>
  <si>
    <t>S30D0040037000057AFF0100002A96</t>
  </si>
  <si>
    <t>S30D00400378000142800100003043</t>
  </si>
  <si>
    <t>Generated list of DCF records, as Lauterbach script or S-record formats</t>
  </si>
  <si>
    <t>If base address is chaged above, addresses within records list are changed accordingly</t>
  </si>
  <si>
    <t>or bouble click on bit field to open InputBox</t>
  </si>
  <si>
    <t>to fill bitfield HEX value</t>
  </si>
  <si>
    <t>SUF_DIS</t>
  </si>
  <si>
    <t>5V_3P3V</t>
  </si>
  <si>
    <t>EXT_REG_POL</t>
  </si>
  <si>
    <t>PORST_MASK*</t>
  </si>
  <si>
    <t>EXT_REG_CTRL*</t>
  </si>
  <si>
    <t>REGISTER_WALL_BYP</t>
  </si>
  <si>
    <t>HVD_EN</t>
  </si>
  <si>
    <t>REG_TYPE</t>
  </si>
  <si>
    <t>BAF_DIS</t>
  </si>
  <si>
    <t>HSM_SWT_DIS</t>
  </si>
  <si>
    <t>SWT_0_DIS</t>
  </si>
  <si>
    <t>* These Bits are available only when SIUL2_MIDR1[MAJOR_MASK] has a value 0x2.</t>
  </si>
  <si>
    <t>PMCDIG_ERETW</t>
  </si>
  <si>
    <t>DELAY_VAL[2:31]</t>
  </si>
  <si>
    <t>bits 0-1 not negated</t>
  </si>
  <si>
    <t>rotate right to bit 2</t>
  </si>
  <si>
    <t>2EDF</t>
  </si>
  <si>
    <t>MPC5748G DCF client configurator</t>
  </si>
  <si>
    <t>STCU_MBU_FMH[31:0]</t>
  </si>
  <si>
    <t>STCU_MB_CTRL_47</t>
  </si>
  <si>
    <t>STCU_MB_CTRL_48</t>
  </si>
  <si>
    <t>STCU_MB_CTRL_49</t>
  </si>
  <si>
    <t>STCU_MB_CTRL_50</t>
  </si>
  <si>
    <t>STCU_MB_CTRL_51</t>
  </si>
  <si>
    <t>STCU_MB_CTRL_52</t>
  </si>
  <si>
    <t>STCU_MB_CTRL_53</t>
  </si>
  <si>
    <t>STCU_MB_CTRL_54</t>
  </si>
  <si>
    <t>STCU_MB_CTRL_55</t>
  </si>
  <si>
    <t>STCU_MB_CTRL_56</t>
  </si>
  <si>
    <t>STCU_MB_CTRL_57</t>
  </si>
  <si>
    <t>STCU_MB_CTRL_58</t>
  </si>
  <si>
    <t>STCU_MB_CTRL_59</t>
  </si>
  <si>
    <t>STCU_MB_CTRL_60</t>
  </si>
  <si>
    <t>STCU_MB_CTRL_61</t>
  </si>
  <si>
    <t>STCU_MB_CTRL_62</t>
  </si>
  <si>
    <t>STCU_MB_CTRL_63</t>
  </si>
  <si>
    <t>STCU_MB_CTRL_64</t>
  </si>
  <si>
    <t>STCU_MB_CTRL_65</t>
  </si>
  <si>
    <t>STCU_MB_CTRL_66</t>
  </si>
  <si>
    <t>STCU_MB_CTRL_67</t>
  </si>
  <si>
    <t>STCU_MB_CTRL_68</t>
  </si>
  <si>
    <t>STCU_MB_CTRL_69</t>
  </si>
  <si>
    <t>STCU_MB_CTRL_70</t>
  </si>
  <si>
    <t>STCU_MB_CTRL_71</t>
  </si>
  <si>
    <t>STCU_MB_CTRL_72</t>
  </si>
  <si>
    <t>STCU_MB_CTRL_73</t>
  </si>
  <si>
    <t>STCU_MB_CTRL_74</t>
  </si>
  <si>
    <t>STCU_MB_CTRL_75</t>
  </si>
  <si>
    <t>MBUFM64</t>
  </si>
  <si>
    <t>MBUFM65</t>
  </si>
  <si>
    <t>MBUFM66</t>
  </si>
  <si>
    <t>MBUFM75</t>
  </si>
  <si>
    <t>MBUFM74</t>
  </si>
  <si>
    <t>MBUFM73</t>
  </si>
  <si>
    <t>MBUFM72</t>
  </si>
  <si>
    <t>MBUFM71</t>
  </si>
  <si>
    <t>MBUFM70</t>
  </si>
  <si>
    <t>MBUFM69</t>
  </si>
  <si>
    <t>MBUFM68</t>
  </si>
  <si>
    <t>MBUFM67</t>
  </si>
  <si>
    <t>MBUFM47</t>
  </si>
  <si>
    <t>MBUFM63</t>
  </si>
  <si>
    <t>MBUFM62</t>
  </si>
  <si>
    <t>MBUFM61</t>
  </si>
  <si>
    <t>MBUFM60</t>
  </si>
  <si>
    <t>MBUFM59</t>
  </si>
  <si>
    <t>MBUFM58</t>
  </si>
  <si>
    <t>MBUFM57</t>
  </si>
  <si>
    <t>MBUFM56</t>
  </si>
  <si>
    <t>MBUFM55</t>
  </si>
  <si>
    <t>MBUFM54</t>
  </si>
  <si>
    <t>MBUFM53</t>
  </si>
  <si>
    <t>MBUFM52</t>
  </si>
  <si>
    <t>MBUFM51</t>
  </si>
  <si>
    <t>MBUFM50</t>
  </si>
  <si>
    <t>MBUFM49</t>
  </si>
  <si>
    <t>MBUFM48</t>
  </si>
  <si>
    <t>LB_DELAY</t>
  </si>
  <si>
    <t>RL4</t>
  </si>
  <si>
    <t>RL3</t>
  </si>
  <si>
    <t>Test mode enable</t>
  </si>
  <si>
    <t>TM</t>
  </si>
  <si>
    <t>Test Mode Enable</t>
  </si>
  <si>
    <t>data.set 0x00400300 %QUAD 0x0000FFFF00100124 ;LOCK1_PG2</t>
  </si>
  <si>
    <t>S30D004003000000FFFF001001247D</t>
  </si>
  <si>
    <t>Version 1.0    Dec-13-2017     Petr Stancik</t>
  </si>
  <si>
    <t>This config tool simplifies DCF records calculation for MPC5748G device.</t>
  </si>
  <si>
    <t>File:                 MPC5748G DCF Configurator.xls</t>
  </si>
  <si>
    <t>data.set 0x00400308 %QUAD 0x00003E8010000284 ;PMCDIG_ERETW</t>
  </si>
  <si>
    <t>S30D0040030800003E801000028455</t>
  </si>
  <si>
    <t>data.set 0x00400310 %QUAD 0x3FFFC17F1000028A</t>
  </si>
  <si>
    <t>S30D004003103FFFC17F1000028A87</t>
  </si>
  <si>
    <t>data.set 0x00400318 %QUAD 0x00001F4010000290</t>
  </si>
  <si>
    <t>S30D0040031800001F401000029098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</si>
</sst>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ourier New"/>
      <family val="3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color rgb="FF000000"/>
      <name val="Calibri"/>
      <family val="2"/>
    </font>
    <font>
      <sz val="10"/>
      <color theme="0" tint="-0.1499984740745262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Plantagenet Cherokee"/>
      <family val="1"/>
    </font>
    <font>
      <sz val="10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medium">
        <color indexed="64"/>
      </top>
      <bottom style="medium">
        <color indexed="64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/>
      <right style="thin">
        <color indexed="64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medium">
        <color indexed="64"/>
      </right>
      <top/>
      <bottom style="thick">
        <color rgb="FFFF0000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</borders>
  <cellStyleXfs count="1">
    <xf numFmtId="0" fontId="0" fillId="0" borderId="0"/>
  </cellStyleXfs>
  <cellXfs count="376">
    <xf numFmtId="0" fontId="0" fillId="0" borderId="0" xfId="0"/>
    <xf numFmtId="0" fontId="0" fillId="6" borderId="0" xfId="0" applyFont="1" applyFill="1" applyBorder="1" applyAlignment="1"/>
    <xf numFmtId="0" fontId="0" fillId="0" borderId="0" xfId="0" applyAlignment="1">
      <alignment horizontal="left"/>
    </xf>
    <xf numFmtId="0" fontId="0" fillId="7" borderId="36" xfId="0" applyFill="1" applyBorder="1"/>
    <xf numFmtId="0" fontId="1" fillId="7" borderId="0" xfId="0" applyFont="1" applyFill="1" applyBorder="1"/>
    <xf numFmtId="0" fontId="0" fillId="7" borderId="0" xfId="0" applyFill="1" applyBorder="1"/>
    <xf numFmtId="0" fontId="0" fillId="7" borderId="37" xfId="0" applyFill="1" applyBorder="1"/>
    <xf numFmtId="0" fontId="2" fillId="7" borderId="0" xfId="0" applyFont="1" applyFill="1" applyBorder="1" applyAlignment="1">
      <alignment horizontal="center"/>
    </xf>
    <xf numFmtId="0" fontId="0" fillId="7" borderId="0" xfId="0" applyFont="1" applyFill="1" applyBorder="1"/>
    <xf numFmtId="0" fontId="0" fillId="7" borderId="0" xfId="0" applyFont="1" applyFill="1" applyBorder="1" applyAlignment="1">
      <alignment horizontal="left"/>
    </xf>
    <xf numFmtId="0" fontId="0" fillId="7" borderId="0" xfId="0" applyFont="1" applyFill="1" applyBorder="1" applyAlignment="1"/>
    <xf numFmtId="0" fontId="0" fillId="7" borderId="0" xfId="0" applyFill="1"/>
    <xf numFmtId="0" fontId="4" fillId="7" borderId="0" xfId="0" applyFont="1" applyFill="1" applyBorder="1" applyAlignment="1">
      <alignment vertical="center" wrapText="1"/>
    </xf>
    <xf numFmtId="0" fontId="4" fillId="7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0" xfId="0" applyFill="1" applyBorder="1" applyAlignment="1">
      <alignment vertical="center" wrapText="1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 applyAlignment="1"/>
    <xf numFmtId="0" fontId="0" fillId="7" borderId="29" xfId="0" applyFill="1" applyBorder="1"/>
    <xf numFmtId="0" fontId="0" fillId="7" borderId="25" xfId="0" applyFill="1" applyBorder="1"/>
    <xf numFmtId="0" fontId="0" fillId="7" borderId="25" xfId="0" applyFill="1" applyBorder="1" applyAlignment="1">
      <alignment horizontal="left"/>
    </xf>
    <xf numFmtId="0" fontId="0" fillId="7" borderId="26" xfId="0" applyFill="1" applyBorder="1"/>
    <xf numFmtId="0" fontId="0" fillId="7" borderId="33" xfId="0" applyFill="1" applyBorder="1"/>
    <xf numFmtId="0" fontId="0" fillId="7" borderId="34" xfId="0" applyFill="1" applyBorder="1"/>
    <xf numFmtId="0" fontId="0" fillId="7" borderId="35" xfId="0" applyFill="1" applyBorder="1"/>
    <xf numFmtId="0" fontId="0" fillId="0" borderId="0" xfId="0" applyFont="1" applyAlignment="1">
      <alignment horizontal="left"/>
    </xf>
    <xf numFmtId="0" fontId="1" fillId="7" borderId="34" xfId="0" applyFont="1" applyFill="1" applyBorder="1"/>
    <xf numFmtId="0" fontId="5" fillId="0" borderId="0" xfId="0" applyFont="1"/>
    <xf numFmtId="0" fontId="0" fillId="7" borderId="0" xfId="0" applyFill="1" applyBorder="1" applyProtection="1">
      <protection hidden="1"/>
    </xf>
    <xf numFmtId="0" fontId="0" fillId="7" borderId="0" xfId="0" applyFill="1" applyProtection="1">
      <protection hidden="1"/>
    </xf>
    <xf numFmtId="0" fontId="0" fillId="7" borderId="25" xfId="0" applyFill="1" applyBorder="1" applyProtection="1">
      <protection hidden="1"/>
    </xf>
    <xf numFmtId="0" fontId="0" fillId="0" borderId="0" xfId="0" applyAlignment="1">
      <alignment horizontal="right"/>
    </xf>
    <xf numFmtId="0" fontId="0" fillId="0" borderId="0" xfId="0" applyProtection="1">
      <protection locked="0"/>
    </xf>
    <xf numFmtId="0" fontId="0" fillId="0" borderId="0" xfId="0" applyNumberFormat="1" applyAlignment="1">
      <alignment horizontal="left"/>
    </xf>
    <xf numFmtId="0" fontId="4" fillId="7" borderId="0" xfId="0" applyFont="1" applyFill="1" applyBorder="1" applyAlignment="1">
      <alignment horizontal="left" vertical="center" wrapText="1"/>
    </xf>
    <xf numFmtId="0" fontId="4" fillId="7" borderId="0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left" wrapText="1"/>
    </xf>
    <xf numFmtId="0" fontId="3" fillId="3" borderId="0" xfId="0" applyFont="1" applyFill="1" applyBorder="1" applyAlignment="1">
      <alignment horizontal="left"/>
    </xf>
    <xf numFmtId="0" fontId="0" fillId="8" borderId="0" xfId="0" applyFont="1" applyFill="1" applyBorder="1" applyAlignment="1">
      <alignment horizontal="left"/>
    </xf>
    <xf numFmtId="0" fontId="0" fillId="9" borderId="0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left"/>
    </xf>
    <xf numFmtId="0" fontId="0" fillId="8" borderId="0" xfId="0" applyFont="1" applyFill="1" applyBorder="1" applyAlignment="1">
      <alignment horizontal="left"/>
    </xf>
    <xf numFmtId="0" fontId="0" fillId="9" borderId="0" xfId="0" applyFont="1" applyFill="1" applyBorder="1" applyAlignment="1">
      <alignment horizontal="left"/>
    </xf>
    <xf numFmtId="0" fontId="6" fillId="7" borderId="0" xfId="0" applyFont="1" applyFill="1" applyProtection="1">
      <protection hidden="1"/>
    </xf>
    <xf numFmtId="0" fontId="6" fillId="0" borderId="25" xfId="0" applyFont="1" applyBorder="1" applyAlignment="1"/>
    <xf numFmtId="0" fontId="6" fillId="0" borderId="25" xfId="0" applyFont="1" applyBorder="1"/>
    <xf numFmtId="0" fontId="6" fillId="0" borderId="0" xfId="0" applyFont="1"/>
    <xf numFmtId="0" fontId="6" fillId="7" borderId="36" xfId="0" applyFont="1" applyFill="1" applyBorder="1"/>
    <xf numFmtId="0" fontId="8" fillId="7" borderId="0" xfId="0" applyFont="1" applyFill="1" applyBorder="1"/>
    <xf numFmtId="0" fontId="6" fillId="7" borderId="0" xfId="0" applyFont="1" applyFill="1" applyBorder="1"/>
    <xf numFmtId="0" fontId="6" fillId="7" borderId="37" xfId="0" applyFont="1" applyFill="1" applyBorder="1"/>
    <xf numFmtId="0" fontId="6" fillId="7" borderId="0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0" borderId="0" xfId="0" applyFont="1" applyFill="1" applyBorder="1"/>
    <xf numFmtId="0" fontId="6" fillId="0" borderId="0" xfId="0" applyFont="1" applyFill="1" applyBorder="1" applyAlignment="1">
      <alignment horizontal="left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/>
    <xf numFmtId="0" fontId="6" fillId="6" borderId="19" xfId="0" applyFont="1" applyFill="1" applyBorder="1"/>
    <xf numFmtId="0" fontId="6" fillId="7" borderId="0" xfId="0" applyFont="1" applyFill="1" applyBorder="1" applyAlignment="1">
      <alignment horizontal="left"/>
    </xf>
    <xf numFmtId="0" fontId="6" fillId="7" borderId="0" xfId="0" applyFont="1" applyFill="1" applyBorder="1" applyAlignment="1"/>
    <xf numFmtId="0" fontId="6" fillId="7" borderId="0" xfId="0" applyFont="1" applyFill="1"/>
    <xf numFmtId="0" fontId="6" fillId="7" borderId="0" xfId="0" applyFont="1" applyFill="1" applyBorder="1" applyAlignment="1">
      <alignment horizontal="center" vertical="center" wrapText="1"/>
    </xf>
    <xf numFmtId="0" fontId="6" fillId="7" borderId="0" xfId="0" applyFont="1" applyFill="1" applyBorder="1" applyAlignment="1">
      <alignment vertical="center" wrapText="1"/>
    </xf>
    <xf numFmtId="0" fontId="6" fillId="7" borderId="29" xfId="0" applyFont="1" applyFill="1" applyBorder="1"/>
    <xf numFmtId="0" fontId="6" fillId="7" borderId="25" xfId="0" applyFont="1" applyFill="1" applyBorder="1"/>
    <xf numFmtId="0" fontId="6" fillId="7" borderId="25" xfId="0" applyFont="1" applyFill="1" applyBorder="1" applyAlignment="1">
      <alignment horizontal="left"/>
    </xf>
    <xf numFmtId="0" fontId="6" fillId="7" borderId="26" xfId="0" applyFont="1" applyFill="1" applyBorder="1"/>
    <xf numFmtId="0" fontId="6" fillId="7" borderId="33" xfId="0" applyFont="1" applyFill="1" applyBorder="1"/>
    <xf numFmtId="0" fontId="6" fillId="7" borderId="34" xfId="0" applyFont="1" applyFill="1" applyBorder="1"/>
    <xf numFmtId="0" fontId="6" fillId="7" borderId="35" xfId="0" applyFont="1" applyFill="1" applyBorder="1"/>
    <xf numFmtId="0" fontId="6" fillId="4" borderId="18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0" borderId="20" xfId="0" applyFont="1" applyBorder="1"/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7" borderId="34" xfId="0" applyFont="1" applyFill="1" applyBorder="1" applyAlignment="1">
      <alignment horizontal="left"/>
    </xf>
    <xf numFmtId="0" fontId="6" fillId="0" borderId="37" xfId="0" applyFont="1" applyBorder="1"/>
    <xf numFmtId="0" fontId="6" fillId="3" borderId="12" xfId="0" applyFont="1" applyFill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 applyProtection="1">
      <alignment horizontal="center" vertical="center"/>
      <protection locked="0"/>
    </xf>
    <xf numFmtId="0" fontId="7" fillId="7" borderId="0" xfId="0" applyFont="1" applyFill="1" applyBorder="1"/>
    <xf numFmtId="0" fontId="8" fillId="7" borderId="0" xfId="0" applyFont="1" applyFill="1" applyBorder="1" applyAlignment="1">
      <alignment horizontal="left"/>
    </xf>
    <xf numFmtId="0" fontId="8" fillId="6" borderId="0" xfId="0" applyFont="1" applyFill="1" applyBorder="1" applyAlignment="1"/>
    <xf numFmtId="0" fontId="8" fillId="7" borderId="0" xfId="0" applyFont="1" applyFill="1" applyBorder="1" applyAlignment="1"/>
    <xf numFmtId="0" fontId="7" fillId="7" borderId="6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7" borderId="10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8" borderId="18" xfId="0" applyFont="1" applyFill="1" applyBorder="1" applyAlignment="1">
      <alignment horizontal="center"/>
    </xf>
    <xf numFmtId="0" fontId="7" fillId="8" borderId="19" xfId="0" applyFont="1" applyFill="1" applyBorder="1" applyAlignment="1">
      <alignment horizontal="center"/>
    </xf>
    <xf numFmtId="0" fontId="7" fillId="6" borderId="19" xfId="0" applyFont="1" applyFill="1" applyBorder="1"/>
    <xf numFmtId="0" fontId="7" fillId="7" borderId="20" xfId="0" applyFont="1" applyFill="1" applyBorder="1"/>
    <xf numFmtId="0" fontId="7" fillId="7" borderId="15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/>
    </xf>
    <xf numFmtId="0" fontId="7" fillId="4" borderId="18" xfId="0" applyFont="1" applyFill="1" applyBorder="1" applyAlignment="1">
      <alignment horizontal="center"/>
    </xf>
    <xf numFmtId="0" fontId="7" fillId="4" borderId="19" xfId="0" applyFont="1" applyFill="1" applyBorder="1" applyAlignment="1">
      <alignment horizontal="center"/>
    </xf>
    <xf numFmtId="0" fontId="7" fillId="0" borderId="20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8" fillId="7" borderId="0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 applyProtection="1">
      <alignment horizontal="center"/>
      <protection hidden="1"/>
    </xf>
    <xf numFmtId="0" fontId="7" fillId="3" borderId="12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4" fillId="7" borderId="0" xfId="0" applyFont="1" applyFill="1" applyBorder="1" applyAlignment="1">
      <alignment horizontal="center" vertical="center" wrapText="1"/>
    </xf>
    <xf numFmtId="0" fontId="4" fillId="7" borderId="0" xfId="0" applyFont="1" applyFill="1" applyBorder="1" applyAlignment="1" applyProtection="1">
      <alignment vertical="center" wrapText="1"/>
      <protection hidden="1"/>
    </xf>
    <xf numFmtId="0" fontId="4" fillId="7" borderId="0" xfId="0" applyFont="1" applyFill="1" applyBorder="1" applyAlignment="1" applyProtection="1">
      <alignment horizontal="center" vertical="center" wrapText="1"/>
      <protection hidden="1"/>
    </xf>
    <xf numFmtId="0" fontId="4" fillId="7" borderId="0" xfId="0" applyFont="1" applyFill="1" applyBorder="1" applyAlignment="1" applyProtection="1">
      <alignment horizontal="center"/>
      <protection hidden="1"/>
    </xf>
    <xf numFmtId="0" fontId="4" fillId="7" borderId="0" xfId="0" applyFont="1" applyFill="1" applyBorder="1"/>
    <xf numFmtId="0" fontId="6" fillId="7" borderId="36" xfId="0" applyFont="1" applyFill="1" applyBorder="1" applyProtection="1">
      <protection hidden="1"/>
    </xf>
    <xf numFmtId="0" fontId="8" fillId="7" borderId="0" xfId="0" applyFont="1" applyFill="1" applyBorder="1" applyProtection="1">
      <protection hidden="1"/>
    </xf>
    <xf numFmtId="0" fontId="6" fillId="7" borderId="0" xfId="0" applyFont="1" applyFill="1" applyBorder="1" applyProtection="1">
      <protection hidden="1"/>
    </xf>
    <xf numFmtId="0" fontId="7" fillId="7" borderId="0" xfId="0" applyFont="1" applyFill="1" applyBorder="1" applyProtection="1">
      <protection hidden="1"/>
    </xf>
    <xf numFmtId="0" fontId="6" fillId="7" borderId="37" xfId="0" applyFont="1" applyFill="1" applyBorder="1" applyProtection="1">
      <protection hidden="1"/>
    </xf>
    <xf numFmtId="0" fontId="8" fillId="6" borderId="0" xfId="0" applyFont="1" applyFill="1" applyBorder="1" applyAlignment="1" applyProtection="1">
      <protection hidden="1"/>
    </xf>
    <xf numFmtId="0" fontId="8" fillId="7" borderId="0" xfId="0" applyFont="1" applyFill="1" applyBorder="1" applyAlignment="1" applyProtection="1">
      <protection hidden="1"/>
    </xf>
    <xf numFmtId="0" fontId="6" fillId="7" borderId="0" xfId="0" applyFont="1" applyFill="1" applyBorder="1" applyAlignment="1" applyProtection="1">
      <alignment horizontal="left"/>
      <protection hidden="1"/>
    </xf>
    <xf numFmtId="0" fontId="6" fillId="7" borderId="0" xfId="0" applyFont="1" applyFill="1" applyBorder="1" applyAlignment="1" applyProtection="1">
      <alignment horizontal="center" vertical="center" wrapText="1"/>
      <protection hidden="1"/>
    </xf>
    <xf numFmtId="0" fontId="6" fillId="7" borderId="0" xfId="0" applyFont="1" applyFill="1" applyBorder="1" applyAlignment="1" applyProtection="1">
      <alignment horizontal="center"/>
      <protection hidden="1"/>
    </xf>
    <xf numFmtId="0" fontId="6" fillId="7" borderId="0" xfId="0" applyFont="1" applyFill="1" applyBorder="1" applyAlignment="1" applyProtection="1">
      <protection hidden="1"/>
    </xf>
    <xf numFmtId="0" fontId="4" fillId="7" borderId="0" xfId="0" applyFont="1" applyFill="1" applyBorder="1" applyProtection="1">
      <protection hidden="1"/>
    </xf>
    <xf numFmtId="0" fontId="6" fillId="7" borderId="29" xfId="0" applyFont="1" applyFill="1" applyBorder="1" applyProtection="1">
      <protection hidden="1"/>
    </xf>
    <xf numFmtId="0" fontId="6" fillId="7" borderId="25" xfId="0" applyFont="1" applyFill="1" applyBorder="1" applyProtection="1">
      <protection hidden="1"/>
    </xf>
    <xf numFmtId="0" fontId="6" fillId="7" borderId="25" xfId="0" applyFont="1" applyFill="1" applyBorder="1" applyAlignment="1" applyProtection="1">
      <alignment horizontal="left"/>
      <protection hidden="1"/>
    </xf>
    <xf numFmtId="0" fontId="6" fillId="7" borderId="26" xfId="0" applyFont="1" applyFill="1" applyBorder="1" applyProtection="1">
      <protection hidden="1"/>
    </xf>
    <xf numFmtId="0" fontId="6" fillId="3" borderId="11" xfId="0" applyFont="1" applyFill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8" borderId="18" xfId="0" applyFont="1" applyFill="1" applyBorder="1" applyAlignment="1">
      <alignment horizontal="center"/>
    </xf>
    <xf numFmtId="0" fontId="6" fillId="8" borderId="19" xfId="0" applyFont="1" applyFill="1" applyBorder="1" applyAlignment="1">
      <alignment horizontal="center"/>
    </xf>
    <xf numFmtId="0" fontId="6" fillId="7" borderId="20" xfId="0" applyFont="1" applyFill="1" applyBorder="1"/>
    <xf numFmtId="0" fontId="6" fillId="7" borderId="15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6" fillId="7" borderId="17" xfId="0" applyFont="1" applyFill="1" applyBorder="1" applyAlignment="1">
      <alignment horizontal="center"/>
    </xf>
    <xf numFmtId="0" fontId="6" fillId="7" borderId="6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7" borderId="8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>
      <alignment horizontal="center" vertical="center" wrapText="1"/>
    </xf>
    <xf numFmtId="0" fontId="6" fillId="7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1" fillId="7" borderId="0" xfId="0" applyFont="1" applyFill="1" applyProtection="1">
      <protection hidden="1"/>
    </xf>
    <xf numFmtId="0" fontId="12" fillId="7" borderId="0" xfId="0" applyFont="1" applyFill="1" applyProtection="1">
      <protection hidden="1"/>
    </xf>
    <xf numFmtId="0" fontId="8" fillId="7" borderId="0" xfId="0" applyFont="1" applyFill="1" applyBorder="1" applyAlignment="1" applyProtection="1">
      <alignment horizontal="left"/>
      <protection hidden="1"/>
    </xf>
    <xf numFmtId="0" fontId="6" fillId="7" borderId="33" xfId="0" applyFont="1" applyFill="1" applyBorder="1" applyProtection="1">
      <protection hidden="1"/>
    </xf>
    <xf numFmtId="0" fontId="6" fillId="7" borderId="34" xfId="0" applyFont="1" applyFill="1" applyBorder="1" applyProtection="1">
      <protection hidden="1"/>
    </xf>
    <xf numFmtId="0" fontId="6" fillId="7" borderId="35" xfId="0" applyFont="1" applyFill="1" applyBorder="1" applyProtection="1">
      <protection hidden="1"/>
    </xf>
    <xf numFmtId="0" fontId="7" fillId="0" borderId="7" xfId="0" applyFont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 wrapText="1"/>
      <protection hidden="1"/>
    </xf>
    <xf numFmtId="0" fontId="6" fillId="4" borderId="18" xfId="0" applyFont="1" applyFill="1" applyBorder="1" applyAlignment="1" applyProtection="1">
      <alignment horizontal="center"/>
      <protection hidden="1"/>
    </xf>
    <xf numFmtId="0" fontId="6" fillId="4" borderId="19" xfId="0" applyFont="1" applyFill="1" applyBorder="1" applyAlignment="1" applyProtection="1">
      <alignment horizontal="center"/>
      <protection hidden="1"/>
    </xf>
    <xf numFmtId="0" fontId="6" fillId="6" borderId="19" xfId="0" applyFont="1" applyFill="1" applyBorder="1" applyProtection="1">
      <protection hidden="1"/>
    </xf>
    <xf numFmtId="0" fontId="6" fillId="0" borderId="20" xfId="0" applyFont="1" applyBorder="1" applyProtection="1">
      <protection hidden="1"/>
    </xf>
    <xf numFmtId="0" fontId="6" fillId="0" borderId="15" xfId="0" applyFont="1" applyBorder="1" applyAlignment="1" applyProtection="1">
      <alignment horizontal="center" vertical="center"/>
      <protection hidden="1"/>
    </xf>
    <xf numFmtId="0" fontId="6" fillId="0" borderId="16" xfId="0" applyFont="1" applyBorder="1" applyAlignment="1" applyProtection="1">
      <alignment horizontal="center" vertical="center"/>
      <protection hidden="1"/>
    </xf>
    <xf numFmtId="0" fontId="6" fillId="0" borderId="17" xfId="0" applyFont="1" applyBorder="1" applyAlignment="1" applyProtection="1">
      <alignment horizontal="center" vertical="center"/>
      <protection hidden="1"/>
    </xf>
    <xf numFmtId="0" fontId="0" fillId="7" borderId="52" xfId="0" applyFill="1" applyBorder="1" applyProtection="1">
      <protection hidden="1"/>
    </xf>
    <xf numFmtId="0" fontId="6" fillId="0" borderId="58" xfId="0" applyFont="1" applyBorder="1" applyAlignment="1" applyProtection="1">
      <alignment horizontal="center"/>
      <protection hidden="1"/>
    </xf>
    <xf numFmtId="0" fontId="6" fillId="0" borderId="59" xfId="0" applyFont="1" applyBorder="1" applyAlignment="1" applyProtection="1">
      <alignment horizontal="center"/>
      <protection hidden="1"/>
    </xf>
    <xf numFmtId="0" fontId="6" fillId="3" borderId="60" xfId="0" applyFont="1" applyFill="1" applyBorder="1" applyAlignment="1" applyProtection="1">
      <alignment horizontal="center"/>
      <protection hidden="1"/>
    </xf>
    <xf numFmtId="0" fontId="6" fillId="3" borderId="60" xfId="0" applyFont="1" applyFill="1" applyBorder="1" applyAlignment="1" applyProtection="1">
      <alignment horizontal="center"/>
      <protection locked="0" hidden="1"/>
    </xf>
    <xf numFmtId="0" fontId="6" fillId="3" borderId="61" xfId="0" applyFont="1" applyFill="1" applyBorder="1" applyAlignment="1" applyProtection="1">
      <alignment horizontal="center"/>
      <protection locked="0" hidden="1"/>
    </xf>
    <xf numFmtId="0" fontId="6" fillId="3" borderId="63" xfId="0" applyFont="1" applyFill="1" applyBorder="1" applyAlignment="1" applyProtection="1">
      <alignment horizontal="center"/>
      <protection hidden="1"/>
    </xf>
    <xf numFmtId="0" fontId="6" fillId="7" borderId="62" xfId="0" applyFont="1" applyFill="1" applyBorder="1" applyProtection="1">
      <protection hidden="1"/>
    </xf>
    <xf numFmtId="0" fontId="6" fillId="7" borderId="52" xfId="0" applyFont="1" applyFill="1" applyBorder="1" applyProtection="1">
      <protection hidden="1"/>
    </xf>
    <xf numFmtId="0" fontId="6" fillId="7" borderId="52" xfId="0" applyFont="1" applyFill="1" applyBorder="1" applyAlignment="1" applyProtection="1">
      <alignment vertical="center" wrapText="1"/>
      <protection hidden="1"/>
    </xf>
    <xf numFmtId="0" fontId="6" fillId="7" borderId="62" xfId="0" applyFont="1" applyFill="1" applyBorder="1" applyAlignment="1" applyProtection="1">
      <alignment horizontal="left"/>
      <protection hidden="1"/>
    </xf>
    <xf numFmtId="0" fontId="4" fillId="7" borderId="52" xfId="0" applyFont="1" applyFill="1" applyBorder="1" applyProtection="1">
      <protection hidden="1"/>
    </xf>
    <xf numFmtId="0" fontId="6" fillId="7" borderId="64" xfId="0" applyFont="1" applyFill="1" applyBorder="1" applyProtection="1">
      <protection hidden="1"/>
    </xf>
    <xf numFmtId="0" fontId="0" fillId="7" borderId="62" xfId="0" applyFill="1" applyBorder="1" applyProtection="1">
      <protection hidden="1"/>
    </xf>
    <xf numFmtId="0" fontId="13" fillId="7" borderId="0" xfId="0" applyFont="1" applyFill="1" applyProtection="1">
      <protection hidden="1"/>
    </xf>
    <xf numFmtId="0" fontId="13" fillId="7" borderId="0" xfId="0" applyFont="1" applyFill="1" applyBorder="1" applyProtection="1">
      <protection hidden="1"/>
    </xf>
    <xf numFmtId="49" fontId="0" fillId="7" borderId="0" xfId="0" applyNumberFormat="1" applyFill="1" applyBorder="1"/>
    <xf numFmtId="49" fontId="1" fillId="7" borderId="0" xfId="0" applyNumberFormat="1" applyFont="1" applyFill="1" applyBorder="1"/>
    <xf numFmtId="49" fontId="14" fillId="7" borderId="0" xfId="0" applyNumberFormat="1" applyFont="1" applyFill="1" applyBorder="1"/>
    <xf numFmtId="0" fontId="4" fillId="7" borderId="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 applyProtection="1">
      <alignment horizontal="center" vertical="center"/>
    </xf>
    <xf numFmtId="0" fontId="6" fillId="12" borderId="5" xfId="0" applyFont="1" applyFill="1" applyBorder="1" applyAlignment="1">
      <alignment horizontal="center" vertical="center" wrapText="1"/>
    </xf>
    <xf numFmtId="0" fontId="6" fillId="7" borderId="0" xfId="0" applyFont="1" applyFill="1" applyBorder="1" applyAlignment="1" applyProtection="1">
      <alignment vertical="center" wrapText="1"/>
      <protection hidden="1"/>
    </xf>
    <xf numFmtId="0" fontId="16" fillId="7" borderId="0" xfId="0" applyFont="1" applyFill="1" applyProtection="1">
      <protection hidden="1"/>
    </xf>
    <xf numFmtId="0" fontId="17" fillId="7" borderId="0" xfId="0" applyFont="1" applyFill="1" applyProtection="1">
      <protection hidden="1"/>
    </xf>
    <xf numFmtId="0" fontId="0" fillId="7" borderId="56" xfId="0" applyFill="1" applyBorder="1" applyProtection="1">
      <protection hidden="1"/>
    </xf>
    <xf numFmtId="0" fontId="16" fillId="7" borderId="62" xfId="0" applyFont="1" applyFill="1" applyBorder="1" applyProtection="1">
      <protection hidden="1"/>
    </xf>
    <xf numFmtId="0" fontId="0" fillId="7" borderId="57" xfId="0" applyFill="1" applyBorder="1" applyProtection="1">
      <protection hidden="1"/>
    </xf>
    <xf numFmtId="0" fontId="6" fillId="0" borderId="68" xfId="0" applyFont="1" applyBorder="1" applyAlignment="1" applyProtection="1">
      <alignment horizontal="center"/>
      <protection hidden="1"/>
    </xf>
    <xf numFmtId="0" fontId="6" fillId="0" borderId="69" xfId="0" applyFont="1" applyBorder="1" applyAlignment="1" applyProtection="1">
      <alignment horizontal="center"/>
      <protection hidden="1"/>
    </xf>
    <xf numFmtId="0" fontId="7" fillId="0" borderId="71" xfId="0" applyFont="1" applyBorder="1" applyAlignment="1" applyProtection="1">
      <alignment horizontal="center" vertical="center"/>
      <protection hidden="1"/>
    </xf>
    <xf numFmtId="0" fontId="13" fillId="7" borderId="0" xfId="0" applyFont="1" applyFill="1" applyBorder="1"/>
    <xf numFmtId="0" fontId="8" fillId="7" borderId="0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 vertical="center" wrapText="1"/>
    </xf>
    <xf numFmtId="0" fontId="6" fillId="0" borderId="0" xfId="0" applyFont="1" applyBorder="1"/>
    <xf numFmtId="0" fontId="15" fillId="7" borderId="0" xfId="0" applyFont="1" applyFill="1" applyBorder="1"/>
    <xf numFmtId="0" fontId="7" fillId="7" borderId="9" xfId="0" applyFont="1" applyFill="1" applyBorder="1" applyAlignment="1" applyProtection="1">
      <alignment horizontal="center" vertical="center"/>
      <protection hidden="1"/>
    </xf>
    <xf numFmtId="0" fontId="7" fillId="7" borderId="5" xfId="0" applyFont="1" applyFill="1" applyBorder="1" applyAlignment="1" applyProtection="1">
      <alignment horizontal="center" vertical="center"/>
      <protection hidden="1"/>
    </xf>
    <xf numFmtId="0" fontId="7" fillId="7" borderId="10" xfId="0" applyFont="1" applyFill="1" applyBorder="1" applyAlignment="1" applyProtection="1">
      <alignment horizontal="center" vertical="center"/>
      <protection hidden="1"/>
    </xf>
    <xf numFmtId="0" fontId="7" fillId="3" borderId="11" xfId="0" applyFont="1" applyFill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/>
      <protection locked="0" hidden="1"/>
    </xf>
    <xf numFmtId="0" fontId="7" fillId="3" borderId="13" xfId="0" applyFont="1" applyFill="1" applyBorder="1" applyAlignment="1" applyProtection="1">
      <alignment horizontal="center" vertical="center"/>
      <protection locked="0" hidden="1"/>
    </xf>
    <xf numFmtId="0" fontId="4" fillId="7" borderId="0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left" vertical="center" wrapText="1"/>
    </xf>
    <xf numFmtId="0" fontId="4" fillId="7" borderId="0" xfId="0" applyFont="1" applyFill="1" applyBorder="1" applyAlignment="1">
      <alignment horizontal="left" wrapText="1"/>
    </xf>
    <xf numFmtId="0" fontId="4" fillId="7" borderId="0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left"/>
    </xf>
    <xf numFmtId="0" fontId="0" fillId="8" borderId="0" xfId="0" applyFont="1" applyFill="1" applyBorder="1" applyAlignment="1">
      <alignment horizontal="left"/>
    </xf>
    <xf numFmtId="0" fontId="0" fillId="9" borderId="0" xfId="0" applyFont="1" applyFill="1" applyBorder="1" applyAlignment="1">
      <alignment horizontal="left"/>
    </xf>
    <xf numFmtId="0" fontId="8" fillId="7" borderId="0" xfId="0" applyFont="1" applyFill="1" applyBorder="1" applyAlignment="1" applyProtection="1">
      <alignment horizontal="left"/>
      <protection hidden="1"/>
    </xf>
    <xf numFmtId="0" fontId="7" fillId="7" borderId="7" xfId="0" applyFont="1" applyFill="1" applyBorder="1" applyAlignment="1" applyProtection="1">
      <alignment horizontal="center" vertical="center" wrapText="1"/>
      <protection hidden="1"/>
    </xf>
    <xf numFmtId="0" fontId="0" fillId="7" borderId="0" xfId="0" applyFill="1" applyBorder="1" applyAlignment="1">
      <alignment horizontal="left"/>
    </xf>
    <xf numFmtId="0" fontId="7" fillId="2" borderId="5" xfId="0" applyFont="1" applyFill="1" applyBorder="1" applyAlignment="1">
      <alignment vertical="center" wrapText="1"/>
    </xf>
    <xf numFmtId="0" fontId="4" fillId="7" borderId="0" xfId="0" applyFont="1" applyFill="1" applyBorder="1" applyAlignment="1" applyProtection="1">
      <alignment horizontal="left"/>
      <protection hidden="1"/>
    </xf>
    <xf numFmtId="0" fontId="4" fillId="7" borderId="62" xfId="0" applyFont="1" applyFill="1" applyBorder="1" applyAlignment="1" applyProtection="1">
      <alignment horizontal="left"/>
      <protection hidden="1"/>
    </xf>
    <xf numFmtId="0" fontId="4" fillId="7" borderId="52" xfId="0" applyFont="1" applyFill="1" applyBorder="1" applyAlignment="1" applyProtection="1">
      <alignment horizontal="left"/>
      <protection hidden="1"/>
    </xf>
    <xf numFmtId="0" fontId="4" fillId="7" borderId="57" xfId="0" applyFont="1" applyFill="1" applyBorder="1" applyAlignment="1" applyProtection="1">
      <alignment horizontal="left"/>
      <protection hidden="1"/>
    </xf>
    <xf numFmtId="0" fontId="4" fillId="7" borderId="66" xfId="0" applyFont="1" applyFill="1" applyBorder="1" applyAlignment="1" applyProtection="1">
      <alignment horizontal="left"/>
      <protection hidden="1"/>
    </xf>
    <xf numFmtId="0" fontId="4" fillId="7" borderId="65" xfId="0" applyFont="1" applyFill="1" applyBorder="1" applyAlignment="1" applyProtection="1">
      <alignment horizontal="left"/>
      <protection hidden="1"/>
    </xf>
    <xf numFmtId="0" fontId="4" fillId="7" borderId="67" xfId="0" applyFont="1" applyFill="1" applyBorder="1" applyAlignment="1" applyProtection="1">
      <alignment horizontal="left"/>
      <protection hidden="1"/>
    </xf>
    <xf numFmtId="0" fontId="4" fillId="7" borderId="52" xfId="0" applyFont="1" applyFill="1" applyBorder="1" applyAlignment="1" applyProtection="1">
      <alignment horizontal="left" wrapText="1"/>
      <protection hidden="1"/>
    </xf>
    <xf numFmtId="0" fontId="4" fillId="7" borderId="57" xfId="0" applyFont="1" applyFill="1" applyBorder="1" applyAlignment="1" applyProtection="1">
      <alignment horizontal="left" wrapText="1"/>
      <protection hidden="1"/>
    </xf>
    <xf numFmtId="0" fontId="4" fillId="7" borderId="0" xfId="0" applyFont="1" applyFill="1" applyBorder="1" applyAlignment="1" applyProtection="1">
      <alignment horizontal="left" vertical="center" wrapText="1"/>
      <protection hidden="1"/>
    </xf>
    <xf numFmtId="0" fontId="8" fillId="7" borderId="0" xfId="0" applyFont="1" applyFill="1" applyBorder="1" applyAlignment="1" applyProtection="1">
      <alignment horizontal="left"/>
      <protection hidden="1"/>
    </xf>
    <xf numFmtId="0" fontId="4" fillId="7" borderId="0" xfId="0" applyFont="1" applyFill="1" applyBorder="1" applyAlignment="1" applyProtection="1">
      <alignment horizontal="left" wrapText="1"/>
      <protection hidden="1"/>
    </xf>
    <xf numFmtId="0" fontId="4" fillId="7" borderId="62" xfId="0" applyFont="1" applyFill="1" applyBorder="1" applyAlignment="1" applyProtection="1">
      <alignment horizontal="left" wrapText="1"/>
      <protection hidden="1"/>
    </xf>
    <xf numFmtId="0" fontId="5" fillId="0" borderId="14" xfId="0" applyFont="1" applyBorder="1" applyAlignment="1" applyProtection="1">
      <alignment horizontal="center" vertical="center" wrapText="1"/>
      <protection hidden="1"/>
    </xf>
    <xf numFmtId="0" fontId="5" fillId="0" borderId="24" xfId="0" applyFont="1" applyBorder="1" applyAlignment="1" applyProtection="1">
      <alignment horizontal="center" vertical="center" wrapText="1"/>
      <protection hidden="1"/>
    </xf>
    <xf numFmtId="0" fontId="6" fillId="5" borderId="50" xfId="0" applyFont="1" applyFill="1" applyBorder="1" applyAlignment="1" applyProtection="1">
      <alignment horizontal="center"/>
      <protection hidden="1"/>
    </xf>
    <xf numFmtId="0" fontId="6" fillId="5" borderId="3" xfId="0" applyFont="1" applyFill="1" applyBorder="1" applyAlignment="1" applyProtection="1">
      <alignment horizontal="center"/>
      <protection hidden="1"/>
    </xf>
    <xf numFmtId="0" fontId="6" fillId="5" borderId="51" xfId="0" applyFont="1" applyFill="1" applyBorder="1" applyAlignment="1" applyProtection="1">
      <alignment horizontal="center"/>
      <protection hidden="1"/>
    </xf>
    <xf numFmtId="0" fontId="8" fillId="11" borderId="0" xfId="0" applyFont="1" applyFill="1" applyBorder="1" applyAlignment="1" applyProtection="1">
      <alignment horizontal="left"/>
      <protection hidden="1"/>
    </xf>
    <xf numFmtId="0" fontId="9" fillId="3" borderId="0" xfId="0" applyFont="1" applyFill="1" applyBorder="1" applyAlignment="1" applyProtection="1">
      <alignment horizontal="left"/>
      <protection hidden="1"/>
    </xf>
    <xf numFmtId="0" fontId="8" fillId="8" borderId="0" xfId="0" applyFont="1" applyFill="1" applyBorder="1" applyAlignment="1" applyProtection="1">
      <alignment horizontal="left"/>
      <protection hidden="1"/>
    </xf>
    <xf numFmtId="0" fontId="8" fillId="9" borderId="0" xfId="0" applyFont="1" applyFill="1" applyBorder="1" applyAlignment="1" applyProtection="1">
      <alignment horizontal="left"/>
      <protection hidden="1"/>
    </xf>
    <xf numFmtId="0" fontId="7" fillId="0" borderId="14" xfId="0" applyFont="1" applyBorder="1" applyAlignment="1" applyProtection="1">
      <alignment horizontal="center" vertical="center" wrapText="1"/>
      <protection hidden="1"/>
    </xf>
    <xf numFmtId="0" fontId="7" fillId="0" borderId="24" xfId="0" applyFont="1" applyBorder="1" applyAlignment="1" applyProtection="1">
      <alignment horizontal="center" vertical="center" wrapText="1"/>
      <protection hidden="1"/>
    </xf>
    <xf numFmtId="0" fontId="7" fillId="0" borderId="72" xfId="0" applyFont="1" applyBorder="1" applyAlignment="1" applyProtection="1">
      <alignment horizontal="center" vertical="center" wrapText="1"/>
      <protection hidden="1"/>
    </xf>
    <xf numFmtId="0" fontId="7" fillId="0" borderId="66" xfId="0" applyFont="1" applyBorder="1" applyAlignment="1" applyProtection="1">
      <alignment horizontal="center" vertical="center" wrapText="1"/>
      <protection hidden="1"/>
    </xf>
    <xf numFmtId="0" fontId="7" fillId="0" borderId="65" xfId="0" applyFont="1" applyBorder="1" applyAlignment="1" applyProtection="1">
      <alignment horizontal="center" vertical="center" wrapText="1"/>
      <protection hidden="1"/>
    </xf>
    <xf numFmtId="0" fontId="7" fillId="0" borderId="56" xfId="0" applyFont="1" applyBorder="1" applyAlignment="1" applyProtection="1">
      <alignment horizontal="center" vertical="center" wrapText="1"/>
      <protection hidden="1"/>
    </xf>
    <xf numFmtId="0" fontId="7" fillId="0" borderId="52" xfId="0" applyFont="1" applyBorder="1" applyAlignment="1" applyProtection="1">
      <alignment horizontal="center" vertical="center" wrapText="1"/>
      <protection hidden="1"/>
    </xf>
    <xf numFmtId="0" fontId="7" fillId="0" borderId="57" xfId="0" applyFont="1" applyBorder="1" applyAlignment="1" applyProtection="1">
      <alignment horizontal="center" vertical="center" wrapText="1"/>
      <protection hidden="1"/>
    </xf>
    <xf numFmtId="0" fontId="7" fillId="2" borderId="30" xfId="0" applyFont="1" applyFill="1" applyBorder="1" applyAlignment="1" applyProtection="1">
      <alignment horizontal="center" vertical="center" wrapText="1"/>
      <protection hidden="1"/>
    </xf>
    <xf numFmtId="0" fontId="7" fillId="2" borderId="31" xfId="0" applyFont="1" applyFill="1" applyBorder="1" applyAlignment="1" applyProtection="1">
      <alignment horizontal="center" vertical="center" wrapText="1"/>
      <protection hidden="1"/>
    </xf>
    <xf numFmtId="0" fontId="7" fillId="2" borderId="32" xfId="0" applyFont="1" applyFill="1" applyBorder="1" applyAlignment="1" applyProtection="1">
      <alignment horizontal="center" vertical="center" wrapText="1"/>
      <protection hidden="1"/>
    </xf>
    <xf numFmtId="0" fontId="7" fillId="2" borderId="38" xfId="0" applyFont="1" applyFill="1" applyBorder="1" applyAlignment="1" applyProtection="1">
      <alignment horizontal="center" vertical="center" wrapText="1"/>
      <protection hidden="1"/>
    </xf>
    <xf numFmtId="0" fontId="7" fillId="2" borderId="70" xfId="0" applyFont="1" applyFill="1" applyBorder="1" applyAlignment="1" applyProtection="1">
      <alignment horizontal="center" vertical="center" wrapText="1"/>
      <protection hidden="1"/>
    </xf>
    <xf numFmtId="0" fontId="6" fillId="10" borderId="2" xfId="0" applyFont="1" applyFill="1" applyBorder="1" applyAlignment="1" applyProtection="1">
      <alignment horizontal="left"/>
      <protection hidden="1"/>
    </xf>
    <xf numFmtId="0" fontId="6" fillId="10" borderId="3" xfId="0" applyFont="1" applyFill="1" applyBorder="1" applyAlignment="1" applyProtection="1">
      <alignment horizontal="left"/>
      <protection hidden="1"/>
    </xf>
    <xf numFmtId="0" fontId="6" fillId="10" borderId="55" xfId="0" applyFont="1" applyFill="1" applyBorder="1" applyAlignment="1" applyProtection="1">
      <alignment horizontal="left"/>
      <protection hidden="1"/>
    </xf>
    <xf numFmtId="0" fontId="6" fillId="3" borderId="56" xfId="0" applyFont="1" applyFill="1" applyBorder="1" applyAlignment="1" applyProtection="1">
      <alignment horizontal="right"/>
      <protection locked="0" hidden="1"/>
    </xf>
    <xf numFmtId="0" fontId="6" fillId="3" borderId="57" xfId="0" applyFont="1" applyFill="1" applyBorder="1" applyAlignment="1" applyProtection="1">
      <alignment horizontal="right"/>
      <protection locked="0" hidden="1"/>
    </xf>
    <xf numFmtId="0" fontId="7" fillId="0" borderId="21" xfId="0" applyFont="1" applyBorder="1" applyAlignment="1" applyProtection="1">
      <alignment horizontal="center" vertical="center"/>
      <protection hidden="1"/>
    </xf>
    <xf numFmtId="0" fontId="7" fillId="0" borderId="22" xfId="0" applyFont="1" applyBorder="1" applyAlignment="1" applyProtection="1">
      <alignment horizontal="center" vertical="center"/>
      <protection hidden="1"/>
    </xf>
    <xf numFmtId="0" fontId="7" fillId="0" borderId="23" xfId="0" applyFont="1" applyBorder="1" applyAlignment="1" applyProtection="1">
      <alignment horizontal="center" vertical="center"/>
      <protection hidden="1"/>
    </xf>
    <xf numFmtId="0" fontId="6" fillId="3" borderId="54" xfId="0" applyFont="1" applyFill="1" applyBorder="1" applyAlignment="1" applyProtection="1">
      <alignment horizontal="left"/>
      <protection locked="0" hidden="1"/>
    </xf>
    <xf numFmtId="0" fontId="6" fillId="3" borderId="53" xfId="0" applyFont="1" applyFill="1" applyBorder="1" applyAlignment="1" applyProtection="1">
      <alignment horizontal="left"/>
      <protection locked="0" hidden="1"/>
    </xf>
    <xf numFmtId="0" fontId="6" fillId="3" borderId="54" xfId="0" applyFont="1" applyFill="1" applyBorder="1" applyAlignment="1" applyProtection="1">
      <alignment horizontal="right"/>
      <protection locked="0" hidden="1"/>
    </xf>
    <xf numFmtId="0" fontId="6" fillId="3" borderId="53" xfId="0" applyFont="1" applyFill="1" applyBorder="1" applyAlignment="1" applyProtection="1">
      <alignment horizontal="right"/>
      <protection locked="0" hidden="1"/>
    </xf>
    <xf numFmtId="0" fontId="4" fillId="7" borderId="0" xfId="0" applyFont="1" applyFill="1" applyAlignment="1" applyProtection="1">
      <alignment horizontal="left"/>
      <protection hidden="1"/>
    </xf>
    <xf numFmtId="49" fontId="6" fillId="3" borderId="2" xfId="0" applyNumberFormat="1" applyFont="1" applyFill="1" applyBorder="1" applyAlignment="1" applyProtection="1">
      <alignment horizontal="right"/>
      <protection locked="0" hidden="1"/>
    </xf>
    <xf numFmtId="49" fontId="6" fillId="3" borderId="4" xfId="0" applyNumberFormat="1" applyFont="1" applyFill="1" applyBorder="1" applyAlignment="1" applyProtection="1">
      <alignment horizontal="right"/>
      <protection locked="0" hidden="1"/>
    </xf>
    <xf numFmtId="0" fontId="6" fillId="10" borderId="4" xfId="0" applyFont="1" applyFill="1" applyBorder="1" applyAlignment="1" applyProtection="1">
      <alignment horizontal="left"/>
      <protection hidden="1"/>
    </xf>
    <xf numFmtId="0" fontId="6" fillId="3" borderId="2" xfId="0" applyFont="1" applyFill="1" applyBorder="1" applyAlignment="1" applyProtection="1">
      <alignment horizontal="left"/>
      <protection locked="0" hidden="1"/>
    </xf>
    <xf numFmtId="0" fontId="6" fillId="3" borderId="3" xfId="0" applyFont="1" applyFill="1" applyBorder="1" applyAlignment="1" applyProtection="1">
      <alignment horizontal="left"/>
      <protection locked="0" hidden="1"/>
    </xf>
    <xf numFmtId="0" fontId="6" fillId="3" borderId="4" xfId="0" applyFont="1" applyFill="1" applyBorder="1" applyAlignment="1" applyProtection="1">
      <alignment horizontal="left"/>
      <protection locked="0" hidden="1"/>
    </xf>
    <xf numFmtId="0" fontId="6" fillId="3" borderId="2" xfId="0" applyFont="1" applyFill="1" applyBorder="1" applyAlignment="1" applyProtection="1">
      <alignment horizontal="right"/>
      <protection locked="0" hidden="1"/>
    </xf>
    <xf numFmtId="0" fontId="6" fillId="3" borderId="4" xfId="0" applyFont="1" applyFill="1" applyBorder="1" applyAlignment="1" applyProtection="1">
      <alignment horizontal="right"/>
      <protection locked="0" hidden="1"/>
    </xf>
    <xf numFmtId="0" fontId="7" fillId="7" borderId="21" xfId="0" applyFont="1" applyFill="1" applyBorder="1" applyAlignment="1" applyProtection="1">
      <alignment horizontal="center" vertical="center" wrapText="1"/>
      <protection hidden="1"/>
    </xf>
    <xf numFmtId="0" fontId="7" fillId="7" borderId="22" xfId="0" applyFont="1" applyFill="1" applyBorder="1" applyAlignment="1" applyProtection="1">
      <alignment horizontal="center" vertical="center" wrapText="1"/>
      <protection hidden="1"/>
    </xf>
    <xf numFmtId="0" fontId="7" fillId="7" borderId="23" xfId="0" applyFont="1" applyFill="1" applyBorder="1" applyAlignment="1" applyProtection="1">
      <alignment horizontal="center" vertical="center" wrapText="1"/>
      <protection hidden="1"/>
    </xf>
    <xf numFmtId="0" fontId="7" fillId="7" borderId="14" xfId="0" applyFont="1" applyFill="1" applyBorder="1" applyAlignment="1" applyProtection="1">
      <alignment horizontal="center" vertical="center" wrapText="1"/>
      <protection hidden="1"/>
    </xf>
    <xf numFmtId="0" fontId="7" fillId="7" borderId="24" xfId="0" applyFont="1" applyFill="1" applyBorder="1" applyAlignment="1" applyProtection="1">
      <alignment horizontal="center" vertical="center" wrapText="1"/>
      <protection hidden="1"/>
    </xf>
    <xf numFmtId="0" fontId="5" fillId="7" borderId="14" xfId="0" applyFont="1" applyFill="1" applyBorder="1" applyAlignment="1" applyProtection="1">
      <alignment horizontal="center" vertical="center" wrapText="1"/>
      <protection hidden="1"/>
    </xf>
    <xf numFmtId="0" fontId="5" fillId="7" borderId="24" xfId="0" applyFont="1" applyFill="1" applyBorder="1" applyAlignment="1" applyProtection="1">
      <alignment horizontal="center" vertical="center" wrapText="1"/>
      <protection hidden="1"/>
    </xf>
    <xf numFmtId="0" fontId="7" fillId="7" borderId="48" xfId="0" applyFont="1" applyFill="1" applyBorder="1" applyAlignment="1" applyProtection="1">
      <alignment horizontal="center" vertical="center" wrapText="1"/>
      <protection hidden="1"/>
    </xf>
    <xf numFmtId="0" fontId="7" fillId="7" borderId="49" xfId="0" applyFont="1" applyFill="1" applyBorder="1" applyAlignment="1" applyProtection="1">
      <alignment horizontal="center" vertical="center" wrapText="1"/>
      <protection hidden="1"/>
    </xf>
    <xf numFmtId="0" fontId="4" fillId="7" borderId="0" xfId="0" applyFont="1" applyFill="1" applyAlignment="1" applyProtection="1">
      <alignment horizontal="center"/>
      <protection hidden="1"/>
    </xf>
    <xf numFmtId="0" fontId="6" fillId="5" borderId="19" xfId="0" applyFont="1" applyFill="1" applyBorder="1" applyAlignment="1" applyProtection="1">
      <alignment horizontal="center"/>
      <protection hidden="1"/>
    </xf>
    <xf numFmtId="0" fontId="7" fillId="7" borderId="21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2" borderId="30" xfId="0" applyFont="1" applyFill="1" applyBorder="1" applyAlignment="1">
      <alignment horizontal="center" vertical="center" wrapText="1"/>
    </xf>
    <xf numFmtId="0" fontId="7" fillId="2" borderId="31" xfId="0" applyFont="1" applyFill="1" applyBorder="1" applyAlignment="1">
      <alignment horizontal="center" vertic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7" fillId="7" borderId="48" xfId="0" applyFont="1" applyFill="1" applyBorder="1" applyAlignment="1">
      <alignment horizontal="center" vertical="center" wrapText="1"/>
    </xf>
    <xf numFmtId="0" fontId="7" fillId="7" borderId="49" xfId="0" applyFont="1" applyFill="1" applyBorder="1" applyAlignment="1">
      <alignment horizontal="center" vertical="center" wrapText="1"/>
    </xf>
    <xf numFmtId="0" fontId="5" fillId="7" borderId="14" xfId="0" applyFont="1" applyFill="1" applyBorder="1" applyAlignment="1">
      <alignment horizontal="center" vertical="center" wrapText="1"/>
    </xf>
    <xf numFmtId="0" fontId="5" fillId="7" borderId="24" xfId="0" applyFont="1" applyFill="1" applyBorder="1" applyAlignment="1">
      <alignment horizontal="center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7" fillId="7" borderId="46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7" fillId="7" borderId="25" xfId="0" applyFont="1" applyFill="1" applyBorder="1" applyAlignment="1">
      <alignment horizontal="center" vertical="center" wrapText="1"/>
    </xf>
    <xf numFmtId="0" fontId="7" fillId="7" borderId="47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2" borderId="32" xfId="0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left"/>
    </xf>
    <xf numFmtId="0" fontId="7" fillId="5" borderId="19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left" vertical="center" wrapText="1"/>
    </xf>
    <xf numFmtId="0" fontId="8" fillId="7" borderId="0" xfId="0" applyFont="1" applyFill="1" applyBorder="1" applyAlignment="1">
      <alignment horizontal="left"/>
    </xf>
    <xf numFmtId="0" fontId="8" fillId="9" borderId="0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left" wrapText="1"/>
    </xf>
    <xf numFmtId="0" fontId="9" fillId="3" borderId="0" xfId="0" applyFont="1" applyFill="1" applyBorder="1" applyAlignment="1">
      <alignment horizontal="left"/>
    </xf>
    <xf numFmtId="0" fontId="8" fillId="8" borderId="0" xfId="0" applyFont="1" applyFill="1" applyBorder="1" applyAlignment="1">
      <alignment horizontal="left"/>
    </xf>
    <xf numFmtId="0" fontId="7" fillId="9" borderId="19" xfId="0" applyFont="1" applyFill="1" applyBorder="1" applyAlignment="1">
      <alignment horizontal="center"/>
    </xf>
    <xf numFmtId="0" fontId="8" fillId="11" borderId="0" xfId="0" applyFont="1" applyFill="1" applyBorder="1" applyAlignment="1">
      <alignment horizontal="left"/>
    </xf>
    <xf numFmtId="0" fontId="6" fillId="5" borderId="19" xfId="0" applyFont="1" applyFill="1" applyBorder="1" applyAlignment="1">
      <alignment horizontal="center"/>
    </xf>
    <xf numFmtId="0" fontId="6" fillId="7" borderId="44" xfId="0" applyFont="1" applyFill="1" applyBorder="1" applyAlignment="1">
      <alignment horizontal="center" vertical="center" wrapText="1"/>
    </xf>
    <xf numFmtId="0" fontId="6" fillId="7" borderId="45" xfId="0" applyFont="1" applyFill="1" applyBorder="1" applyAlignment="1">
      <alignment horizontal="center" vertical="center" wrapText="1"/>
    </xf>
    <xf numFmtId="0" fontId="6" fillId="7" borderId="27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7" borderId="28" xfId="0" applyFont="1" applyFill="1" applyBorder="1" applyAlignment="1">
      <alignment horizontal="center" vertical="center" wrapText="1"/>
    </xf>
    <xf numFmtId="0" fontId="6" fillId="7" borderId="29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6" fillId="7" borderId="26" xfId="0" applyFont="1" applyFill="1" applyBorder="1" applyAlignment="1">
      <alignment horizontal="center" vertical="center" wrapText="1"/>
    </xf>
    <xf numFmtId="0" fontId="6" fillId="7" borderId="39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6" fillId="7" borderId="42" xfId="0" applyFont="1" applyFill="1" applyBorder="1" applyAlignment="1">
      <alignment horizontal="center" vertical="center" wrapText="1"/>
    </xf>
    <xf numFmtId="0" fontId="6" fillId="2" borderId="38" xfId="0" applyFont="1" applyFill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6" fillId="2" borderId="43" xfId="0" applyFont="1" applyFill="1" applyBorder="1" applyAlignment="1">
      <alignment horizontal="center" vertical="center" wrapText="1"/>
    </xf>
    <xf numFmtId="0" fontId="6" fillId="9" borderId="50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9" borderId="51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48" xfId="0" applyFont="1" applyFill="1" applyBorder="1" applyAlignment="1">
      <alignment horizontal="center" vertical="center" wrapText="1"/>
    </xf>
    <xf numFmtId="0" fontId="6" fillId="7" borderId="49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3" xfId="0" applyFont="1" applyFill="1" applyBorder="1" applyAlignment="1">
      <alignment horizontal="center" vertical="center" wrapText="1"/>
    </xf>
    <xf numFmtId="0" fontId="6" fillId="2" borderId="41" xfId="0" applyFont="1" applyFill="1" applyBorder="1" applyAlignment="1">
      <alignment horizontal="center" vertical="center" wrapText="1"/>
    </xf>
    <xf numFmtId="0" fontId="6" fillId="2" borderId="25" xfId="0" applyFont="1" applyFill="1" applyBorder="1" applyAlignment="1">
      <alignment horizontal="center" vertical="center" wrapText="1"/>
    </xf>
    <xf numFmtId="0" fontId="6" fillId="2" borderId="26" xfId="0" applyFont="1" applyFill="1" applyBorder="1" applyAlignment="1">
      <alignment horizontal="center" vertical="center" wrapText="1"/>
    </xf>
    <xf numFmtId="0" fontId="6" fillId="7" borderId="40" xfId="0" applyFont="1" applyFill="1" applyBorder="1" applyAlignment="1">
      <alignment horizontal="center" vertical="center" wrapText="1"/>
    </xf>
    <xf numFmtId="0" fontId="6" fillId="7" borderId="46" xfId="0" applyFont="1" applyFill="1" applyBorder="1" applyAlignment="1">
      <alignment horizontal="center" vertical="center" wrapText="1"/>
    </xf>
    <xf numFmtId="0" fontId="6" fillId="7" borderId="41" xfId="0" applyFont="1" applyFill="1" applyBorder="1" applyAlignment="1">
      <alignment horizontal="center" vertical="center" wrapText="1"/>
    </xf>
    <xf numFmtId="0" fontId="6" fillId="7" borderId="47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6" fillId="7" borderId="14" xfId="0" applyFont="1" applyFill="1" applyBorder="1" applyAlignment="1">
      <alignment horizontal="center" vertical="center" textRotation="90" wrapText="1"/>
    </xf>
    <xf numFmtId="0" fontId="6" fillId="7" borderId="24" xfId="0" applyFont="1" applyFill="1" applyBorder="1" applyAlignment="1">
      <alignment horizontal="center" vertical="center" textRotation="90" wrapText="1"/>
    </xf>
    <xf numFmtId="0" fontId="6" fillId="9" borderId="19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0" fontId="0" fillId="8" borderId="0" xfId="0" applyFont="1" applyFill="1" applyBorder="1" applyAlignment="1">
      <alignment horizontal="left"/>
    </xf>
    <xf numFmtId="0" fontId="0" fillId="9" borderId="0" xfId="0" applyFont="1" applyFill="1" applyBorder="1" applyAlignment="1">
      <alignment horizontal="left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2" xfId="0" applyFont="1" applyFill="1" applyBorder="1" applyAlignment="1">
      <alignment horizontal="center" vertical="center" wrapText="1"/>
    </xf>
    <xf numFmtId="0" fontId="11" fillId="2" borderId="42" xfId="0" applyFont="1" applyFill="1" applyBorder="1" applyAlignment="1">
      <alignment horizontal="center" vertical="center" wrapText="1"/>
    </xf>
    <xf numFmtId="0" fontId="6" fillId="7" borderId="30" xfId="0" applyFont="1" applyFill="1" applyBorder="1" applyAlignment="1">
      <alignment horizontal="center" vertical="center" wrapText="1"/>
    </xf>
    <xf numFmtId="0" fontId="6" fillId="7" borderId="31" xfId="0" applyFont="1" applyFill="1" applyBorder="1" applyAlignment="1">
      <alignment horizontal="center" vertical="center" wrapText="1"/>
    </xf>
    <xf numFmtId="0" fontId="6" fillId="7" borderId="43" xfId="0" applyFont="1" applyFill="1" applyBorder="1" applyAlignment="1">
      <alignment horizontal="center" vertical="center" wrapText="1"/>
    </xf>
    <xf numFmtId="0" fontId="6" fillId="12" borderId="38" xfId="0" applyFont="1" applyFill="1" applyBorder="1" applyAlignment="1">
      <alignment horizontal="center" vertical="center" wrapText="1"/>
    </xf>
    <xf numFmtId="0" fontId="6" fillId="12" borderId="31" xfId="0" applyFont="1" applyFill="1" applyBorder="1" applyAlignment="1">
      <alignment horizontal="center" vertical="center" wrapText="1"/>
    </xf>
    <xf numFmtId="0" fontId="6" fillId="12" borderId="32" xfId="0" applyFont="1" applyFill="1" applyBorder="1" applyAlignment="1">
      <alignment horizontal="center" vertical="center" wrapText="1"/>
    </xf>
    <xf numFmtId="0" fontId="6" fillId="12" borderId="3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38100</xdr:rowOff>
        </xdr:from>
        <xdr:to>
          <xdr:col>16</xdr:col>
          <xdr:colOff>76200</xdr:colOff>
          <xdr:row>30</xdr:row>
          <xdr:rowOff>28575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record(s) to the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34</xdr:row>
          <xdr:rowOff>0</xdr:rowOff>
        </xdr:from>
        <xdr:to>
          <xdr:col>9</xdr:col>
          <xdr:colOff>295275</xdr:colOff>
          <xdr:row>36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1 record from the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34</xdr:row>
          <xdr:rowOff>9525</xdr:rowOff>
        </xdr:from>
        <xdr:to>
          <xdr:col>5</xdr:col>
          <xdr:colOff>161925</xdr:colOff>
          <xdr:row>36</xdr:row>
          <xdr:rowOff>9525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28</xdr:row>
          <xdr:rowOff>47625</xdr:rowOff>
        </xdr:from>
        <xdr:to>
          <xdr:col>26</xdr:col>
          <xdr:colOff>57150</xdr:colOff>
          <xdr:row>30</xdr:row>
          <xdr:rowOff>38100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new user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28</xdr:row>
          <xdr:rowOff>38100</xdr:rowOff>
        </xdr:from>
        <xdr:to>
          <xdr:col>22</xdr:col>
          <xdr:colOff>133350</xdr:colOff>
          <xdr:row>30</xdr:row>
          <xdr:rowOff>47625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user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123825</xdr:colOff>
      <xdr:row>47</xdr:row>
      <xdr:rowOff>76200</xdr:rowOff>
    </xdr:from>
    <xdr:to>
      <xdr:col>16</xdr:col>
      <xdr:colOff>266700</xdr:colOff>
      <xdr:row>49</xdr:row>
      <xdr:rowOff>9525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 flipV="1">
          <a:off x="5457825" y="9191625"/>
          <a:ext cx="904875" cy="323850"/>
        </a:xfrm>
        <a:prstGeom prst="straightConnector1">
          <a:avLst/>
        </a:prstGeom>
        <a:ln w="12700">
          <a:solidFill>
            <a:srgbClr val="FF0000"/>
          </a:solidFill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352425</xdr:colOff>
      <xdr:row>34</xdr:row>
      <xdr:rowOff>180975</xdr:rowOff>
    </xdr:from>
    <xdr:to>
      <xdr:col>10</xdr:col>
      <xdr:colOff>171450</xdr:colOff>
      <xdr:row>34</xdr:row>
      <xdr:rowOff>180975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3781425" y="6791325"/>
          <a:ext cx="200025" cy="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28</xdr:row>
      <xdr:rowOff>180975</xdr:rowOff>
    </xdr:from>
    <xdr:to>
      <xdr:col>10</xdr:col>
      <xdr:colOff>238125</xdr:colOff>
      <xdr:row>28</xdr:row>
      <xdr:rowOff>180975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3848100" y="5638800"/>
          <a:ext cx="200025" cy="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171450</xdr:colOff>
      <xdr:row>30</xdr:row>
      <xdr:rowOff>76200</xdr:rowOff>
    </xdr:from>
    <xdr:to>
      <xdr:col>13</xdr:col>
      <xdr:colOff>171451</xdr:colOff>
      <xdr:row>31</xdr:row>
      <xdr:rowOff>133350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124450" y="5915025"/>
          <a:ext cx="1" cy="257175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66675</xdr:colOff>
      <xdr:row>30</xdr:row>
      <xdr:rowOff>76200</xdr:rowOff>
    </xdr:from>
    <xdr:to>
      <xdr:col>20</xdr:col>
      <xdr:colOff>66676</xdr:colOff>
      <xdr:row>34</xdr:row>
      <xdr:rowOff>66675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V="1">
          <a:off x="7686675" y="5915025"/>
          <a:ext cx="1" cy="76200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30</xdr:row>
      <xdr:rowOff>76201</xdr:rowOff>
    </xdr:from>
    <xdr:to>
      <xdr:col>24</xdr:col>
      <xdr:colOff>38101</xdr:colOff>
      <xdr:row>31</xdr:row>
      <xdr:rowOff>171450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9182100" y="5915026"/>
          <a:ext cx="1" cy="295274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180976</xdr:colOff>
      <xdr:row>35</xdr:row>
      <xdr:rowOff>66675</xdr:rowOff>
    </xdr:from>
    <xdr:to>
      <xdr:col>2</xdr:col>
      <xdr:colOff>9525</xdr:colOff>
      <xdr:row>35</xdr:row>
      <xdr:rowOff>66675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561976" y="6867525"/>
          <a:ext cx="209549" cy="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47625</xdr:colOff>
      <xdr:row>15</xdr:row>
      <xdr:rowOff>95250</xdr:rowOff>
    </xdr:from>
    <xdr:to>
      <xdr:col>35</xdr:col>
      <xdr:colOff>247650</xdr:colOff>
      <xdr:row>15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13382625" y="3000375"/>
          <a:ext cx="200025" cy="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285750</xdr:colOff>
      <xdr:row>3</xdr:row>
      <xdr:rowOff>57150</xdr:rowOff>
    </xdr:from>
    <xdr:to>
      <xdr:col>10</xdr:col>
      <xdr:colOff>285751</xdr:colOff>
      <xdr:row>5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>
          <a:off x="4095750" y="628650"/>
          <a:ext cx="1" cy="41910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227135</xdr:colOff>
      <xdr:row>3</xdr:row>
      <xdr:rowOff>104775</xdr:rowOff>
    </xdr:from>
    <xdr:to>
      <xdr:col>26</xdr:col>
      <xdr:colOff>227136</xdr:colOff>
      <xdr:row>5</xdr:row>
      <xdr:rowOff>85725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10133135" y="676275"/>
          <a:ext cx="1" cy="36195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4</xdr:row>
      <xdr:rowOff>38100</xdr:rowOff>
    </xdr:from>
    <xdr:to>
      <xdr:col>19</xdr:col>
      <xdr:colOff>57151</xdr:colOff>
      <xdr:row>5</xdr:row>
      <xdr:rowOff>85725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7296150" y="800100"/>
          <a:ext cx="1" cy="238125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104775</xdr:colOff>
      <xdr:row>3</xdr:row>
      <xdr:rowOff>66675</xdr:rowOff>
    </xdr:from>
    <xdr:to>
      <xdr:col>4</xdr:col>
      <xdr:colOff>104776</xdr:colOff>
      <xdr:row>5</xdr:row>
      <xdr:rowOff>85725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628775" y="638175"/>
          <a:ext cx="1" cy="40005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173182</xdr:colOff>
      <xdr:row>34</xdr:row>
      <xdr:rowOff>181841</xdr:rowOff>
    </xdr:from>
    <xdr:to>
      <xdr:col>10</xdr:col>
      <xdr:colOff>173182</xdr:colOff>
      <xdr:row>36</xdr:row>
      <xdr:rowOff>17318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3983182" y="6780068"/>
          <a:ext cx="0" cy="216477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186170</xdr:colOff>
      <xdr:row>35</xdr:row>
      <xdr:rowOff>60614</xdr:rowOff>
    </xdr:from>
    <xdr:to>
      <xdr:col>1</xdr:col>
      <xdr:colOff>186170</xdr:colOff>
      <xdr:row>37</xdr:row>
      <xdr:rowOff>121228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567170" y="6849341"/>
          <a:ext cx="0" cy="441614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233795</xdr:colOff>
      <xdr:row>28</xdr:row>
      <xdr:rowOff>181841</xdr:rowOff>
    </xdr:from>
    <xdr:to>
      <xdr:col>10</xdr:col>
      <xdr:colOff>233795</xdr:colOff>
      <xdr:row>32</xdr:row>
      <xdr:rowOff>90921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4043795" y="5628409"/>
          <a:ext cx="0" cy="679739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249116</xdr:colOff>
      <xdr:row>7</xdr:row>
      <xdr:rowOff>112102</xdr:rowOff>
    </xdr:from>
    <xdr:to>
      <xdr:col>35</xdr:col>
      <xdr:colOff>249116</xdr:colOff>
      <xdr:row>15</xdr:row>
      <xdr:rowOff>95250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13584116" y="1474910"/>
          <a:ext cx="0" cy="1521802"/>
        </a:xfrm>
        <a:prstGeom prst="straightConnector1">
          <a:avLst/>
        </a:prstGeom>
        <a:ln w="12700">
          <a:solidFill>
            <a:srgbClr val="FF0000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190519</xdr:colOff>
      <xdr:row>37</xdr:row>
      <xdr:rowOff>116999</xdr:rowOff>
    </xdr:from>
    <xdr:to>
      <xdr:col>1</xdr:col>
      <xdr:colOff>321670</xdr:colOff>
      <xdr:row>37</xdr:row>
      <xdr:rowOff>116999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571519" y="7295597"/>
          <a:ext cx="131151" cy="0"/>
        </a:xfrm>
        <a:prstGeom prst="straightConnector1">
          <a:avLst/>
        </a:prstGeom>
        <a:ln w="12700">
          <a:solidFill>
            <a:srgbClr val="FF0000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295275</xdr:colOff>
      <xdr:row>47</xdr:row>
      <xdr:rowOff>85725</xdr:rowOff>
    </xdr:from>
    <xdr:to>
      <xdr:col>21</xdr:col>
      <xdr:colOff>104776</xdr:colOff>
      <xdr:row>49</xdr:row>
      <xdr:rowOff>19050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7534275" y="9201150"/>
          <a:ext cx="571501" cy="323850"/>
        </a:xfrm>
        <a:prstGeom prst="straightConnector1">
          <a:avLst/>
        </a:prstGeom>
        <a:ln w="12700">
          <a:solidFill>
            <a:srgbClr val="FF0000"/>
          </a:solidFill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9526</xdr:colOff>
      <xdr:row>13</xdr:row>
      <xdr:rowOff>38100</xdr:rowOff>
    </xdr:from>
    <xdr:to>
      <xdr:col>36</xdr:col>
      <xdr:colOff>333375</xdr:colOff>
      <xdr:row>13</xdr:row>
      <xdr:rowOff>38100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H="1">
          <a:off x="13344526" y="2552700"/>
          <a:ext cx="704849" cy="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36</xdr:col>
      <xdr:colOff>200025</xdr:colOff>
      <xdr:row>14</xdr:row>
      <xdr:rowOff>19050</xdr:rowOff>
    </xdr:from>
    <xdr:to>
      <xdr:col>45</xdr:col>
      <xdr:colOff>332930</xdr:colOff>
      <xdr:row>21</xdr:row>
      <xdr:rowOff>104588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16025" y="2733675"/>
          <a:ext cx="3561905" cy="14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38100</xdr:rowOff>
        </xdr:from>
        <xdr:to>
          <xdr:col>16</xdr:col>
          <xdr:colOff>76200</xdr:colOff>
          <xdr:row>30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record(s) to the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34</xdr:row>
          <xdr:rowOff>0</xdr:rowOff>
        </xdr:from>
        <xdr:to>
          <xdr:col>9</xdr:col>
          <xdr:colOff>295275</xdr:colOff>
          <xdr:row>36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1 record from the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34</xdr:row>
          <xdr:rowOff>9525</xdr:rowOff>
        </xdr:from>
        <xdr:to>
          <xdr:col>5</xdr:col>
          <xdr:colOff>161925</xdr:colOff>
          <xdr:row>36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28</xdr:row>
          <xdr:rowOff>47625</xdr:rowOff>
        </xdr:from>
        <xdr:to>
          <xdr:col>26</xdr:col>
          <xdr:colOff>57150</xdr:colOff>
          <xdr:row>30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new user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28</xdr:row>
          <xdr:rowOff>38100</xdr:rowOff>
        </xdr:from>
        <xdr:to>
          <xdr:col>22</xdr:col>
          <xdr:colOff>133350</xdr:colOff>
          <xdr:row>30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user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50"/>
  <sheetViews>
    <sheetView topLeftCell="A22" workbookViewId="0">
      <selection activeCell="A23" sqref="A23"/>
    </sheetView>
  </sheetViews>
  <sheetFormatPr defaultRowHeight="15" x14ac:dyDescent="0.25"/>
  <cols>
    <col min="1" max="16384" width="9.140625" style="11"/>
  </cols>
  <sheetData>
    <row r="1" spans="1:1" x14ac:dyDescent="0.25">
      <c r="A1" s="193" t="s">
        <v>255</v>
      </c>
    </row>
    <row r="2" spans="1:1" x14ac:dyDescent="0.25">
      <c r="A2" s="193" t="s">
        <v>256</v>
      </c>
    </row>
    <row r="3" spans="1:1" x14ac:dyDescent="0.25">
      <c r="A3" s="193" t="s">
        <v>257</v>
      </c>
    </row>
    <row r="4" spans="1:1" x14ac:dyDescent="0.25">
      <c r="A4" s="193" t="s">
        <v>258</v>
      </c>
    </row>
    <row r="5" spans="1:1" x14ac:dyDescent="0.25">
      <c r="A5" s="193" t="s">
        <v>250</v>
      </c>
    </row>
    <row r="6" spans="1:1" x14ac:dyDescent="0.25">
      <c r="A6" s="193" t="s">
        <v>259</v>
      </c>
    </row>
    <row r="7" spans="1:1" x14ac:dyDescent="0.25">
      <c r="A7" s="193" t="s">
        <v>260</v>
      </c>
    </row>
    <row r="8" spans="1:1" x14ac:dyDescent="0.25">
      <c r="A8" s="193" t="s">
        <v>261</v>
      </c>
    </row>
    <row r="9" spans="1:1" x14ac:dyDescent="0.25">
      <c r="A9" s="193" t="s">
        <v>262</v>
      </c>
    </row>
    <row r="10" spans="1:1" x14ac:dyDescent="0.25">
      <c r="A10" s="193" t="s">
        <v>263</v>
      </c>
    </row>
    <row r="11" spans="1:1" x14ac:dyDescent="0.25">
      <c r="A11" s="193" t="s">
        <v>264</v>
      </c>
    </row>
    <row r="12" spans="1:1" x14ac:dyDescent="0.25">
      <c r="A12" s="193" t="s">
        <v>265</v>
      </c>
    </row>
    <row r="13" spans="1:1" x14ac:dyDescent="0.25">
      <c r="A13" s="193" t="s">
        <v>266</v>
      </c>
    </row>
    <row r="14" spans="1:1" x14ac:dyDescent="0.25">
      <c r="A14" s="193" t="s">
        <v>267</v>
      </c>
    </row>
    <row r="15" spans="1:1" x14ac:dyDescent="0.25">
      <c r="A15" s="193" t="s">
        <v>268</v>
      </c>
    </row>
    <row r="16" spans="1:1" x14ac:dyDescent="0.25">
      <c r="A16" s="193" t="s">
        <v>269</v>
      </c>
    </row>
    <row r="17" spans="1:1" x14ac:dyDescent="0.25">
      <c r="A17" s="193" t="s">
        <v>270</v>
      </c>
    </row>
    <row r="18" spans="1:1" x14ac:dyDescent="0.25">
      <c r="A18" s="193" t="s">
        <v>271</v>
      </c>
    </row>
    <row r="19" spans="1:1" x14ac:dyDescent="0.25">
      <c r="A19" s="193" t="s">
        <v>272</v>
      </c>
    </row>
    <row r="20" spans="1:1" x14ac:dyDescent="0.25">
      <c r="A20" s="193" t="s">
        <v>273</v>
      </c>
    </row>
    <row r="21" spans="1:1" x14ac:dyDescent="0.25">
      <c r="A21" s="193" t="s">
        <v>250</v>
      </c>
    </row>
    <row r="22" spans="1:1" x14ac:dyDescent="0.25">
      <c r="A22" s="193" t="s">
        <v>410</v>
      </c>
    </row>
    <row r="23" spans="1:1" x14ac:dyDescent="0.25">
      <c r="A23" s="193" t="s">
        <v>274</v>
      </c>
    </row>
    <row r="24" spans="1:1" x14ac:dyDescent="0.25">
      <c r="A24" s="193" t="s">
        <v>275</v>
      </c>
    </row>
    <row r="25" spans="1:1" x14ac:dyDescent="0.25">
      <c r="A25" s="193" t="s">
        <v>250</v>
      </c>
    </row>
    <row r="26" spans="1:1" x14ac:dyDescent="0.25">
      <c r="A26" s="193" t="s">
        <v>251</v>
      </c>
    </row>
    <row r="27" spans="1:1" x14ac:dyDescent="0.25">
      <c r="A27" s="193"/>
    </row>
    <row r="28" spans="1:1" x14ac:dyDescent="0.25">
      <c r="A28" s="193" t="s">
        <v>409</v>
      </c>
    </row>
    <row r="29" spans="1:1" x14ac:dyDescent="0.25">
      <c r="A29" s="193"/>
    </row>
    <row r="30" spans="1:1" x14ac:dyDescent="0.25">
      <c r="A30" s="193" t="s">
        <v>254</v>
      </c>
    </row>
    <row r="31" spans="1:1" x14ac:dyDescent="0.25">
      <c r="A31" s="193"/>
    </row>
    <row r="32" spans="1:1" x14ac:dyDescent="0.25">
      <c r="A32" s="194" t="s">
        <v>252</v>
      </c>
    </row>
    <row r="33" spans="1:1" x14ac:dyDescent="0.25">
      <c r="A33" s="193"/>
    </row>
    <row r="34" spans="1:1" x14ac:dyDescent="0.25">
      <c r="A34" s="193" t="s">
        <v>250</v>
      </c>
    </row>
    <row r="35" spans="1:1" x14ac:dyDescent="0.25">
      <c r="A35" s="193"/>
    </row>
    <row r="36" spans="1:1" x14ac:dyDescent="0.25">
      <c r="A36" s="193" t="s">
        <v>253</v>
      </c>
    </row>
    <row r="37" spans="1:1" x14ac:dyDescent="0.25">
      <c r="A37" s="193"/>
    </row>
    <row r="38" spans="1:1" x14ac:dyDescent="0.25">
      <c r="A38" s="195" t="s">
        <v>408</v>
      </c>
    </row>
    <row r="40" spans="1:1" x14ac:dyDescent="0.25">
      <c r="A40" s="195"/>
    </row>
    <row r="42" spans="1:1" x14ac:dyDescent="0.25">
      <c r="A42" s="195"/>
    </row>
    <row r="47" spans="1:1" x14ac:dyDescent="0.25">
      <c r="A47" s="195"/>
    </row>
    <row r="50" spans="1:1" x14ac:dyDescent="0.25">
      <c r="A50" s="195"/>
    </row>
  </sheetData>
  <sheetProtection algorithmName="SHA-512" hashValue="08A4Nn1GNG3Pd+0V9iJ50nJLKBiK5AL8Huiahnfmf7ra4bcwTfFagPr6j34TUYOQraWo4kH3xbzxIH9+RKcQIw==" saltValue="iZ/lL8pVOlQFcvPSmGBq+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3:AL52"/>
  <sheetViews>
    <sheetView zoomScaleNormal="100" workbookViewId="0">
      <selection activeCell="AL235" sqref="AL235:AL236"/>
    </sheetView>
  </sheetViews>
  <sheetFormatPr defaultColWidth="5.7109375" defaultRowHeight="15" x14ac:dyDescent="0.25"/>
  <cols>
    <col min="1" max="16384" width="5.7109375" style="5"/>
  </cols>
  <sheetData>
    <row r="3" spans="1:38" x14ac:dyDescent="0.25">
      <c r="A3" s="31"/>
      <c r="B3" s="191" t="s">
        <v>233</v>
      </c>
      <c r="C3" s="31"/>
      <c r="D3" s="31"/>
      <c r="E3" s="31"/>
      <c r="F3" s="31"/>
      <c r="G3" s="31"/>
      <c r="H3" s="191" t="s">
        <v>234</v>
      </c>
      <c r="I3" s="31"/>
      <c r="J3" s="31"/>
      <c r="K3" s="31"/>
      <c r="L3" s="31"/>
      <c r="M3" s="31"/>
      <c r="N3" s="31"/>
      <c r="O3" s="31"/>
      <c r="P3" s="31"/>
      <c r="Q3" s="191" t="s">
        <v>235</v>
      </c>
      <c r="R3" s="191"/>
      <c r="S3" s="191"/>
      <c r="T3" s="191"/>
      <c r="U3" s="191"/>
      <c r="V3" s="31"/>
      <c r="W3" s="31"/>
      <c r="X3" s="31"/>
      <c r="Y3" s="31"/>
      <c r="Z3" s="31"/>
      <c r="AA3" s="191" t="s">
        <v>242</v>
      </c>
      <c r="AB3" s="31"/>
      <c r="AC3" s="31"/>
      <c r="AD3" s="31"/>
      <c r="AE3" s="31"/>
      <c r="AF3" s="31"/>
      <c r="AG3" s="31"/>
      <c r="AH3" s="31"/>
      <c r="AI3" s="31"/>
      <c r="AJ3" s="31"/>
      <c r="AK3" s="31"/>
    </row>
    <row r="4" spans="1:38" x14ac:dyDescent="0.25">
      <c r="A4" s="31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192" t="s">
        <v>236</v>
      </c>
      <c r="R4" s="192"/>
      <c r="S4" s="192"/>
      <c r="T4" s="192"/>
      <c r="U4" s="192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1"/>
    </row>
    <row r="5" spans="1:38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</row>
    <row r="6" spans="1:38" ht="15.75" thickBot="1" x14ac:dyDescent="0.3">
      <c r="A6" s="31"/>
      <c r="B6" s="31"/>
      <c r="C6" s="31"/>
      <c r="D6" s="31"/>
      <c r="E6" s="177"/>
      <c r="F6" s="177"/>
      <c r="G6" s="31"/>
      <c r="H6" s="31"/>
      <c r="I6" s="31"/>
      <c r="J6" s="31"/>
      <c r="K6" s="177"/>
      <c r="L6" s="177"/>
      <c r="M6" s="177"/>
      <c r="N6" s="177"/>
      <c r="O6" s="177"/>
      <c r="P6" s="31"/>
      <c r="Q6" s="31"/>
      <c r="R6" s="31"/>
      <c r="S6" s="31"/>
      <c r="T6" s="177"/>
      <c r="U6" s="177"/>
      <c r="V6" s="31"/>
      <c r="W6" s="31"/>
      <c r="X6" s="31"/>
      <c r="Y6" s="31"/>
      <c r="Z6" s="31"/>
      <c r="AA6" s="177"/>
      <c r="AB6" s="177"/>
      <c r="AC6" s="31"/>
      <c r="AD6" s="31"/>
      <c r="AE6" s="31"/>
      <c r="AF6" s="191" t="s">
        <v>243</v>
      </c>
      <c r="AG6" s="31"/>
      <c r="AH6" s="31"/>
      <c r="AI6" s="31"/>
      <c r="AJ6" s="31"/>
      <c r="AK6" s="31"/>
    </row>
    <row r="7" spans="1:38" ht="16.5" thickTop="1" thickBot="1" x14ac:dyDescent="0.3">
      <c r="A7" s="31"/>
      <c r="B7" s="267" t="s">
        <v>42</v>
      </c>
      <c r="C7" s="268"/>
      <c r="D7" s="269"/>
      <c r="E7" s="275" t="s">
        <v>51</v>
      </c>
      <c r="F7" s="276"/>
      <c r="G7" s="47"/>
      <c r="H7" s="267" t="s">
        <v>40</v>
      </c>
      <c r="I7" s="268"/>
      <c r="J7" s="269"/>
      <c r="K7" s="275" t="s">
        <v>34</v>
      </c>
      <c r="L7" s="275"/>
      <c r="M7" s="275"/>
      <c r="N7" s="275"/>
      <c r="O7" s="276"/>
      <c r="P7" s="47"/>
      <c r="Q7" s="267" t="s">
        <v>50</v>
      </c>
      <c r="R7" s="268"/>
      <c r="S7" s="269"/>
      <c r="T7" s="277">
        <v>400350</v>
      </c>
      <c r="U7" s="278"/>
      <c r="V7" s="47"/>
      <c r="W7" s="267" t="s">
        <v>213</v>
      </c>
      <c r="X7" s="268"/>
      <c r="Y7" s="268"/>
      <c r="Z7" s="269"/>
      <c r="AA7" s="270">
        <v>28500</v>
      </c>
      <c r="AB7" s="271"/>
      <c r="AC7" s="31"/>
      <c r="AD7" s="31"/>
      <c r="AE7" s="31"/>
      <c r="AF7" s="191" t="s">
        <v>244</v>
      </c>
      <c r="AG7" s="31"/>
      <c r="AH7" s="31"/>
      <c r="AI7" s="31"/>
      <c r="AJ7" s="31"/>
      <c r="AK7" s="31"/>
    </row>
    <row r="8" spans="1:38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</row>
    <row r="9" spans="1:38" x14ac:dyDescent="0.25">
      <c r="A9" s="31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1"/>
    </row>
    <row r="10" spans="1:38" x14ac:dyDescent="0.25">
      <c r="A10" s="31"/>
      <c r="B10" s="165"/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7"/>
      <c r="AK10" s="31"/>
    </row>
    <row r="11" spans="1:38" x14ac:dyDescent="0.25">
      <c r="A11" s="31"/>
      <c r="B11" s="129"/>
      <c r="C11" s="130" t="s">
        <v>34</v>
      </c>
      <c r="D11" s="131"/>
      <c r="E11" s="131"/>
      <c r="F11" s="131"/>
      <c r="G11" s="131"/>
      <c r="H11" s="131"/>
      <c r="I11" s="131"/>
      <c r="J11" s="132" t="s">
        <v>232</v>
      </c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3"/>
      <c r="AK11" s="31"/>
    </row>
    <row r="12" spans="1:38" ht="15.75" thickBot="1" x14ac:dyDescent="0.3">
      <c r="A12" s="31"/>
      <c r="B12" s="129"/>
      <c r="C12" s="131"/>
      <c r="D12" s="121">
        <v>0</v>
      </c>
      <c r="E12" s="121">
        <v>1</v>
      </c>
      <c r="F12" s="121">
        <v>2</v>
      </c>
      <c r="G12" s="121">
        <v>3</v>
      </c>
      <c r="H12" s="121">
        <v>4</v>
      </c>
      <c r="I12" s="121">
        <v>5</v>
      </c>
      <c r="J12" s="121">
        <v>6</v>
      </c>
      <c r="K12" s="121">
        <v>7</v>
      </c>
      <c r="L12" s="121">
        <v>8</v>
      </c>
      <c r="M12" s="121">
        <v>9</v>
      </c>
      <c r="N12" s="121">
        <v>10</v>
      </c>
      <c r="O12" s="121">
        <v>11</v>
      </c>
      <c r="P12" s="121">
        <v>12</v>
      </c>
      <c r="Q12" s="121">
        <v>13</v>
      </c>
      <c r="R12" s="121">
        <v>14</v>
      </c>
      <c r="S12" s="121">
        <v>15</v>
      </c>
      <c r="T12" s="121">
        <v>16</v>
      </c>
      <c r="U12" s="121">
        <v>17</v>
      </c>
      <c r="V12" s="121">
        <v>18</v>
      </c>
      <c r="W12" s="121">
        <v>19</v>
      </c>
      <c r="X12" s="121">
        <v>20</v>
      </c>
      <c r="Y12" s="121">
        <v>21</v>
      </c>
      <c r="Z12" s="121">
        <v>22</v>
      </c>
      <c r="AA12" s="121">
        <v>23</v>
      </c>
      <c r="AB12" s="121">
        <v>24</v>
      </c>
      <c r="AC12" s="121">
        <v>25</v>
      </c>
      <c r="AD12" s="121">
        <v>26</v>
      </c>
      <c r="AE12" s="121">
        <v>27</v>
      </c>
      <c r="AF12" s="121">
        <v>28</v>
      </c>
      <c r="AG12" s="121">
        <v>29</v>
      </c>
      <c r="AH12" s="121">
        <v>30</v>
      </c>
      <c r="AI12" s="121">
        <v>31</v>
      </c>
      <c r="AJ12" s="133"/>
      <c r="AK12" s="31"/>
    </row>
    <row r="13" spans="1:38" ht="15" customHeight="1" thickTop="1" x14ac:dyDescent="0.25">
      <c r="A13" s="31"/>
      <c r="B13" s="129"/>
      <c r="C13" s="131" t="s">
        <v>31</v>
      </c>
      <c r="D13" s="272">
        <v>0</v>
      </c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4"/>
      <c r="Q13" s="254" t="s">
        <v>0</v>
      </c>
      <c r="R13" s="254" t="s">
        <v>1</v>
      </c>
      <c r="S13" s="245" t="s">
        <v>2</v>
      </c>
      <c r="T13" s="254" t="s">
        <v>3</v>
      </c>
      <c r="U13" s="245" t="s">
        <v>4</v>
      </c>
      <c r="V13" s="254" t="s">
        <v>5</v>
      </c>
      <c r="W13" s="168">
        <v>0</v>
      </c>
      <c r="X13" s="245" t="s">
        <v>6</v>
      </c>
      <c r="Y13" s="245" t="s">
        <v>7</v>
      </c>
      <c r="Z13" s="254" t="s">
        <v>8</v>
      </c>
      <c r="AA13" s="245" t="s">
        <v>9</v>
      </c>
      <c r="AB13" s="168">
        <v>0</v>
      </c>
      <c r="AC13" s="168">
        <v>0</v>
      </c>
      <c r="AD13" s="207">
        <v>0</v>
      </c>
      <c r="AE13" s="256" t="s">
        <v>10</v>
      </c>
      <c r="AF13" s="257"/>
      <c r="AG13" s="257"/>
      <c r="AH13" s="257"/>
      <c r="AI13" s="258"/>
      <c r="AJ13" s="133"/>
      <c r="AK13" s="31"/>
      <c r="AL13" s="208" t="s">
        <v>321</v>
      </c>
    </row>
    <row r="14" spans="1:38" ht="15.75" thickBot="1" x14ac:dyDescent="0.3">
      <c r="A14" s="31"/>
      <c r="B14" s="129"/>
      <c r="C14" s="131" t="s">
        <v>32</v>
      </c>
      <c r="D14" s="262"/>
      <c r="E14" s="263"/>
      <c r="F14" s="263"/>
      <c r="G14" s="263"/>
      <c r="H14" s="263"/>
      <c r="I14" s="263"/>
      <c r="J14" s="263"/>
      <c r="K14" s="263"/>
      <c r="L14" s="263"/>
      <c r="M14" s="263"/>
      <c r="N14" s="263"/>
      <c r="O14" s="263"/>
      <c r="P14" s="264"/>
      <c r="Q14" s="255"/>
      <c r="R14" s="255"/>
      <c r="S14" s="246"/>
      <c r="T14" s="255"/>
      <c r="U14" s="246"/>
      <c r="V14" s="255"/>
      <c r="W14" s="169"/>
      <c r="X14" s="246"/>
      <c r="Y14" s="246"/>
      <c r="Z14" s="255"/>
      <c r="AA14" s="246"/>
      <c r="AB14" s="265"/>
      <c r="AC14" s="263"/>
      <c r="AD14" s="266"/>
      <c r="AE14" s="259"/>
      <c r="AF14" s="260"/>
      <c r="AG14" s="260"/>
      <c r="AH14" s="260"/>
      <c r="AI14" s="261"/>
      <c r="AJ14" s="133"/>
      <c r="AK14" s="31"/>
      <c r="AL14" s="208" t="s">
        <v>322</v>
      </c>
    </row>
    <row r="15" spans="1:38" ht="16.5" thickTop="1" thickBot="1" x14ac:dyDescent="0.3">
      <c r="A15" s="31"/>
      <c r="B15" s="129"/>
      <c r="C15" s="131" t="s">
        <v>11</v>
      </c>
      <c r="D15" s="178">
        <v>0</v>
      </c>
      <c r="E15" s="179">
        <v>0</v>
      </c>
      <c r="F15" s="179">
        <v>0</v>
      </c>
      <c r="G15" s="179">
        <v>0</v>
      </c>
      <c r="H15" s="179">
        <v>0</v>
      </c>
      <c r="I15" s="179">
        <v>0</v>
      </c>
      <c r="J15" s="179">
        <v>0</v>
      </c>
      <c r="K15" s="179">
        <v>0</v>
      </c>
      <c r="L15" s="179">
        <v>0</v>
      </c>
      <c r="M15" s="179">
        <v>0</v>
      </c>
      <c r="N15" s="179">
        <v>0</v>
      </c>
      <c r="O15" s="179">
        <v>0</v>
      </c>
      <c r="P15" s="179">
        <v>0</v>
      </c>
      <c r="Q15" s="179">
        <v>0</v>
      </c>
      <c r="R15" s="179">
        <v>1</v>
      </c>
      <c r="S15" s="179">
        <v>0</v>
      </c>
      <c r="T15" s="179">
        <v>1</v>
      </c>
      <c r="U15" s="179">
        <v>0</v>
      </c>
      <c r="V15" s="179">
        <v>0</v>
      </c>
      <c r="W15" s="179">
        <v>0</v>
      </c>
      <c r="X15" s="179">
        <v>0</v>
      </c>
      <c r="Y15" s="179">
        <v>1</v>
      </c>
      <c r="Z15" s="179">
        <v>0</v>
      </c>
      <c r="AA15" s="179">
        <v>1</v>
      </c>
      <c r="AB15" s="179">
        <v>0</v>
      </c>
      <c r="AC15" s="179">
        <v>0</v>
      </c>
      <c r="AD15" s="179">
        <v>0</v>
      </c>
      <c r="AE15" s="205">
        <v>0</v>
      </c>
      <c r="AF15" s="205">
        <v>0</v>
      </c>
      <c r="AG15" s="205">
        <v>0</v>
      </c>
      <c r="AH15" s="205">
        <v>0</v>
      </c>
      <c r="AI15" s="206">
        <v>0</v>
      </c>
      <c r="AJ15" s="133"/>
      <c r="AK15" s="31"/>
    </row>
    <row r="16" spans="1:38" ht="16.5" thickTop="1" thickBot="1" x14ac:dyDescent="0.3">
      <c r="A16" s="31"/>
      <c r="B16" s="129"/>
      <c r="C16" s="184" t="s">
        <v>12</v>
      </c>
      <c r="D16" s="183">
        <v>0</v>
      </c>
      <c r="E16" s="180">
        <v>0</v>
      </c>
      <c r="F16" s="180">
        <v>0</v>
      </c>
      <c r="G16" s="180">
        <v>0</v>
      </c>
      <c r="H16" s="180">
        <v>0</v>
      </c>
      <c r="I16" s="180">
        <v>0</v>
      </c>
      <c r="J16" s="180">
        <v>0</v>
      </c>
      <c r="K16" s="180">
        <v>0</v>
      </c>
      <c r="L16" s="180">
        <v>0</v>
      </c>
      <c r="M16" s="180">
        <v>0</v>
      </c>
      <c r="N16" s="180">
        <v>0</v>
      </c>
      <c r="O16" s="180">
        <v>0</v>
      </c>
      <c r="P16" s="180">
        <v>0</v>
      </c>
      <c r="Q16" s="181">
        <v>0</v>
      </c>
      <c r="R16" s="181">
        <v>1</v>
      </c>
      <c r="S16" s="181">
        <v>0</v>
      </c>
      <c r="T16" s="181">
        <v>1</v>
      </c>
      <c r="U16" s="181">
        <v>0</v>
      </c>
      <c r="V16" s="181">
        <v>0</v>
      </c>
      <c r="W16" s="180">
        <v>0</v>
      </c>
      <c r="X16" s="181">
        <v>0</v>
      </c>
      <c r="Y16" s="181">
        <v>1</v>
      </c>
      <c r="Z16" s="181">
        <v>0</v>
      </c>
      <c r="AA16" s="181">
        <v>1</v>
      </c>
      <c r="AB16" s="180">
        <v>0</v>
      </c>
      <c r="AC16" s="180">
        <v>0</v>
      </c>
      <c r="AD16" s="180">
        <v>0</v>
      </c>
      <c r="AE16" s="181">
        <v>0</v>
      </c>
      <c r="AF16" s="181">
        <v>0</v>
      </c>
      <c r="AG16" s="181">
        <v>0</v>
      </c>
      <c r="AH16" s="181">
        <v>0</v>
      </c>
      <c r="AI16" s="182">
        <v>0</v>
      </c>
      <c r="AJ16" s="133"/>
      <c r="AK16" s="31"/>
    </row>
    <row r="17" spans="1:37" ht="15.75" thickTop="1" x14ac:dyDescent="0.25">
      <c r="A17" s="31"/>
      <c r="B17" s="129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  <c r="AH17" s="131"/>
      <c r="AI17" s="131"/>
      <c r="AJ17" s="133"/>
      <c r="AK17" s="31"/>
    </row>
    <row r="18" spans="1:37" ht="15.75" thickBot="1" x14ac:dyDescent="0.3">
      <c r="A18" s="31"/>
      <c r="B18" s="129"/>
      <c r="C18" s="131"/>
      <c r="D18" s="121">
        <v>32</v>
      </c>
      <c r="E18" s="121">
        <v>33</v>
      </c>
      <c r="F18" s="121">
        <v>34</v>
      </c>
      <c r="G18" s="121">
        <v>35</v>
      </c>
      <c r="H18" s="121">
        <v>36</v>
      </c>
      <c r="I18" s="121">
        <v>37</v>
      </c>
      <c r="J18" s="121">
        <v>38</v>
      </c>
      <c r="K18" s="121">
        <v>39</v>
      </c>
      <c r="L18" s="121">
        <v>40</v>
      </c>
      <c r="M18" s="121">
        <v>41</v>
      </c>
      <c r="N18" s="121">
        <v>42</v>
      </c>
      <c r="O18" s="121">
        <v>43</v>
      </c>
      <c r="P18" s="121">
        <v>44</v>
      </c>
      <c r="Q18" s="121">
        <v>45</v>
      </c>
      <c r="R18" s="121">
        <v>46</v>
      </c>
      <c r="S18" s="121">
        <v>47</v>
      </c>
      <c r="T18" s="121">
        <v>48</v>
      </c>
      <c r="U18" s="121">
        <v>49</v>
      </c>
      <c r="V18" s="121">
        <v>50</v>
      </c>
      <c r="W18" s="121">
        <v>51</v>
      </c>
      <c r="X18" s="121">
        <v>52</v>
      </c>
      <c r="Y18" s="121">
        <v>53</v>
      </c>
      <c r="Z18" s="121">
        <v>54</v>
      </c>
      <c r="AA18" s="121">
        <v>55</v>
      </c>
      <c r="AB18" s="121">
        <v>56</v>
      </c>
      <c r="AC18" s="121">
        <v>57</v>
      </c>
      <c r="AD18" s="121">
        <v>58</v>
      </c>
      <c r="AE18" s="121">
        <v>59</v>
      </c>
      <c r="AF18" s="121">
        <v>60</v>
      </c>
      <c r="AG18" s="121">
        <v>61</v>
      </c>
      <c r="AH18" s="121">
        <v>62</v>
      </c>
      <c r="AI18" s="121">
        <v>63</v>
      </c>
      <c r="AJ18" s="133"/>
      <c r="AK18" s="31"/>
    </row>
    <row r="19" spans="1:37" ht="15.75" thickBot="1" x14ac:dyDescent="0.3">
      <c r="A19" s="31"/>
      <c r="B19" s="129"/>
      <c r="C19" s="131"/>
      <c r="D19" s="170" t="s">
        <v>13</v>
      </c>
      <c r="E19" s="171" t="s">
        <v>14</v>
      </c>
      <c r="F19" s="171" t="s">
        <v>15</v>
      </c>
      <c r="G19" s="171" t="s">
        <v>16</v>
      </c>
      <c r="H19" s="171" t="s">
        <v>17</v>
      </c>
      <c r="I19" s="171" t="s">
        <v>18</v>
      </c>
      <c r="J19" s="171" t="s">
        <v>19</v>
      </c>
      <c r="K19" s="171" t="s">
        <v>20</v>
      </c>
      <c r="L19" s="171" t="s">
        <v>21</v>
      </c>
      <c r="M19" s="171" t="s">
        <v>22</v>
      </c>
      <c r="N19" s="171" t="s">
        <v>23</v>
      </c>
      <c r="O19" s="171" t="s">
        <v>24</v>
      </c>
      <c r="P19" s="171" t="s">
        <v>25</v>
      </c>
      <c r="Q19" s="171" t="s">
        <v>26</v>
      </c>
      <c r="R19" s="171" t="s">
        <v>27</v>
      </c>
      <c r="S19" s="247" t="s">
        <v>30</v>
      </c>
      <c r="T19" s="248"/>
      <c r="U19" s="248"/>
      <c r="V19" s="248"/>
      <c r="W19" s="248"/>
      <c r="X19" s="248"/>
      <c r="Y19" s="248"/>
      <c r="Z19" s="248"/>
      <c r="AA19" s="248"/>
      <c r="AB19" s="248"/>
      <c r="AC19" s="248"/>
      <c r="AD19" s="248"/>
      <c r="AE19" s="248"/>
      <c r="AF19" s="248"/>
      <c r="AG19" s="249"/>
      <c r="AH19" s="172" t="s">
        <v>28</v>
      </c>
      <c r="AI19" s="173" t="s">
        <v>29</v>
      </c>
      <c r="AJ19" s="133"/>
      <c r="AK19" s="31"/>
    </row>
    <row r="20" spans="1:37" ht="15.75" thickBot="1" x14ac:dyDescent="0.3">
      <c r="A20" s="31"/>
      <c r="B20" s="129"/>
      <c r="C20" s="131"/>
      <c r="D20" s="174">
        <v>0</v>
      </c>
      <c r="E20" s="175">
        <v>0</v>
      </c>
      <c r="F20" s="175">
        <v>0</v>
      </c>
      <c r="G20" s="175">
        <v>0</v>
      </c>
      <c r="H20" s="175">
        <v>0</v>
      </c>
      <c r="I20" s="175">
        <v>0</v>
      </c>
      <c r="J20" s="175">
        <v>0</v>
      </c>
      <c r="K20" s="175">
        <v>1</v>
      </c>
      <c r="L20" s="175">
        <v>0</v>
      </c>
      <c r="M20" s="175">
        <v>0</v>
      </c>
      <c r="N20" s="175">
        <v>0</v>
      </c>
      <c r="O20" s="175">
        <v>0</v>
      </c>
      <c r="P20" s="175">
        <v>0</v>
      </c>
      <c r="Q20" s="175">
        <v>0</v>
      </c>
      <c r="R20" s="175">
        <v>0</v>
      </c>
      <c r="S20" s="175">
        <v>0</v>
      </c>
      <c r="T20" s="175">
        <v>0</v>
      </c>
      <c r="U20" s="175">
        <v>0</v>
      </c>
      <c r="V20" s="175">
        <v>0</v>
      </c>
      <c r="W20" s="175">
        <v>0</v>
      </c>
      <c r="X20" s="175">
        <v>0</v>
      </c>
      <c r="Y20" s="175">
        <v>0</v>
      </c>
      <c r="Z20" s="175">
        <v>0</v>
      </c>
      <c r="AA20" s="175">
        <v>0</v>
      </c>
      <c r="AB20" s="175">
        <v>0</v>
      </c>
      <c r="AC20" s="175">
        <v>0</v>
      </c>
      <c r="AD20" s="175">
        <v>1</v>
      </c>
      <c r="AE20" s="175">
        <v>0</v>
      </c>
      <c r="AF20" s="175">
        <v>0</v>
      </c>
      <c r="AG20" s="175">
        <v>0</v>
      </c>
      <c r="AH20" s="175">
        <v>0</v>
      </c>
      <c r="AI20" s="176">
        <v>0</v>
      </c>
      <c r="AJ20" s="133"/>
      <c r="AK20" s="31"/>
    </row>
    <row r="21" spans="1:37" x14ac:dyDescent="0.25">
      <c r="A21" s="31"/>
      <c r="B21" s="129"/>
      <c r="C21" s="131"/>
      <c r="D21" s="131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3"/>
      <c r="AK21" s="31"/>
    </row>
    <row r="22" spans="1:37" x14ac:dyDescent="0.25">
      <c r="A22" s="31"/>
      <c r="B22" s="129"/>
      <c r="C22" s="250" t="s">
        <v>43</v>
      </c>
      <c r="D22" s="250"/>
      <c r="E22" s="250"/>
      <c r="F22" s="164"/>
      <c r="G22" s="251" t="s">
        <v>44</v>
      </c>
      <c r="H22" s="251"/>
      <c r="I22" s="251"/>
      <c r="J22" s="164"/>
      <c r="K22" s="252" t="s">
        <v>45</v>
      </c>
      <c r="L22" s="252"/>
      <c r="M22" s="252"/>
      <c r="N22" s="252"/>
      <c r="O22" s="164"/>
      <c r="P22" s="253" t="s">
        <v>46</v>
      </c>
      <c r="Q22" s="253"/>
      <c r="R22" s="253"/>
      <c r="S22" s="253"/>
      <c r="T22" s="164"/>
      <c r="U22" s="134" t="s">
        <v>49</v>
      </c>
      <c r="V22" s="135" t="s">
        <v>48</v>
      </c>
      <c r="W22" s="136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3"/>
      <c r="AK22" s="31"/>
    </row>
    <row r="23" spans="1:37" ht="15" customHeight="1" x14ac:dyDescent="0.25">
      <c r="A23" s="31"/>
      <c r="B23" s="129"/>
      <c r="C23" s="232" t="s">
        <v>221</v>
      </c>
      <c r="D23" s="232"/>
      <c r="E23" s="232"/>
      <c r="F23" s="125"/>
      <c r="G23" s="241" t="s">
        <v>222</v>
      </c>
      <c r="H23" s="241"/>
      <c r="I23" s="241"/>
      <c r="J23" s="125"/>
      <c r="K23" s="241" t="s">
        <v>214</v>
      </c>
      <c r="L23" s="241"/>
      <c r="M23" s="241"/>
      <c r="N23" s="241"/>
      <c r="O23" s="125"/>
      <c r="P23" s="241" t="s">
        <v>215</v>
      </c>
      <c r="Q23" s="241"/>
      <c r="R23" s="241"/>
      <c r="S23" s="241"/>
      <c r="T23" s="125"/>
      <c r="U23" s="126">
        <v>0</v>
      </c>
      <c r="V23" s="126">
        <v>0</v>
      </c>
      <c r="W23" s="137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  <c r="AH23" s="131"/>
      <c r="AI23" s="131"/>
      <c r="AJ23" s="133"/>
      <c r="AK23" s="31"/>
    </row>
    <row r="24" spans="1:37" ht="15" customHeight="1" x14ac:dyDescent="0.25">
      <c r="A24" s="31"/>
      <c r="B24" s="129"/>
      <c r="C24" s="232" t="s">
        <v>223</v>
      </c>
      <c r="D24" s="232"/>
      <c r="E24" s="232"/>
      <c r="F24" s="127"/>
      <c r="G24" s="241" t="s">
        <v>224</v>
      </c>
      <c r="H24" s="241"/>
      <c r="I24" s="241"/>
      <c r="J24" s="127"/>
      <c r="K24" s="232" t="s">
        <v>214</v>
      </c>
      <c r="L24" s="232"/>
      <c r="M24" s="232"/>
      <c r="N24" s="232"/>
      <c r="O24" s="127"/>
      <c r="P24" s="232" t="s">
        <v>216</v>
      </c>
      <c r="Q24" s="232"/>
      <c r="R24" s="232"/>
      <c r="S24" s="232"/>
      <c r="T24" s="127"/>
      <c r="U24" s="126">
        <v>0</v>
      </c>
      <c r="V24" s="127">
        <v>0</v>
      </c>
      <c r="W24" s="138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3"/>
      <c r="AK24" s="31"/>
    </row>
    <row r="25" spans="1:37" ht="15" customHeight="1" x14ac:dyDescent="0.25">
      <c r="A25" s="31"/>
      <c r="B25" s="129"/>
      <c r="C25" s="232" t="s">
        <v>225</v>
      </c>
      <c r="D25" s="232"/>
      <c r="E25" s="232"/>
      <c r="F25" s="127"/>
      <c r="G25" s="241" t="s">
        <v>222</v>
      </c>
      <c r="H25" s="241"/>
      <c r="I25" s="241"/>
      <c r="J25" s="127"/>
      <c r="K25" s="232" t="s">
        <v>214</v>
      </c>
      <c r="L25" s="232"/>
      <c r="M25" s="232"/>
      <c r="N25" s="232"/>
      <c r="O25" s="127"/>
      <c r="P25" s="232" t="s">
        <v>217</v>
      </c>
      <c r="Q25" s="232"/>
      <c r="R25" s="232"/>
      <c r="S25" s="232"/>
      <c r="T25" s="127"/>
      <c r="U25" s="126">
        <v>0</v>
      </c>
      <c r="V25" s="127">
        <v>0</v>
      </c>
      <c r="W25" s="138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  <c r="AH25" s="131"/>
      <c r="AI25" s="131"/>
      <c r="AJ25" s="133"/>
      <c r="AK25" s="31"/>
    </row>
    <row r="26" spans="1:37" ht="15.75" thickBot="1" x14ac:dyDescent="0.3">
      <c r="A26" s="31"/>
      <c r="B26" s="129"/>
      <c r="C26" s="185"/>
      <c r="D26" s="185"/>
      <c r="E26" s="185"/>
      <c r="F26" s="185"/>
      <c r="G26" s="186"/>
      <c r="H26" s="186"/>
      <c r="I26" s="186"/>
      <c r="J26" s="185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3"/>
      <c r="AK26" s="31"/>
    </row>
    <row r="27" spans="1:37" ht="15.75" thickTop="1" x14ac:dyDescent="0.25">
      <c r="A27" s="30"/>
      <c r="B27" s="189"/>
      <c r="C27" s="242" t="s">
        <v>47</v>
      </c>
      <c r="D27" s="242"/>
      <c r="E27" s="242"/>
      <c r="F27" s="136"/>
      <c r="G27" s="47"/>
      <c r="H27" s="47"/>
      <c r="I27" s="47"/>
      <c r="J27" s="187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  <c r="AH27" s="131"/>
      <c r="AI27" s="131"/>
      <c r="AJ27" s="133"/>
      <c r="AK27" s="31"/>
    </row>
    <row r="28" spans="1:37" ht="15" customHeight="1" x14ac:dyDescent="0.25">
      <c r="A28" s="31"/>
      <c r="B28" s="189"/>
      <c r="C28" s="232" t="s">
        <v>221</v>
      </c>
      <c r="D28" s="232"/>
      <c r="E28" s="232"/>
      <c r="F28" s="127"/>
      <c r="G28" s="243" t="s">
        <v>229</v>
      </c>
      <c r="H28" s="243"/>
      <c r="I28" s="243"/>
      <c r="J28" s="244"/>
      <c r="K28" s="47"/>
      <c r="L28" s="47"/>
      <c r="M28" s="47"/>
      <c r="N28" s="47"/>
      <c r="O28" s="47"/>
      <c r="P28" s="47"/>
      <c r="Q28" s="138"/>
      <c r="R28" s="138"/>
      <c r="S28" s="139"/>
      <c r="T28" s="139"/>
      <c r="U28" s="139"/>
      <c r="V28" s="139"/>
      <c r="W28" s="139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  <c r="AH28" s="131"/>
      <c r="AI28" s="131"/>
      <c r="AJ28" s="133"/>
      <c r="AK28" s="31"/>
    </row>
    <row r="29" spans="1:37" ht="15" customHeight="1" x14ac:dyDescent="0.25">
      <c r="A29" s="31"/>
      <c r="B29" s="189"/>
      <c r="C29" s="232" t="s">
        <v>223</v>
      </c>
      <c r="D29" s="232"/>
      <c r="E29" s="232"/>
      <c r="F29" s="140"/>
      <c r="G29" s="243" t="s">
        <v>230</v>
      </c>
      <c r="H29" s="243"/>
      <c r="I29" s="243"/>
      <c r="J29" s="244"/>
      <c r="K29" s="47"/>
      <c r="L29" s="47"/>
      <c r="M29" s="47"/>
      <c r="N29" s="47"/>
      <c r="O29" s="47"/>
      <c r="P29" s="47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  <c r="AH29" s="131"/>
      <c r="AI29" s="131"/>
      <c r="AJ29" s="133"/>
      <c r="AK29" s="31"/>
    </row>
    <row r="30" spans="1:37" ht="15" customHeight="1" thickBot="1" x14ac:dyDescent="0.3">
      <c r="A30" s="31"/>
      <c r="B30" s="189"/>
      <c r="C30" s="234" t="s">
        <v>225</v>
      </c>
      <c r="D30" s="234"/>
      <c r="E30" s="234"/>
      <c r="F30" s="188"/>
      <c r="G30" s="239" t="s">
        <v>231</v>
      </c>
      <c r="H30" s="239"/>
      <c r="I30" s="239"/>
      <c r="J30" s="240"/>
      <c r="K30" s="47"/>
      <c r="L30" s="47"/>
      <c r="M30" s="47"/>
      <c r="N30" s="47"/>
      <c r="O30" s="47"/>
      <c r="P30" s="47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  <c r="AH30" s="131"/>
      <c r="AI30" s="131"/>
      <c r="AJ30" s="133"/>
      <c r="AK30" s="31"/>
    </row>
    <row r="31" spans="1:37" ht="15.75" thickTop="1" x14ac:dyDescent="0.25">
      <c r="A31" s="31"/>
      <c r="B31" s="141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3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4"/>
      <c r="AK31" s="31"/>
    </row>
    <row r="32" spans="1:37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</row>
    <row r="33" spans="1:37" x14ac:dyDescent="0.25">
      <c r="A33" s="31"/>
      <c r="B33" s="31"/>
      <c r="C33" s="191" t="s">
        <v>237</v>
      </c>
      <c r="D33" s="191"/>
      <c r="E33" s="191"/>
      <c r="F33" s="191"/>
      <c r="G33" s="191"/>
      <c r="H33" s="191"/>
      <c r="I33" s="191"/>
      <c r="J33" s="191"/>
      <c r="K33" s="191"/>
      <c r="L33" s="31"/>
      <c r="M33" s="31"/>
      <c r="N33" s="191" t="s">
        <v>238</v>
      </c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191" t="s">
        <v>245</v>
      </c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</row>
    <row r="34" spans="1:37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191" t="s">
        <v>239</v>
      </c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191" t="s">
        <v>246</v>
      </c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</row>
    <row r="35" spans="1:37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191" t="s">
        <v>249</v>
      </c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</row>
    <row r="36" spans="1:37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191"/>
      <c r="L36" s="31"/>
      <c r="M36" s="31"/>
      <c r="N36" s="31"/>
      <c r="O36" s="31"/>
      <c r="P36" s="31"/>
      <c r="Q36" s="31"/>
      <c r="R36" s="31"/>
      <c r="S36" s="31"/>
      <c r="T36" s="31"/>
      <c r="U36" s="191" t="s">
        <v>247</v>
      </c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</row>
    <row r="37" spans="1:37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191" t="s">
        <v>241</v>
      </c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</row>
    <row r="38" spans="1:37" x14ac:dyDescent="0.25">
      <c r="A38" s="31"/>
      <c r="B38" s="31"/>
      <c r="C38" s="191" t="s">
        <v>240</v>
      </c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</row>
    <row r="39" spans="1:37" ht="15.75" thickBot="1" x14ac:dyDescent="0.3">
      <c r="A39" s="31"/>
      <c r="B39" s="31"/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  <c r="R39" s="31"/>
      <c r="S39" s="31"/>
      <c r="T39" s="177"/>
      <c r="U39" s="177"/>
      <c r="V39" s="177"/>
      <c r="W39" s="177"/>
      <c r="X39" s="177"/>
      <c r="Y39" s="177"/>
      <c r="Z39" s="177"/>
      <c r="AA39" s="177"/>
      <c r="AB39" s="31"/>
      <c r="AC39" s="31"/>
      <c r="AD39" s="31"/>
      <c r="AE39" s="31"/>
      <c r="AF39" s="31"/>
      <c r="AG39" s="31"/>
      <c r="AH39" s="31"/>
      <c r="AI39" s="31"/>
      <c r="AJ39" s="31"/>
      <c r="AK39" s="31"/>
    </row>
    <row r="40" spans="1:37" ht="16.5" thickTop="1" x14ac:dyDescent="0.3">
      <c r="A40" s="31"/>
      <c r="B40" s="190"/>
      <c r="C40" s="236" t="s">
        <v>218</v>
      </c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6"/>
      <c r="P40" s="236"/>
      <c r="Q40" s="237"/>
      <c r="R40" s="31"/>
      <c r="S40" s="190"/>
      <c r="T40" s="31"/>
      <c r="U40" s="201" t="s">
        <v>313</v>
      </c>
      <c r="V40" s="200"/>
      <c r="W40" s="200"/>
      <c r="X40" s="200"/>
      <c r="Y40" s="200"/>
      <c r="Z40" s="200"/>
      <c r="AA40" s="203"/>
      <c r="AB40" s="31"/>
      <c r="AC40" s="31"/>
      <c r="AD40" s="31"/>
      <c r="AE40" s="31"/>
      <c r="AF40" s="31"/>
      <c r="AG40" s="31"/>
      <c r="AH40" s="31"/>
      <c r="AI40" s="31"/>
      <c r="AJ40" s="31"/>
      <c r="AK40" s="31"/>
    </row>
    <row r="41" spans="1:37" ht="15.75" x14ac:dyDescent="0.3">
      <c r="A41" s="31"/>
      <c r="B41" s="190"/>
      <c r="C41" s="232" t="s">
        <v>219</v>
      </c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3"/>
      <c r="R41" s="31"/>
      <c r="S41" s="190"/>
      <c r="T41" s="31"/>
      <c r="U41" s="201" t="s">
        <v>314</v>
      </c>
      <c r="V41" s="200"/>
      <c r="W41" s="200"/>
      <c r="X41" s="200"/>
      <c r="Y41" s="200"/>
      <c r="Z41" s="200"/>
      <c r="AA41" s="203"/>
      <c r="AB41" s="31"/>
      <c r="AC41" s="31"/>
      <c r="AD41" s="31"/>
      <c r="AE41" s="31"/>
      <c r="AF41" s="31"/>
      <c r="AG41" s="31"/>
      <c r="AH41" s="31"/>
      <c r="AI41" s="31"/>
      <c r="AJ41" s="31"/>
      <c r="AK41" s="31"/>
    </row>
    <row r="42" spans="1:37" ht="15.75" x14ac:dyDescent="0.3">
      <c r="A42" s="31"/>
      <c r="B42" s="190"/>
      <c r="C42" s="232" t="s">
        <v>220</v>
      </c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3"/>
      <c r="R42" s="31"/>
      <c r="S42" s="190"/>
      <c r="T42" s="31"/>
      <c r="U42" s="201" t="s">
        <v>315</v>
      </c>
      <c r="V42" s="200"/>
      <c r="W42" s="200"/>
      <c r="X42" s="200"/>
      <c r="Y42" s="200"/>
      <c r="Z42" s="200"/>
      <c r="AA42" s="203"/>
      <c r="AB42" s="31"/>
      <c r="AC42" s="31"/>
      <c r="AD42" s="31"/>
      <c r="AE42" s="31"/>
      <c r="AF42" s="31"/>
      <c r="AG42" s="31"/>
      <c r="AH42" s="31"/>
      <c r="AI42" s="31"/>
      <c r="AJ42" s="31"/>
      <c r="AK42" s="31"/>
    </row>
    <row r="43" spans="1:37" ht="15.75" x14ac:dyDescent="0.3">
      <c r="A43" s="31"/>
      <c r="B43" s="190"/>
      <c r="C43" s="238" t="s">
        <v>226</v>
      </c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3"/>
      <c r="R43" s="31"/>
      <c r="S43" s="190"/>
      <c r="T43" s="31"/>
      <c r="U43" s="201" t="s">
        <v>316</v>
      </c>
      <c r="V43" s="200"/>
      <c r="W43" s="200"/>
      <c r="X43" s="200"/>
      <c r="Y43" s="200"/>
      <c r="Z43" s="200"/>
      <c r="AA43" s="203"/>
      <c r="AB43" s="31"/>
      <c r="AC43" s="31"/>
      <c r="AD43" s="31"/>
      <c r="AE43" s="31"/>
      <c r="AF43" s="31"/>
      <c r="AG43" s="31"/>
      <c r="AH43" s="31"/>
      <c r="AI43" s="31"/>
      <c r="AJ43" s="31"/>
      <c r="AK43" s="31"/>
    </row>
    <row r="44" spans="1:37" ht="15.75" x14ac:dyDescent="0.3">
      <c r="A44" s="31"/>
      <c r="B44" s="190"/>
      <c r="C44" s="238" t="s">
        <v>227</v>
      </c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3"/>
      <c r="R44" s="31"/>
      <c r="S44" s="190"/>
      <c r="T44" s="31"/>
      <c r="U44" s="201" t="s">
        <v>317</v>
      </c>
      <c r="V44" s="200"/>
      <c r="W44" s="200"/>
      <c r="X44" s="200"/>
      <c r="Y44" s="200"/>
      <c r="Z44" s="200"/>
      <c r="AA44" s="203"/>
      <c r="AB44" s="31"/>
      <c r="AC44" s="31"/>
      <c r="AD44" s="31"/>
      <c r="AE44" s="31"/>
      <c r="AF44" s="31"/>
      <c r="AG44" s="31"/>
      <c r="AH44" s="31"/>
      <c r="AI44" s="31"/>
      <c r="AJ44" s="31"/>
      <c r="AK44" s="31"/>
    </row>
    <row r="45" spans="1:37" ht="15.75" x14ac:dyDescent="0.3">
      <c r="A45" s="31"/>
      <c r="B45" s="190"/>
      <c r="C45" s="238" t="s">
        <v>228</v>
      </c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3"/>
      <c r="R45" s="31"/>
      <c r="S45" s="190"/>
      <c r="T45" s="31"/>
      <c r="U45" s="201" t="s">
        <v>318</v>
      </c>
      <c r="V45" s="200"/>
      <c r="W45" s="200"/>
      <c r="X45" s="200"/>
      <c r="Y45" s="200"/>
      <c r="Z45" s="200"/>
      <c r="AA45" s="203"/>
      <c r="AB45" s="31"/>
      <c r="AC45" s="31"/>
      <c r="AD45" s="31"/>
      <c r="AE45" s="31"/>
      <c r="AF45" s="31"/>
      <c r="AG45" s="31"/>
      <c r="AH45" s="31"/>
      <c r="AI45" s="31"/>
      <c r="AJ45" s="31"/>
      <c r="AK45" s="31"/>
    </row>
    <row r="46" spans="1:37" x14ac:dyDescent="0.25">
      <c r="A46" s="31"/>
      <c r="B46" s="190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3"/>
      <c r="R46" s="31"/>
      <c r="S46" s="190"/>
      <c r="T46" s="31"/>
      <c r="U46" s="31"/>
      <c r="V46" s="31"/>
      <c r="W46" s="31"/>
      <c r="X46" s="31"/>
      <c r="Y46" s="31"/>
      <c r="Z46" s="31"/>
      <c r="AA46" s="190"/>
      <c r="AB46" s="31"/>
      <c r="AC46" s="31"/>
      <c r="AD46" s="31"/>
      <c r="AE46" s="31"/>
      <c r="AF46" s="31"/>
      <c r="AG46" s="31"/>
      <c r="AH46" s="31"/>
      <c r="AI46" s="31"/>
      <c r="AJ46" s="31"/>
      <c r="AK46" s="31"/>
    </row>
    <row r="47" spans="1:37" ht="15.75" thickBot="1" x14ac:dyDescent="0.3">
      <c r="A47" s="31"/>
      <c r="B47" s="190"/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5"/>
      <c r="R47" s="31"/>
      <c r="S47" s="190"/>
      <c r="T47" s="202"/>
      <c r="U47" s="177"/>
      <c r="V47" s="177"/>
      <c r="W47" s="177"/>
      <c r="X47" s="177"/>
      <c r="Y47" s="177"/>
      <c r="Z47" s="177"/>
      <c r="AA47" s="204"/>
      <c r="AB47" s="31"/>
      <c r="AC47" s="31"/>
      <c r="AD47" s="31"/>
      <c r="AE47" s="31"/>
      <c r="AF47" s="31"/>
      <c r="AG47" s="31"/>
      <c r="AH47" s="31"/>
      <c r="AI47" s="31"/>
      <c r="AJ47" s="31"/>
      <c r="AK47" s="31"/>
    </row>
    <row r="48" spans="1:37" ht="15.75" thickTop="1" x14ac:dyDescent="0.25"/>
    <row r="50" spans="12:12" x14ac:dyDescent="0.25">
      <c r="L50" s="191" t="s">
        <v>319</v>
      </c>
    </row>
    <row r="51" spans="12:12" x14ac:dyDescent="0.25">
      <c r="L51" s="191" t="s">
        <v>248</v>
      </c>
    </row>
    <row r="52" spans="12:12" x14ac:dyDescent="0.25">
      <c r="L52" s="191" t="s">
        <v>320</v>
      </c>
    </row>
  </sheetData>
  <sheetProtection algorithmName="SHA-512" hashValue="U3orASxFE58ZaFh0JRqBgujlE4po7KhRvO8bmzndyAkI6BdiTgKTqsNZRYKS2NJrn5mlf2NBmF0vr4r+pF0/HQ==" saltValue="9xesX2Sat3qv56R8oae9nA==" spinCount="100000" sheet="1" objects="1" scenarios="1"/>
  <mergeCells count="54">
    <mergeCell ref="W7:Z7"/>
    <mergeCell ref="AA7:AB7"/>
    <mergeCell ref="D13:P13"/>
    <mergeCell ref="Q13:Q14"/>
    <mergeCell ref="R13:R14"/>
    <mergeCell ref="S13:S14"/>
    <mergeCell ref="T13:T14"/>
    <mergeCell ref="U13:U14"/>
    <mergeCell ref="V13:V14"/>
    <mergeCell ref="X13:X14"/>
    <mergeCell ref="B7:D7"/>
    <mergeCell ref="E7:F7"/>
    <mergeCell ref="H7:J7"/>
    <mergeCell ref="K7:O7"/>
    <mergeCell ref="Q7:S7"/>
    <mergeCell ref="T7:U7"/>
    <mergeCell ref="C23:E23"/>
    <mergeCell ref="G23:I23"/>
    <mergeCell ref="K23:N23"/>
    <mergeCell ref="P23:S23"/>
    <mergeCell ref="Y13:Y14"/>
    <mergeCell ref="S19:AG19"/>
    <mergeCell ref="C22:E22"/>
    <mergeCell ref="G22:I22"/>
    <mergeCell ref="K22:N22"/>
    <mergeCell ref="P22:S22"/>
    <mergeCell ref="Z13:Z14"/>
    <mergeCell ref="AA13:AA14"/>
    <mergeCell ref="AE13:AI14"/>
    <mergeCell ref="D14:P14"/>
    <mergeCell ref="AB14:AD14"/>
    <mergeCell ref="P24:S24"/>
    <mergeCell ref="C25:E25"/>
    <mergeCell ref="G25:I25"/>
    <mergeCell ref="K25:N25"/>
    <mergeCell ref="P25:S25"/>
    <mergeCell ref="C30:E30"/>
    <mergeCell ref="G30:J30"/>
    <mergeCell ref="C24:E24"/>
    <mergeCell ref="G24:I24"/>
    <mergeCell ref="K24:N24"/>
    <mergeCell ref="C27:E27"/>
    <mergeCell ref="C28:E28"/>
    <mergeCell ref="G28:J28"/>
    <mergeCell ref="C29:E29"/>
    <mergeCell ref="G29:J29"/>
    <mergeCell ref="C46:Q46"/>
    <mergeCell ref="C47:Q47"/>
    <mergeCell ref="C40:Q40"/>
    <mergeCell ref="C41:Q41"/>
    <mergeCell ref="C42:Q42"/>
    <mergeCell ref="C43:Q43"/>
    <mergeCell ref="C44:Q44"/>
    <mergeCell ref="C45:Q45"/>
  </mergeCells>
  <dataValidations disablePrompts="1" count="2">
    <dataValidation type="list" allowBlank="1" showInputMessage="1" showErrorMessage="1" sqref="K7:O7" xr:uid="{00000000-0002-0000-0100-000000000000}">
      <formula1>OFFSET(client_list1,0,0,ROWS(client_list)-COUNTBLANK(client_list))</formula1>
    </dataValidation>
    <dataValidation type="list" allowBlank="1" showInputMessage="1" showErrorMessage="1" sqref="E7:F7" xr:uid="{00000000-0002-0000-0100-000001000000}">
      <formula1>OFFSET(module1,0,0,COUNTA(module_list))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>
                <anchor moveWithCells="1" sizeWithCells="1">
                  <from>
                    <xdr:col>13</xdr:col>
                    <xdr:colOff>0</xdr:colOff>
                    <xdr:row>28</xdr:row>
                    <xdr:rowOff>38100</xdr:rowOff>
                  </from>
                  <to>
                    <xdr:col>16</xdr:col>
                    <xdr:colOff>76200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>
                <anchor moveWithCells="1" sizeWithCells="1">
                  <from>
                    <xdr:col>6</xdr:col>
                    <xdr:colOff>200025</xdr:colOff>
                    <xdr:row>34</xdr:row>
                    <xdr:rowOff>0</xdr:rowOff>
                  </from>
                  <to>
                    <xdr:col>9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Button 19">
              <controlPr defaultSize="0" print="0" autoFill="0" autoPict="0">
                <anchor moveWithCells="1" sizeWithCells="1">
                  <from>
                    <xdr:col>2</xdr:col>
                    <xdr:colOff>38100</xdr:colOff>
                    <xdr:row>34</xdr:row>
                    <xdr:rowOff>9525</xdr:rowOff>
                  </from>
                  <to>
                    <xdr:col>5</xdr:col>
                    <xdr:colOff>161925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" name="Button 20">
              <controlPr defaultSize="0" print="0" autoFill="0" autoPict="0">
                <anchor moveWithCells="1" sizeWithCells="1">
                  <from>
                    <xdr:col>22</xdr:col>
                    <xdr:colOff>333375</xdr:colOff>
                    <xdr:row>28</xdr:row>
                    <xdr:rowOff>47625</xdr:rowOff>
                  </from>
                  <to>
                    <xdr:col>26</xdr:col>
                    <xdr:colOff>57150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>
                <anchor moveWithCells="1" sizeWithCells="1">
                  <from>
                    <xdr:col>19</xdr:col>
                    <xdr:colOff>76200</xdr:colOff>
                    <xdr:row>28</xdr:row>
                    <xdr:rowOff>38100</xdr:rowOff>
                  </from>
                  <to>
                    <xdr:col>22</xdr:col>
                    <xdr:colOff>133350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9" tint="0.59999389629810485"/>
  </sheetPr>
  <dimension ref="A2:AJ150"/>
  <sheetViews>
    <sheetView tabSelected="1" zoomScaleNormal="100" workbookViewId="0">
      <selection activeCell="K7" sqref="K7:O7"/>
    </sheetView>
  </sheetViews>
  <sheetFormatPr defaultColWidth="5.42578125" defaultRowHeight="15" x14ac:dyDescent="0.25"/>
  <cols>
    <col min="1" max="16384" width="5.42578125" style="31"/>
  </cols>
  <sheetData>
    <row r="2" spans="2:36" ht="21" x14ac:dyDescent="0.35">
      <c r="B2" s="162" t="s">
        <v>212</v>
      </c>
      <c r="M2" s="163" t="s">
        <v>340</v>
      </c>
    </row>
    <row r="4" spans="2:36" x14ac:dyDescent="0.2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</row>
    <row r="6" spans="2:36" ht="15" customHeight="1" thickBot="1" x14ac:dyDescent="0.3"/>
    <row r="7" spans="2:36" ht="15.75" customHeight="1" thickBot="1" x14ac:dyDescent="0.3">
      <c r="B7" s="267" t="s">
        <v>42</v>
      </c>
      <c r="C7" s="268"/>
      <c r="D7" s="282"/>
      <c r="E7" s="283" t="s">
        <v>36</v>
      </c>
      <c r="F7" s="285"/>
      <c r="G7" s="47"/>
      <c r="H7" s="267" t="s">
        <v>40</v>
      </c>
      <c r="I7" s="268"/>
      <c r="J7" s="282"/>
      <c r="K7" s="283" t="s">
        <v>34</v>
      </c>
      <c r="L7" s="284"/>
      <c r="M7" s="284"/>
      <c r="N7" s="284"/>
      <c r="O7" s="285"/>
      <c r="P7" s="47"/>
      <c r="Q7" s="267" t="s">
        <v>50</v>
      </c>
      <c r="R7" s="268"/>
      <c r="S7" s="282"/>
      <c r="T7" s="286">
        <v>400300</v>
      </c>
      <c r="U7" s="287"/>
      <c r="V7" s="47"/>
      <c r="W7" s="267" t="s">
        <v>213</v>
      </c>
      <c r="X7" s="268"/>
      <c r="Y7" s="268"/>
      <c r="Z7" s="282"/>
      <c r="AA7" s="280" t="s">
        <v>339</v>
      </c>
      <c r="AB7" s="281"/>
    </row>
    <row r="8" spans="2:36" ht="15.75" customHeight="1" x14ac:dyDescent="0.25"/>
    <row r="9" spans="2:36" ht="15" customHeight="1" x14ac:dyDescent="0.25"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</row>
    <row r="10" spans="2:36" x14ac:dyDescent="0.25">
      <c r="B10" s="165"/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7"/>
    </row>
    <row r="11" spans="2:36" x14ac:dyDescent="0.25">
      <c r="B11" s="129"/>
      <c r="C11" s="130" t="s">
        <v>34</v>
      </c>
      <c r="D11" s="131"/>
      <c r="E11" s="131"/>
      <c r="F11" s="131"/>
      <c r="G11" s="131"/>
      <c r="H11" s="131"/>
      <c r="I11" s="131"/>
      <c r="J11" s="132" t="str">
        <f>"0x"&amp;BIN2HEX(CONCATENATE(D16,E16,F16,G16,H16,I16,J16,K16),2)&amp;BIN2HEX(CONCATENATE(L16,M16,N16,O16,P16,Q16,R16,S16),2)&amp;BIN2HEX(CONCATENATE(T16,U16,V16,W16,X16,Y16,Z16,AA16),2)&amp;BIN2HEX(CONCATENATE(AB16,AC16,AD16,AE16,AF16,AG16,AH16,AI16),2)&amp;"_"&amp;BIN2HEX(CONCATENATE(D20,E20,F20,G20,H20,I20,J20,K20),2)&amp;BIN2HEX(CONCATENATE(L20,M20,N20,O20,P20,Q20,R20,S20),2)&amp;BIN2HEX(CONCATENATE(T20,U20,V20,W20,X20,Y20,Z20,AA20),2)&amp;BIN2HEX(CONCATENATE(AB20,AC20,AD20,AE20,AF20,AG20,AH20,AI20),2)</f>
        <v>0x00002EDF_01000000</v>
      </c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3"/>
    </row>
    <row r="12" spans="2:36" ht="15" customHeight="1" thickBot="1" x14ac:dyDescent="0.3">
      <c r="B12" s="129"/>
      <c r="C12" s="131"/>
      <c r="D12" s="121">
        <v>0</v>
      </c>
      <c r="E12" s="121">
        <v>1</v>
      </c>
      <c r="F12" s="121">
        <v>2</v>
      </c>
      <c r="G12" s="121">
        <v>3</v>
      </c>
      <c r="H12" s="121">
        <v>4</v>
      </c>
      <c r="I12" s="121">
        <v>5</v>
      </c>
      <c r="J12" s="121">
        <v>6</v>
      </c>
      <c r="K12" s="121">
        <v>7</v>
      </c>
      <c r="L12" s="121">
        <v>8</v>
      </c>
      <c r="M12" s="121">
        <v>9</v>
      </c>
      <c r="N12" s="121">
        <v>10</v>
      </c>
      <c r="O12" s="121">
        <v>11</v>
      </c>
      <c r="P12" s="121">
        <v>12</v>
      </c>
      <c r="Q12" s="121">
        <v>13</v>
      </c>
      <c r="R12" s="121">
        <v>14</v>
      </c>
      <c r="S12" s="121">
        <v>15</v>
      </c>
      <c r="T12" s="121">
        <v>16</v>
      </c>
      <c r="U12" s="121">
        <v>17</v>
      </c>
      <c r="V12" s="121">
        <v>18</v>
      </c>
      <c r="W12" s="121">
        <v>19</v>
      </c>
      <c r="X12" s="121">
        <v>20</v>
      </c>
      <c r="Y12" s="121">
        <v>21</v>
      </c>
      <c r="Z12" s="121">
        <v>22</v>
      </c>
      <c r="AA12" s="121">
        <v>23</v>
      </c>
      <c r="AB12" s="121">
        <v>24</v>
      </c>
      <c r="AC12" s="121">
        <v>25</v>
      </c>
      <c r="AD12" s="121">
        <v>26</v>
      </c>
      <c r="AE12" s="121">
        <v>27</v>
      </c>
      <c r="AF12" s="121">
        <v>28</v>
      </c>
      <c r="AG12" s="121">
        <v>29</v>
      </c>
      <c r="AH12" s="121">
        <v>30</v>
      </c>
      <c r="AI12" s="121">
        <v>31</v>
      </c>
      <c r="AJ12" s="133"/>
    </row>
    <row r="13" spans="2:36" ht="22.5" customHeight="1" x14ac:dyDescent="0.25">
      <c r="B13" s="129"/>
      <c r="C13" s="131" t="s">
        <v>31</v>
      </c>
      <c r="D13" s="288">
        <v>0</v>
      </c>
      <c r="E13" s="289"/>
      <c r="F13" s="289"/>
      <c r="G13" s="289"/>
      <c r="H13" s="289"/>
      <c r="I13" s="289"/>
      <c r="J13" s="289"/>
      <c r="K13" s="289"/>
      <c r="L13" s="289"/>
      <c r="M13" s="289"/>
      <c r="N13" s="289"/>
      <c r="O13" s="289"/>
      <c r="P13" s="290"/>
      <c r="Q13" s="291" t="s">
        <v>327</v>
      </c>
      <c r="R13" s="291" t="s">
        <v>326</v>
      </c>
      <c r="S13" s="291" t="s">
        <v>325</v>
      </c>
      <c r="T13" s="229">
        <v>0</v>
      </c>
      <c r="U13" s="293" t="s">
        <v>328</v>
      </c>
      <c r="V13" s="229">
        <v>1</v>
      </c>
      <c r="W13" s="229">
        <v>0</v>
      </c>
      <c r="X13" s="291" t="s">
        <v>324</v>
      </c>
      <c r="Y13" s="291" t="s">
        <v>323</v>
      </c>
      <c r="Z13" s="229">
        <v>1</v>
      </c>
      <c r="AA13" s="291" t="s">
        <v>329</v>
      </c>
      <c r="AB13" s="291" t="s">
        <v>330</v>
      </c>
      <c r="AC13" s="291" t="s">
        <v>331</v>
      </c>
      <c r="AD13" s="229">
        <v>0</v>
      </c>
      <c r="AE13" s="229">
        <v>1</v>
      </c>
      <c r="AF13" s="291" t="s">
        <v>332</v>
      </c>
      <c r="AG13" s="229">
        <v>1</v>
      </c>
      <c r="AH13" s="229">
        <v>1</v>
      </c>
      <c r="AI13" s="295" t="s">
        <v>333</v>
      </c>
      <c r="AJ13" s="133"/>
    </row>
    <row r="14" spans="2:36" ht="22.5" customHeight="1" x14ac:dyDescent="0.25">
      <c r="B14" s="129"/>
      <c r="C14" s="131" t="s">
        <v>32</v>
      </c>
      <c r="D14" s="262"/>
      <c r="E14" s="263"/>
      <c r="F14" s="263"/>
      <c r="G14" s="263"/>
      <c r="H14" s="263"/>
      <c r="I14" s="263"/>
      <c r="J14" s="263"/>
      <c r="K14" s="263"/>
      <c r="L14" s="263"/>
      <c r="M14" s="263"/>
      <c r="N14" s="263"/>
      <c r="O14" s="263"/>
      <c r="P14" s="264"/>
      <c r="Q14" s="292"/>
      <c r="R14" s="292"/>
      <c r="S14" s="292"/>
      <c r="T14" s="169"/>
      <c r="U14" s="294"/>
      <c r="V14" s="169"/>
      <c r="W14" s="169"/>
      <c r="X14" s="292"/>
      <c r="Y14" s="292"/>
      <c r="Z14" s="169"/>
      <c r="AA14" s="292"/>
      <c r="AB14" s="292"/>
      <c r="AC14" s="292"/>
      <c r="AD14" s="169"/>
      <c r="AE14" s="169"/>
      <c r="AF14" s="292"/>
      <c r="AG14" s="169"/>
      <c r="AH14" s="169"/>
      <c r="AI14" s="296"/>
      <c r="AJ14" s="133"/>
    </row>
    <row r="15" spans="2:36" x14ac:dyDescent="0.25">
      <c r="B15" s="129"/>
      <c r="C15" s="131" t="s">
        <v>11</v>
      </c>
      <c r="D15" s="214">
        <v>0</v>
      </c>
      <c r="E15" s="215">
        <v>0</v>
      </c>
      <c r="F15" s="215">
        <v>0</v>
      </c>
      <c r="G15" s="215">
        <v>0</v>
      </c>
      <c r="H15" s="215">
        <v>0</v>
      </c>
      <c r="I15" s="215">
        <v>0</v>
      </c>
      <c r="J15" s="215">
        <v>0</v>
      </c>
      <c r="K15" s="215">
        <v>0</v>
      </c>
      <c r="L15" s="215">
        <v>0</v>
      </c>
      <c r="M15" s="215">
        <v>0</v>
      </c>
      <c r="N15" s="215">
        <v>0</v>
      </c>
      <c r="O15" s="215">
        <v>0</v>
      </c>
      <c r="P15" s="215">
        <v>0</v>
      </c>
      <c r="Q15" s="215">
        <v>0</v>
      </c>
      <c r="R15" s="215">
        <v>0</v>
      </c>
      <c r="S15" s="215">
        <v>0</v>
      </c>
      <c r="T15" s="215">
        <v>0</v>
      </c>
      <c r="U15" s="215">
        <v>0</v>
      </c>
      <c r="V15" s="215">
        <v>1</v>
      </c>
      <c r="W15" s="215">
        <v>0</v>
      </c>
      <c r="X15" s="215">
        <v>1</v>
      </c>
      <c r="Y15" s="215">
        <v>1</v>
      </c>
      <c r="Z15" s="215">
        <v>1</v>
      </c>
      <c r="AA15" s="215">
        <v>0</v>
      </c>
      <c r="AB15" s="215">
        <v>1</v>
      </c>
      <c r="AC15" s="215">
        <v>1</v>
      </c>
      <c r="AD15" s="215">
        <v>0</v>
      </c>
      <c r="AE15" s="215">
        <v>1</v>
      </c>
      <c r="AF15" s="215">
        <v>1</v>
      </c>
      <c r="AG15" s="215">
        <v>1</v>
      </c>
      <c r="AH15" s="215">
        <v>1</v>
      </c>
      <c r="AI15" s="216">
        <v>1</v>
      </c>
      <c r="AJ15" s="133"/>
    </row>
    <row r="16" spans="2:36" ht="15" customHeight="1" thickBot="1" x14ac:dyDescent="0.3">
      <c r="B16" s="129"/>
      <c r="C16" s="131" t="s">
        <v>12</v>
      </c>
      <c r="D16" s="217">
        <v>0</v>
      </c>
      <c r="E16" s="218">
        <v>0</v>
      </c>
      <c r="F16" s="218">
        <v>0</v>
      </c>
      <c r="G16" s="218">
        <v>0</v>
      </c>
      <c r="H16" s="218">
        <v>0</v>
      </c>
      <c r="I16" s="218">
        <v>0</v>
      </c>
      <c r="J16" s="218">
        <v>0</v>
      </c>
      <c r="K16" s="218">
        <v>0</v>
      </c>
      <c r="L16" s="218">
        <v>0</v>
      </c>
      <c r="M16" s="218">
        <v>0</v>
      </c>
      <c r="N16" s="218">
        <v>0</v>
      </c>
      <c r="O16" s="218">
        <v>0</v>
      </c>
      <c r="P16" s="218">
        <v>0</v>
      </c>
      <c r="Q16" s="219">
        <v>0</v>
      </c>
      <c r="R16" s="219">
        <v>0</v>
      </c>
      <c r="S16" s="219">
        <v>0</v>
      </c>
      <c r="T16" s="218">
        <v>0</v>
      </c>
      <c r="U16" s="219">
        <v>0</v>
      </c>
      <c r="V16" s="218">
        <v>1</v>
      </c>
      <c r="W16" s="218">
        <v>0</v>
      </c>
      <c r="X16" s="219">
        <v>1</v>
      </c>
      <c r="Y16" s="219">
        <v>1</v>
      </c>
      <c r="Z16" s="218">
        <v>1</v>
      </c>
      <c r="AA16" s="219">
        <v>0</v>
      </c>
      <c r="AB16" s="219">
        <v>1</v>
      </c>
      <c r="AC16" s="219">
        <v>1</v>
      </c>
      <c r="AD16" s="218">
        <v>0</v>
      </c>
      <c r="AE16" s="218">
        <v>1</v>
      </c>
      <c r="AF16" s="219">
        <v>1</v>
      </c>
      <c r="AG16" s="218">
        <v>1</v>
      </c>
      <c r="AH16" s="218">
        <v>1</v>
      </c>
      <c r="AI16" s="220">
        <v>1</v>
      </c>
      <c r="AJ16" s="133"/>
    </row>
    <row r="17" spans="1:36" ht="15" customHeight="1" x14ac:dyDescent="0.25">
      <c r="B17" s="129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  <c r="AH17" s="131"/>
      <c r="AI17" s="131"/>
      <c r="AJ17" s="133"/>
    </row>
    <row r="18" spans="1:36" ht="15" customHeight="1" thickBot="1" x14ac:dyDescent="0.3">
      <c r="B18" s="129"/>
      <c r="C18" s="131"/>
      <c r="D18" s="121">
        <v>32</v>
      </c>
      <c r="E18" s="121">
        <v>33</v>
      </c>
      <c r="F18" s="121">
        <v>34</v>
      </c>
      <c r="G18" s="121">
        <v>35</v>
      </c>
      <c r="H18" s="121">
        <v>36</v>
      </c>
      <c r="I18" s="121">
        <v>37</v>
      </c>
      <c r="J18" s="121">
        <v>38</v>
      </c>
      <c r="K18" s="121">
        <v>39</v>
      </c>
      <c r="L18" s="121">
        <v>40</v>
      </c>
      <c r="M18" s="121">
        <v>41</v>
      </c>
      <c r="N18" s="121">
        <v>42</v>
      </c>
      <c r="O18" s="121">
        <v>43</v>
      </c>
      <c r="P18" s="121">
        <v>44</v>
      </c>
      <c r="Q18" s="121">
        <v>45</v>
      </c>
      <c r="R18" s="121">
        <v>46</v>
      </c>
      <c r="S18" s="121">
        <v>47</v>
      </c>
      <c r="T18" s="121">
        <v>48</v>
      </c>
      <c r="U18" s="121">
        <v>49</v>
      </c>
      <c r="V18" s="121">
        <v>50</v>
      </c>
      <c r="W18" s="121">
        <v>51</v>
      </c>
      <c r="X18" s="121">
        <v>52</v>
      </c>
      <c r="Y18" s="121">
        <v>53</v>
      </c>
      <c r="Z18" s="121">
        <v>54</v>
      </c>
      <c r="AA18" s="121">
        <v>55</v>
      </c>
      <c r="AB18" s="121">
        <v>56</v>
      </c>
      <c r="AC18" s="121">
        <v>57</v>
      </c>
      <c r="AD18" s="121">
        <v>58</v>
      </c>
      <c r="AE18" s="121">
        <v>59</v>
      </c>
      <c r="AF18" s="121">
        <v>60</v>
      </c>
      <c r="AG18" s="121">
        <v>61</v>
      </c>
      <c r="AH18" s="121">
        <v>62</v>
      </c>
      <c r="AI18" s="121">
        <v>63</v>
      </c>
      <c r="AJ18" s="133"/>
    </row>
    <row r="19" spans="1:36" ht="15" customHeight="1" thickBot="1" x14ac:dyDescent="0.3">
      <c r="B19" s="129"/>
      <c r="C19" s="131"/>
      <c r="D19" s="170" t="s">
        <v>13</v>
      </c>
      <c r="E19" s="171" t="s">
        <v>14</v>
      </c>
      <c r="F19" s="171" t="s">
        <v>15</v>
      </c>
      <c r="G19" s="171" t="s">
        <v>16</v>
      </c>
      <c r="H19" s="171" t="s">
        <v>17</v>
      </c>
      <c r="I19" s="171" t="s">
        <v>18</v>
      </c>
      <c r="J19" s="171" t="s">
        <v>19</v>
      </c>
      <c r="K19" s="171" t="s">
        <v>20</v>
      </c>
      <c r="L19" s="171" t="s">
        <v>21</v>
      </c>
      <c r="M19" s="171" t="s">
        <v>22</v>
      </c>
      <c r="N19" s="171" t="s">
        <v>23</v>
      </c>
      <c r="O19" s="171" t="s">
        <v>24</v>
      </c>
      <c r="P19" s="171" t="s">
        <v>25</v>
      </c>
      <c r="Q19" s="171" t="s">
        <v>26</v>
      </c>
      <c r="R19" s="171" t="s">
        <v>27</v>
      </c>
      <c r="S19" s="298" t="s">
        <v>30</v>
      </c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172" t="s">
        <v>28</v>
      </c>
      <c r="AI19" s="173" t="s">
        <v>29</v>
      </c>
      <c r="AJ19" s="133"/>
    </row>
    <row r="20" spans="1:36" ht="15" customHeight="1" thickBot="1" x14ac:dyDescent="0.3">
      <c r="B20" s="129"/>
      <c r="C20" s="131"/>
      <c r="D20" s="174">
        <v>0</v>
      </c>
      <c r="E20" s="175">
        <v>0</v>
      </c>
      <c r="F20" s="175">
        <v>0</v>
      </c>
      <c r="G20" s="175">
        <v>0</v>
      </c>
      <c r="H20" s="175">
        <v>0</v>
      </c>
      <c r="I20" s="175">
        <v>0</v>
      </c>
      <c r="J20" s="175">
        <v>0</v>
      </c>
      <c r="K20" s="175">
        <v>1</v>
      </c>
      <c r="L20" s="175">
        <v>0</v>
      </c>
      <c r="M20" s="175">
        <v>0</v>
      </c>
      <c r="N20" s="175">
        <v>0</v>
      </c>
      <c r="O20" s="175">
        <v>0</v>
      </c>
      <c r="P20" s="175">
        <v>0</v>
      </c>
      <c r="Q20" s="175">
        <v>0</v>
      </c>
      <c r="R20" s="175">
        <v>0</v>
      </c>
      <c r="S20" s="175">
        <v>0</v>
      </c>
      <c r="T20" s="175">
        <v>0</v>
      </c>
      <c r="U20" s="175">
        <v>0</v>
      </c>
      <c r="V20" s="175">
        <v>0</v>
      </c>
      <c r="W20" s="175">
        <v>0</v>
      </c>
      <c r="X20" s="175">
        <v>0</v>
      </c>
      <c r="Y20" s="175">
        <v>0</v>
      </c>
      <c r="Z20" s="175">
        <v>0</v>
      </c>
      <c r="AA20" s="175">
        <v>0</v>
      </c>
      <c r="AB20" s="175">
        <v>0</v>
      </c>
      <c r="AC20" s="175">
        <v>0</v>
      </c>
      <c r="AD20" s="175">
        <v>0</v>
      </c>
      <c r="AE20" s="175">
        <v>0</v>
      </c>
      <c r="AF20" s="175">
        <v>0</v>
      </c>
      <c r="AG20" s="175">
        <v>0</v>
      </c>
      <c r="AH20" s="175">
        <v>0</v>
      </c>
      <c r="AI20" s="176">
        <v>0</v>
      </c>
      <c r="AJ20" s="133"/>
    </row>
    <row r="21" spans="1:36" x14ac:dyDescent="0.25">
      <c r="B21" s="129"/>
      <c r="C21" s="131"/>
      <c r="D21" s="131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3"/>
    </row>
    <row r="22" spans="1:36" x14ac:dyDescent="0.25">
      <c r="B22" s="129"/>
      <c r="C22" s="250" t="s">
        <v>43</v>
      </c>
      <c r="D22" s="250"/>
      <c r="E22" s="250"/>
      <c r="F22" s="228"/>
      <c r="G22" s="251" t="s">
        <v>44</v>
      </c>
      <c r="H22" s="251"/>
      <c r="I22" s="251"/>
      <c r="J22" s="228"/>
      <c r="K22" s="252" t="s">
        <v>45</v>
      </c>
      <c r="L22" s="252"/>
      <c r="M22" s="252"/>
      <c r="N22" s="252"/>
      <c r="O22" s="228"/>
      <c r="P22" s="253" t="s">
        <v>46</v>
      </c>
      <c r="Q22" s="253"/>
      <c r="R22" s="253"/>
      <c r="S22" s="253"/>
      <c r="T22" s="228"/>
      <c r="U22" s="134" t="s">
        <v>49</v>
      </c>
      <c r="V22" s="135" t="s">
        <v>48</v>
      </c>
      <c r="W22" s="136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3"/>
    </row>
    <row r="23" spans="1:36" ht="15" customHeight="1" x14ac:dyDescent="0.25">
      <c r="B23" s="129"/>
      <c r="C23" s="232" t="str">
        <f>"0x"&amp;DEC2HEX(Sheet3!$I$4,8)</f>
        <v>0x00400320</v>
      </c>
      <c r="D23" s="232"/>
      <c r="E23" s="232"/>
      <c r="F23" s="125"/>
      <c r="G23" s="241" t="str">
        <f>"0x"&amp;BIN2HEX(CONCATENATE(D16,E16,F16,G16,H16,I16,J16,K16),2)&amp;BIN2HEX(CONCATENATE(L16,M16,N16,O16,P16,Q16,R16,S16),2)&amp;BIN2HEX(CONCATENATE(T16,U16,V16,W16,X16,Y16,Z16,AA16),2)&amp;BIN2HEX(CONCATENATE(AB16,AC16,AD16,AE16,AF16,AG16,AH16,AI16),2)</f>
        <v>0x00002EDF</v>
      </c>
      <c r="H23" s="241"/>
      <c r="I23" s="241"/>
      <c r="J23" s="125"/>
      <c r="K23" s="241" t="str">
        <f>"0b"&amp;D20&amp;E20&amp;F20&amp;G20&amp;H20&amp;I20&amp;J20&amp;K20&amp;L20&amp;M20&amp;N20&amp;O20&amp;P20&amp;Q20&amp;R20</f>
        <v>0b000000010000000</v>
      </c>
      <c r="L23" s="241"/>
      <c r="M23" s="241"/>
      <c r="N23" s="241"/>
      <c r="O23" s="125"/>
      <c r="P23" s="241" t="str">
        <f>"0b"&amp;DEC2BIN(((AG20+AF20*2+AE20*4+AD20*8+AC20*16+AB20*32+AA20*64+Z20*128+Y20*256+X20*512+W20*1024+V20*2048+U20*4096+T20*2^13+S20*2^14)/512),6)&amp;DEC2BIN(MOD((AG20+AF20*2+AE20*4+AD20*8+AC20*16+AB20*32+AA20*64+Z20*128+Y20*256+X20*512+W20*1024+V20*2048+U20*4096+T20*2^13+S20*2^14),512),9)</f>
        <v>0b000000000000000</v>
      </c>
      <c r="Q23" s="241"/>
      <c r="R23" s="241"/>
      <c r="S23" s="241"/>
      <c r="T23" s="125"/>
      <c r="U23" s="126">
        <v>0</v>
      </c>
      <c r="V23" s="126">
        <f>AI20</f>
        <v>0</v>
      </c>
      <c r="W23" s="137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  <c r="AH23" s="131"/>
      <c r="AI23" s="131"/>
      <c r="AJ23" s="133"/>
    </row>
    <row r="24" spans="1:36" ht="15" customHeight="1" x14ac:dyDescent="0.25">
      <c r="B24" s="129"/>
      <c r="C24" s="232" t="str">
        <f>"0x"&amp;DEC2HEX(Sheet3!$I$4+8,8)</f>
        <v>0x00400328</v>
      </c>
      <c r="D24" s="232"/>
      <c r="E24" s="232"/>
      <c r="F24" s="127"/>
      <c r="G24" s="241" t="str">
        <f>"0x"&amp;DEC2HEX(2^19-1-HEX2DEC(BIN2HEX(CONCATENATE(Q16,R16,S16),2)&amp;BIN2HEX(CONCATENATE(T16,U16,V16,W16,X16,Y16,Z16,AA16),2)&amp;BIN2HEX(CONCATENATE(AB16,AC16,AD16,AE16,AF16,AG16,AH16,AI16),2)),8)</f>
        <v>0x0007D120</v>
      </c>
      <c r="H24" s="241"/>
      <c r="I24" s="241"/>
      <c r="J24" s="127"/>
      <c r="K24" s="232" t="str">
        <f>"0b"&amp;D20&amp;E20&amp;F20&amp;G20&amp;H20&amp;I20&amp;J20&amp;K20&amp;L20&amp;M20&amp;N20&amp;O20&amp;P20&amp;Q20&amp;R20</f>
        <v>0b000000010000000</v>
      </c>
      <c r="L24" s="232"/>
      <c r="M24" s="232"/>
      <c r="N24" s="232"/>
      <c r="O24" s="127"/>
      <c r="P24" s="232" t="str">
        <f>"0b"&amp;DEC2BIN(((AG20+AF20*2+AE20*4+AD20*8+AC20*16+AB20*32+AA20*64+Z20*128+Y20*256+X20*512+W20*1024+V20*2048+U20*4096+T20*2^13+S20*2^14)/512),6)&amp;DEC2BIN(MOD((AG20+AF20*2+AE20*4+AD20*8+AC20*16+AB20*32+AA20*64+Z20*128+Y20*256+X20*512+W20*1024+V20*2048+U20*4096+T20*2^13+S20*2^14),512),9)</f>
        <v>0b000000000000000</v>
      </c>
      <c r="Q24" s="232"/>
      <c r="R24" s="232"/>
      <c r="S24" s="232"/>
      <c r="T24" s="127"/>
      <c r="U24" s="126">
        <v>0</v>
      </c>
      <c r="V24" s="127">
        <f>AI20</f>
        <v>0</v>
      </c>
      <c r="W24" s="138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3"/>
    </row>
    <row r="25" spans="1:36" ht="15" customHeight="1" x14ac:dyDescent="0.25">
      <c r="B25" s="129"/>
      <c r="C25" s="232" t="str">
        <f>"0x"&amp;DEC2HEX(Sheet3!$I$4+16,8)</f>
        <v>0x00400330</v>
      </c>
      <c r="D25" s="232"/>
      <c r="E25" s="232"/>
      <c r="F25" s="127"/>
      <c r="G25" s="241" t="str">
        <f>"0x00"&amp;BIN2HEX(CONCATENATE(AI16,Q16,R16),2)&amp;BIN2HEX(CONCATENATE(S16,T16,U16,V16,W16,X16,Y16,Z16),2)&amp;BIN2HEX(CONCATENATE(AA16,AB16,AC16,AD16,AE16,AF16,AG16,AH16),2)</f>
        <v>0x0004176F</v>
      </c>
      <c r="H25" s="241"/>
      <c r="I25" s="241"/>
      <c r="J25" s="127"/>
      <c r="K25" s="232" t="str">
        <f>"0b"&amp;D20&amp;E20&amp;F20&amp;G20&amp;H20&amp;I20&amp;J20&amp;K20&amp;L20&amp;M20&amp;N20&amp;O20&amp;P20&amp;Q20&amp;R20</f>
        <v>0b000000010000000</v>
      </c>
      <c r="L25" s="232"/>
      <c r="M25" s="232"/>
      <c r="N25" s="232"/>
      <c r="O25" s="127"/>
      <c r="P25" s="232" t="str">
        <f>"0b"&amp;DEC2BIN(((AG20+AF20*2+AE20*4+AD20*8+AC20*16+AB20*32+AA20*64+Z20*128+Y20*256+X20*512+W20*1024+V20*2048+U20*4096+T20*2^13+S20*2^14)/512),6)&amp;DEC2BIN(MOD((AG20+AF20*2+AE20*4+AD20*8+AC20*16+AB20*32+AA20*64+Z20*128+Y20*256+X20*512+W20*1024+V20*2048+U20*4096+T20*2^13+S20*2^14),512),9)</f>
        <v>0b000000000000000</v>
      </c>
      <c r="Q25" s="232"/>
      <c r="R25" s="232"/>
      <c r="S25" s="232"/>
      <c r="T25" s="127"/>
      <c r="U25" s="126">
        <v>0</v>
      </c>
      <c r="V25" s="127">
        <f>AI20</f>
        <v>0</v>
      </c>
      <c r="W25" s="138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  <c r="AH25" s="131"/>
      <c r="AI25" s="131"/>
      <c r="AJ25" s="133"/>
    </row>
    <row r="26" spans="1:36" x14ac:dyDescent="0.25">
      <c r="B26" s="129"/>
      <c r="C26" s="131"/>
      <c r="D26" s="131"/>
      <c r="E26" s="131"/>
      <c r="F26" s="131"/>
      <c r="G26" s="199"/>
      <c r="H26" s="199"/>
      <c r="I26" s="199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3"/>
    </row>
    <row r="27" spans="1:36" x14ac:dyDescent="0.25">
      <c r="A27" s="30"/>
      <c r="B27" s="129"/>
      <c r="C27" s="242" t="s">
        <v>47</v>
      </c>
      <c r="D27" s="242"/>
      <c r="E27" s="242"/>
      <c r="F27" s="136"/>
      <c r="G27" s="47"/>
      <c r="H27" s="47"/>
      <c r="I27" s="47"/>
      <c r="J27" s="136"/>
      <c r="K27" s="136"/>
      <c r="L27" s="136"/>
      <c r="M27" s="136" t="s">
        <v>334</v>
      </c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  <c r="AH27" s="131"/>
      <c r="AI27" s="131"/>
      <c r="AJ27" s="133"/>
    </row>
    <row r="28" spans="1:36" ht="15" customHeight="1" x14ac:dyDescent="0.25">
      <c r="B28" s="129"/>
      <c r="C28" s="232" t="str">
        <f>"0x"&amp;DEC2HEX(Sheet3!$I$4,8)</f>
        <v>0x00400320</v>
      </c>
      <c r="D28" s="232"/>
      <c r="E28" s="232"/>
      <c r="F28" s="127"/>
      <c r="G28" s="243" t="str">
        <f>G23&amp;BIN2HEX(MID(K23,3,8),2)&amp;BIN2HEX(RIGHT(K23,7)&amp;MID(P23,3,1),2)&amp;BIN2HEX(MID(P23,4,8),2)&amp;BIN2HEX(RIGHT(P23,6)&amp;U23&amp;V23,2)</f>
        <v>0x00002EDF01000000</v>
      </c>
      <c r="H28" s="243"/>
      <c r="I28" s="243"/>
      <c r="J28" s="243"/>
      <c r="K28" s="47"/>
      <c r="L28" s="47"/>
      <c r="M28" s="47"/>
      <c r="N28" s="47"/>
      <c r="O28" s="47"/>
      <c r="P28" s="47"/>
      <c r="Q28" s="138"/>
      <c r="R28" s="138"/>
      <c r="S28" s="139"/>
      <c r="T28" s="139"/>
      <c r="U28" s="139"/>
      <c r="V28" s="139"/>
      <c r="W28" s="139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  <c r="AH28" s="131"/>
      <c r="AI28" s="131"/>
      <c r="AJ28" s="133"/>
    </row>
    <row r="29" spans="1:36" ht="15" customHeight="1" x14ac:dyDescent="0.25">
      <c r="B29" s="129"/>
      <c r="C29" s="232" t="str">
        <f>"0x"&amp;DEC2HEX(Sheet3!$I$4+8,8)</f>
        <v>0x00400328</v>
      </c>
      <c r="D29" s="232"/>
      <c r="E29" s="232"/>
      <c r="F29" s="140"/>
      <c r="G29" s="243" t="str">
        <f t="shared" ref="G29:G30" si="0">G24&amp;BIN2HEX(MID(K24,3,8),2)&amp;BIN2HEX(RIGHT(K24,7)&amp;MID(P24,3,1),2)&amp;BIN2HEX(MID(P24,4,8),2)&amp;BIN2HEX(RIGHT(P24,6)&amp;U24&amp;V24,2)</f>
        <v>0x0007D12001000000</v>
      </c>
      <c r="H29" s="243"/>
      <c r="I29" s="243"/>
      <c r="J29" s="243"/>
      <c r="K29" s="47"/>
      <c r="L29" s="47"/>
      <c r="M29" s="47"/>
      <c r="N29" s="47"/>
      <c r="O29" s="47"/>
      <c r="P29" s="47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  <c r="AH29" s="131"/>
      <c r="AI29" s="131"/>
      <c r="AJ29" s="133"/>
    </row>
    <row r="30" spans="1:36" ht="15" customHeight="1" x14ac:dyDescent="0.25">
      <c r="B30" s="129"/>
      <c r="C30" s="232" t="str">
        <f>"0x"&amp;DEC2HEX(Sheet3!$I$4+16,8)</f>
        <v>0x00400330</v>
      </c>
      <c r="D30" s="232"/>
      <c r="E30" s="232"/>
      <c r="F30" s="140"/>
      <c r="G30" s="243" t="str">
        <f t="shared" si="0"/>
        <v>0x0004176F01000000</v>
      </c>
      <c r="H30" s="243"/>
      <c r="I30" s="243"/>
      <c r="J30" s="243"/>
      <c r="K30" s="47"/>
      <c r="L30" s="47"/>
      <c r="M30" s="47"/>
      <c r="N30" s="47"/>
      <c r="O30" s="47"/>
      <c r="P30" s="47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  <c r="AH30" s="131"/>
      <c r="AI30" s="131"/>
      <c r="AJ30" s="133"/>
    </row>
    <row r="31" spans="1:36" x14ac:dyDescent="0.25">
      <c r="B31" s="141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3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4"/>
    </row>
    <row r="40" spans="3:26" x14ac:dyDescent="0.25">
      <c r="C40" s="279" t="s">
        <v>406</v>
      </c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279"/>
      <c r="O40" s="279"/>
      <c r="P40" s="279"/>
      <c r="Q40" s="279"/>
      <c r="T40" s="297" t="s">
        <v>407</v>
      </c>
      <c r="U40" s="297"/>
      <c r="V40" s="297"/>
      <c r="W40" s="297"/>
      <c r="X40" s="297"/>
      <c r="Y40" s="297"/>
      <c r="Z40" s="297"/>
    </row>
    <row r="41" spans="3:26" x14ac:dyDescent="0.25">
      <c r="C41" s="279" t="s">
        <v>411</v>
      </c>
      <c r="D41" s="279"/>
      <c r="E41" s="279"/>
      <c r="F41" s="279"/>
      <c r="G41" s="279"/>
      <c r="H41" s="279"/>
      <c r="I41" s="279"/>
      <c r="J41" s="279"/>
      <c r="K41" s="279"/>
      <c r="L41" s="279"/>
      <c r="M41" s="279"/>
      <c r="N41" s="279"/>
      <c r="O41" s="279"/>
      <c r="P41" s="279"/>
      <c r="Q41" s="279"/>
      <c r="T41" s="297" t="s">
        <v>412</v>
      </c>
      <c r="U41" s="297"/>
      <c r="V41" s="297"/>
      <c r="W41" s="297"/>
      <c r="X41" s="297"/>
      <c r="Y41" s="297"/>
      <c r="Z41" s="297"/>
    </row>
    <row r="42" spans="3:26" x14ac:dyDescent="0.25">
      <c r="C42" s="279" t="s">
        <v>413</v>
      </c>
      <c r="D42" s="279"/>
      <c r="E42" s="279"/>
      <c r="F42" s="279"/>
      <c r="G42" s="279"/>
      <c r="H42" s="279"/>
      <c r="I42" s="279"/>
      <c r="J42" s="279"/>
      <c r="K42" s="279"/>
      <c r="L42" s="279"/>
      <c r="M42" s="279"/>
      <c r="N42" s="279"/>
      <c r="O42" s="279"/>
      <c r="P42" s="279"/>
      <c r="Q42" s="279"/>
      <c r="T42" s="297" t="s">
        <v>414</v>
      </c>
      <c r="U42" s="297"/>
      <c r="V42" s="297"/>
      <c r="W42" s="297"/>
      <c r="X42" s="297"/>
      <c r="Y42" s="297"/>
      <c r="Z42" s="297"/>
    </row>
    <row r="43" spans="3:26" x14ac:dyDescent="0.25">
      <c r="C43" s="279" t="s">
        <v>415</v>
      </c>
      <c r="D43" s="279"/>
      <c r="E43" s="279"/>
      <c r="F43" s="279"/>
      <c r="G43" s="279"/>
      <c r="H43" s="279"/>
      <c r="I43" s="279"/>
      <c r="J43" s="279"/>
      <c r="K43" s="279"/>
      <c r="L43" s="279"/>
      <c r="M43" s="279"/>
      <c r="N43" s="279"/>
      <c r="O43" s="279"/>
      <c r="P43" s="279"/>
      <c r="Q43" s="279"/>
      <c r="T43" s="297" t="s">
        <v>416</v>
      </c>
      <c r="U43" s="297"/>
      <c r="V43" s="297"/>
      <c r="W43" s="297"/>
      <c r="X43" s="297"/>
      <c r="Y43" s="297"/>
      <c r="Z43" s="297"/>
    </row>
    <row r="44" spans="3:26" x14ac:dyDescent="0.25">
      <c r="C44" s="279"/>
      <c r="D44" s="279"/>
      <c r="E44" s="279"/>
      <c r="F44" s="279"/>
      <c r="G44" s="279"/>
      <c r="H44" s="279"/>
      <c r="I44" s="279"/>
      <c r="J44" s="279"/>
      <c r="K44" s="279"/>
      <c r="L44" s="279"/>
      <c r="M44" s="279"/>
      <c r="N44" s="279"/>
      <c r="O44" s="279"/>
      <c r="P44" s="279"/>
      <c r="Q44" s="279"/>
      <c r="T44" s="297"/>
      <c r="U44" s="297"/>
      <c r="V44" s="297"/>
      <c r="W44" s="297"/>
      <c r="X44" s="297"/>
      <c r="Y44" s="297"/>
      <c r="Z44" s="297"/>
    </row>
    <row r="45" spans="3:26" x14ac:dyDescent="0.25">
      <c r="C45" s="279"/>
      <c r="D45" s="279"/>
      <c r="E45" s="279"/>
      <c r="F45" s="279"/>
      <c r="G45" s="279"/>
      <c r="H45" s="279"/>
      <c r="I45" s="279"/>
      <c r="J45" s="279"/>
      <c r="K45" s="279"/>
      <c r="L45" s="279"/>
      <c r="M45" s="279"/>
      <c r="N45" s="279"/>
      <c r="O45" s="279"/>
      <c r="P45" s="279"/>
      <c r="Q45" s="279"/>
      <c r="T45" s="297"/>
      <c r="U45" s="297"/>
      <c r="V45" s="297"/>
      <c r="W45" s="297"/>
      <c r="X45" s="297"/>
      <c r="Y45" s="297"/>
      <c r="Z45" s="297"/>
    </row>
    <row r="46" spans="3:26" x14ac:dyDescent="0.25">
      <c r="C46" s="279"/>
      <c r="D46" s="279"/>
      <c r="E46" s="279"/>
      <c r="F46" s="279"/>
      <c r="G46" s="279"/>
      <c r="H46" s="279"/>
      <c r="I46" s="279"/>
      <c r="J46" s="279"/>
      <c r="K46" s="279"/>
      <c r="L46" s="279"/>
      <c r="M46" s="279"/>
      <c r="N46" s="279"/>
      <c r="O46" s="279"/>
      <c r="P46" s="279"/>
      <c r="Q46" s="279"/>
      <c r="T46" s="297"/>
      <c r="U46" s="297"/>
      <c r="V46" s="297"/>
      <c r="W46" s="297"/>
      <c r="X46" s="297"/>
      <c r="Y46" s="297"/>
      <c r="Z46" s="297"/>
    </row>
    <row r="47" spans="3:26" x14ac:dyDescent="0.25">
      <c r="C47" s="279"/>
      <c r="D47" s="279"/>
      <c r="E47" s="279"/>
      <c r="F47" s="279"/>
      <c r="G47" s="279"/>
      <c r="H47" s="279"/>
      <c r="I47" s="279"/>
      <c r="J47" s="279"/>
      <c r="K47" s="279"/>
      <c r="L47" s="279"/>
      <c r="M47" s="279"/>
      <c r="N47" s="279"/>
      <c r="O47" s="279"/>
      <c r="P47" s="279"/>
      <c r="Q47" s="279"/>
      <c r="T47" s="297"/>
      <c r="U47" s="297"/>
      <c r="V47" s="297"/>
      <c r="W47" s="297"/>
      <c r="X47" s="297"/>
      <c r="Y47" s="297"/>
      <c r="Z47" s="297"/>
    </row>
    <row r="48" spans="3:26" x14ac:dyDescent="0.25">
      <c r="C48" s="279"/>
      <c r="D48" s="279"/>
      <c r="E48" s="279"/>
      <c r="F48" s="279"/>
      <c r="G48" s="279"/>
      <c r="H48" s="279"/>
      <c r="I48" s="279"/>
      <c r="J48" s="279"/>
      <c r="K48" s="279"/>
      <c r="L48" s="279"/>
      <c r="M48" s="279"/>
      <c r="N48" s="279"/>
      <c r="O48" s="279"/>
      <c r="P48" s="279"/>
      <c r="Q48" s="279"/>
      <c r="T48" s="297"/>
      <c r="U48" s="297"/>
      <c r="V48" s="297"/>
      <c r="W48" s="297"/>
      <c r="X48" s="297"/>
      <c r="Y48" s="297"/>
      <c r="Z48" s="297"/>
    </row>
    <row r="49" spans="3:26" x14ac:dyDescent="0.25">
      <c r="C49" s="279"/>
      <c r="D49" s="279"/>
      <c r="E49" s="279"/>
      <c r="F49" s="279"/>
      <c r="G49" s="279"/>
      <c r="H49" s="279"/>
      <c r="I49" s="279"/>
      <c r="J49" s="279"/>
      <c r="K49" s="279"/>
      <c r="L49" s="279"/>
      <c r="M49" s="279"/>
      <c r="N49" s="279"/>
      <c r="O49" s="279"/>
      <c r="P49" s="279"/>
      <c r="Q49" s="279"/>
      <c r="T49" s="297"/>
      <c r="U49" s="297"/>
      <c r="V49" s="297"/>
      <c r="W49" s="297"/>
      <c r="X49" s="297"/>
      <c r="Y49" s="297"/>
      <c r="Z49" s="297"/>
    </row>
    <row r="50" spans="3:26" x14ac:dyDescent="0.25">
      <c r="C50" s="279"/>
      <c r="D50" s="279"/>
      <c r="E50" s="279"/>
      <c r="F50" s="279"/>
      <c r="G50" s="279"/>
      <c r="H50" s="279"/>
      <c r="I50" s="279"/>
      <c r="J50" s="279"/>
      <c r="K50" s="279"/>
      <c r="L50" s="279"/>
      <c r="M50" s="279"/>
      <c r="N50" s="279"/>
      <c r="O50" s="279"/>
      <c r="P50" s="279"/>
      <c r="Q50" s="279"/>
      <c r="T50" s="297"/>
      <c r="U50" s="297"/>
      <c r="V50" s="297"/>
      <c r="W50" s="297"/>
      <c r="X50" s="297"/>
      <c r="Y50" s="297"/>
      <c r="Z50" s="297"/>
    </row>
    <row r="51" spans="3:26" x14ac:dyDescent="0.25">
      <c r="C51" s="279"/>
      <c r="D51" s="279"/>
      <c r="E51" s="279"/>
      <c r="F51" s="279"/>
      <c r="G51" s="279"/>
      <c r="H51" s="279"/>
      <c r="I51" s="279"/>
      <c r="J51" s="279"/>
      <c r="K51" s="279"/>
      <c r="L51" s="279"/>
      <c r="M51" s="279"/>
      <c r="N51" s="279"/>
      <c r="O51" s="279"/>
      <c r="P51" s="279"/>
      <c r="Q51" s="279"/>
      <c r="T51" s="297"/>
      <c r="U51" s="297"/>
      <c r="V51" s="297"/>
      <c r="W51" s="297"/>
      <c r="X51" s="297"/>
      <c r="Y51" s="297"/>
      <c r="Z51" s="297"/>
    </row>
    <row r="52" spans="3:26" x14ac:dyDescent="0.25">
      <c r="C52" s="279"/>
      <c r="D52" s="279"/>
      <c r="E52" s="279"/>
      <c r="F52" s="279"/>
      <c r="G52" s="279"/>
      <c r="H52" s="279"/>
      <c r="I52" s="279"/>
      <c r="J52" s="279"/>
      <c r="K52" s="279"/>
      <c r="L52" s="279"/>
      <c r="M52" s="279"/>
      <c r="N52" s="279"/>
      <c r="O52" s="279"/>
      <c r="P52" s="279"/>
      <c r="Q52" s="279"/>
      <c r="T52" s="297"/>
      <c r="U52" s="297"/>
      <c r="V52" s="297"/>
      <c r="W52" s="297"/>
      <c r="X52" s="297"/>
      <c r="Y52" s="297"/>
      <c r="Z52" s="297"/>
    </row>
    <row r="53" spans="3:26" x14ac:dyDescent="0.25"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279"/>
      <c r="N53" s="279"/>
      <c r="O53" s="279"/>
      <c r="P53" s="279"/>
      <c r="Q53" s="279"/>
      <c r="T53" s="297"/>
      <c r="U53" s="297"/>
      <c r="V53" s="297"/>
      <c r="W53" s="297"/>
      <c r="X53" s="297"/>
      <c r="Y53" s="297"/>
      <c r="Z53" s="297"/>
    </row>
    <row r="54" spans="3:26" x14ac:dyDescent="0.25">
      <c r="C54" s="279"/>
      <c r="D54" s="279"/>
      <c r="E54" s="279"/>
      <c r="F54" s="279"/>
      <c r="G54" s="279"/>
      <c r="H54" s="279"/>
      <c r="I54" s="279"/>
      <c r="J54" s="279"/>
      <c r="K54" s="279"/>
      <c r="L54" s="279"/>
      <c r="M54" s="279"/>
      <c r="N54" s="279"/>
      <c r="O54" s="279"/>
      <c r="P54" s="279"/>
      <c r="Q54" s="279"/>
      <c r="T54" s="297"/>
      <c r="U54" s="297"/>
      <c r="V54" s="297"/>
      <c r="W54" s="297"/>
      <c r="X54" s="297"/>
      <c r="Y54" s="297"/>
      <c r="Z54" s="297"/>
    </row>
    <row r="55" spans="3:26" x14ac:dyDescent="0.25">
      <c r="C55" s="279"/>
      <c r="D55" s="279"/>
      <c r="E55" s="279"/>
      <c r="F55" s="279"/>
      <c r="G55" s="279"/>
      <c r="H55" s="279"/>
      <c r="I55" s="279"/>
      <c r="J55" s="279"/>
      <c r="K55" s="279"/>
      <c r="L55" s="279"/>
      <c r="M55" s="279"/>
      <c r="N55" s="279"/>
      <c r="O55" s="279"/>
      <c r="P55" s="279"/>
      <c r="Q55" s="279"/>
      <c r="T55" s="297"/>
      <c r="U55" s="297"/>
      <c r="V55" s="297"/>
      <c r="W55" s="297"/>
      <c r="X55" s="297"/>
      <c r="Y55" s="297"/>
      <c r="Z55" s="297"/>
    </row>
    <row r="56" spans="3:26" x14ac:dyDescent="0.25">
      <c r="C56" s="279"/>
      <c r="D56" s="279"/>
      <c r="E56" s="279"/>
      <c r="F56" s="279"/>
      <c r="G56" s="279"/>
      <c r="H56" s="279"/>
      <c r="I56" s="279"/>
      <c r="J56" s="279"/>
      <c r="K56" s="279"/>
      <c r="L56" s="279"/>
      <c r="M56" s="279"/>
      <c r="N56" s="279"/>
      <c r="O56" s="279"/>
      <c r="P56" s="279"/>
      <c r="Q56" s="279"/>
      <c r="T56" s="297"/>
      <c r="U56" s="297"/>
      <c r="V56" s="297"/>
      <c r="W56" s="297"/>
      <c r="X56" s="297"/>
      <c r="Y56" s="297"/>
      <c r="Z56" s="297"/>
    </row>
    <row r="57" spans="3:26" x14ac:dyDescent="0.25">
      <c r="C57" s="279"/>
      <c r="D57" s="279"/>
      <c r="E57" s="279"/>
      <c r="F57" s="279"/>
      <c r="G57" s="279"/>
      <c r="H57" s="279"/>
      <c r="I57" s="279"/>
      <c r="J57" s="279"/>
      <c r="K57" s="279"/>
      <c r="L57" s="279"/>
      <c r="M57" s="279"/>
      <c r="N57" s="279"/>
      <c r="O57" s="279"/>
      <c r="P57" s="279"/>
      <c r="Q57" s="279"/>
      <c r="T57" s="297"/>
      <c r="U57" s="297"/>
      <c r="V57" s="297"/>
      <c r="W57" s="297"/>
      <c r="X57" s="297"/>
      <c r="Y57" s="297"/>
      <c r="Z57" s="297"/>
    </row>
    <row r="58" spans="3:26" x14ac:dyDescent="0.25">
      <c r="C58" s="279"/>
      <c r="D58" s="279"/>
      <c r="E58" s="279"/>
      <c r="F58" s="279"/>
      <c r="G58" s="279"/>
      <c r="H58" s="279"/>
      <c r="I58" s="279"/>
      <c r="J58" s="279"/>
      <c r="K58" s="279"/>
      <c r="L58" s="279"/>
      <c r="M58" s="279"/>
      <c r="N58" s="279"/>
      <c r="O58" s="279"/>
      <c r="P58" s="279"/>
      <c r="Q58" s="279"/>
      <c r="T58" s="297"/>
      <c r="U58" s="297"/>
      <c r="V58" s="297"/>
      <c r="W58" s="297"/>
      <c r="X58" s="297"/>
      <c r="Y58" s="297"/>
      <c r="Z58" s="297"/>
    </row>
    <row r="59" spans="3:26" x14ac:dyDescent="0.25">
      <c r="C59" s="279"/>
      <c r="D59" s="279"/>
      <c r="E59" s="279"/>
      <c r="F59" s="279"/>
      <c r="G59" s="279"/>
      <c r="H59" s="279"/>
      <c r="I59" s="279"/>
      <c r="J59" s="279"/>
      <c r="K59" s="279"/>
      <c r="L59" s="279"/>
      <c r="M59" s="279"/>
      <c r="N59" s="279"/>
      <c r="O59" s="279"/>
      <c r="P59" s="279"/>
      <c r="Q59" s="279"/>
      <c r="T59" s="297"/>
      <c r="U59" s="297"/>
      <c r="V59" s="297"/>
      <c r="W59" s="297"/>
      <c r="X59" s="297"/>
      <c r="Y59" s="297"/>
      <c r="Z59" s="297"/>
    </row>
    <row r="60" spans="3:26" x14ac:dyDescent="0.25">
      <c r="C60" s="279"/>
      <c r="D60" s="279"/>
      <c r="E60" s="279"/>
      <c r="F60" s="279"/>
      <c r="G60" s="279"/>
      <c r="H60" s="279"/>
      <c r="I60" s="279"/>
      <c r="J60" s="279"/>
      <c r="K60" s="279"/>
      <c r="L60" s="279"/>
      <c r="M60" s="279"/>
      <c r="N60" s="279"/>
      <c r="O60" s="279"/>
      <c r="P60" s="279"/>
      <c r="Q60" s="279"/>
      <c r="T60" s="297"/>
      <c r="U60" s="297"/>
      <c r="V60" s="297"/>
      <c r="W60" s="297"/>
      <c r="X60" s="297"/>
      <c r="Y60" s="297"/>
      <c r="Z60" s="297"/>
    </row>
    <row r="61" spans="3:26" x14ac:dyDescent="0.25"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  <c r="T61" s="297"/>
      <c r="U61" s="297"/>
      <c r="V61" s="297"/>
      <c r="W61" s="297"/>
      <c r="X61" s="297"/>
      <c r="Y61" s="297"/>
      <c r="Z61" s="297"/>
    </row>
    <row r="62" spans="3:26" x14ac:dyDescent="0.25">
      <c r="C62" s="279"/>
      <c r="D62" s="279"/>
      <c r="E62" s="279"/>
      <c r="F62" s="279"/>
      <c r="G62" s="279"/>
      <c r="H62" s="279"/>
      <c r="I62" s="279"/>
      <c r="J62" s="279"/>
      <c r="K62" s="279"/>
      <c r="L62" s="279"/>
      <c r="M62" s="279"/>
      <c r="N62" s="279"/>
      <c r="O62" s="279"/>
      <c r="P62" s="279"/>
      <c r="Q62" s="279"/>
      <c r="T62" s="297"/>
      <c r="U62" s="297"/>
      <c r="V62" s="297"/>
      <c r="W62" s="297"/>
      <c r="X62" s="297"/>
      <c r="Y62" s="297"/>
      <c r="Z62" s="297"/>
    </row>
    <row r="63" spans="3:26" x14ac:dyDescent="0.25">
      <c r="C63" s="279"/>
      <c r="D63" s="279"/>
      <c r="E63" s="279"/>
      <c r="F63" s="279"/>
      <c r="G63" s="279"/>
      <c r="H63" s="279"/>
      <c r="I63" s="279"/>
      <c r="J63" s="279"/>
      <c r="K63" s="279"/>
      <c r="L63" s="279"/>
      <c r="M63" s="279"/>
      <c r="N63" s="279"/>
      <c r="O63" s="279"/>
      <c r="P63" s="279"/>
      <c r="Q63" s="279"/>
      <c r="T63" s="297"/>
      <c r="U63" s="297"/>
      <c r="V63" s="297"/>
      <c r="W63" s="297"/>
      <c r="X63" s="297"/>
      <c r="Y63" s="297"/>
      <c r="Z63" s="297"/>
    </row>
    <row r="64" spans="3:26" x14ac:dyDescent="0.25"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279"/>
      <c r="Q64" s="279"/>
      <c r="T64" s="297"/>
      <c r="U64" s="297"/>
      <c r="V64" s="297"/>
      <c r="W64" s="297"/>
      <c r="X64" s="297"/>
      <c r="Y64" s="297"/>
      <c r="Z64" s="297"/>
    </row>
    <row r="65" spans="3:26" x14ac:dyDescent="0.25">
      <c r="C65" s="279"/>
      <c r="D65" s="279"/>
      <c r="E65" s="279"/>
      <c r="F65" s="279"/>
      <c r="G65" s="279"/>
      <c r="H65" s="279"/>
      <c r="I65" s="279"/>
      <c r="J65" s="279"/>
      <c r="K65" s="279"/>
      <c r="L65" s="279"/>
      <c r="M65" s="279"/>
      <c r="N65" s="279"/>
      <c r="O65" s="279"/>
      <c r="P65" s="279"/>
      <c r="Q65" s="279"/>
      <c r="T65" s="297"/>
      <c r="U65" s="297"/>
      <c r="V65" s="297"/>
      <c r="W65" s="297"/>
      <c r="X65" s="297"/>
      <c r="Y65" s="297"/>
      <c r="Z65" s="297"/>
    </row>
    <row r="66" spans="3:26" x14ac:dyDescent="0.25">
      <c r="C66" s="279"/>
      <c r="D66" s="279"/>
      <c r="E66" s="279"/>
      <c r="F66" s="279"/>
      <c r="G66" s="279"/>
      <c r="H66" s="279"/>
      <c r="I66" s="279"/>
      <c r="J66" s="279"/>
      <c r="K66" s="279"/>
      <c r="L66" s="279"/>
      <c r="M66" s="279"/>
      <c r="N66" s="279"/>
      <c r="O66" s="279"/>
      <c r="P66" s="279"/>
      <c r="Q66" s="279"/>
      <c r="T66" s="297"/>
      <c r="U66" s="297"/>
      <c r="V66" s="297"/>
      <c r="W66" s="297"/>
      <c r="X66" s="297"/>
      <c r="Y66" s="297"/>
      <c r="Z66" s="297"/>
    </row>
    <row r="67" spans="3:26" x14ac:dyDescent="0.25">
      <c r="C67" s="279"/>
      <c r="D67" s="279"/>
      <c r="E67" s="279"/>
      <c r="F67" s="279"/>
      <c r="G67" s="279"/>
      <c r="H67" s="279"/>
      <c r="I67" s="279"/>
      <c r="J67" s="279"/>
      <c r="K67" s="279"/>
      <c r="L67" s="279"/>
      <c r="M67" s="279"/>
      <c r="N67" s="279"/>
      <c r="O67" s="279"/>
      <c r="P67" s="279"/>
      <c r="Q67" s="279"/>
      <c r="T67" s="297"/>
      <c r="U67" s="297"/>
      <c r="V67" s="297"/>
      <c r="W67" s="297"/>
      <c r="X67" s="297"/>
      <c r="Y67" s="297"/>
      <c r="Z67" s="297"/>
    </row>
    <row r="68" spans="3:26" x14ac:dyDescent="0.25">
      <c r="C68" s="279"/>
      <c r="D68" s="279"/>
      <c r="E68" s="279"/>
      <c r="F68" s="279"/>
      <c r="G68" s="279"/>
      <c r="H68" s="279"/>
      <c r="I68" s="279"/>
      <c r="J68" s="279"/>
      <c r="K68" s="279"/>
      <c r="L68" s="279"/>
      <c r="M68" s="279"/>
      <c r="N68" s="279"/>
      <c r="O68" s="279"/>
      <c r="P68" s="279"/>
      <c r="Q68" s="279"/>
      <c r="T68" s="297"/>
      <c r="U68" s="297"/>
      <c r="V68" s="297"/>
      <c r="W68" s="297"/>
      <c r="X68" s="297"/>
      <c r="Y68" s="297"/>
      <c r="Z68" s="297"/>
    </row>
    <row r="69" spans="3:26" x14ac:dyDescent="0.25">
      <c r="C69" s="279"/>
      <c r="D69" s="279"/>
      <c r="E69" s="279"/>
      <c r="F69" s="279"/>
      <c r="G69" s="279"/>
      <c r="H69" s="279"/>
      <c r="I69" s="279"/>
      <c r="J69" s="279"/>
      <c r="K69" s="279"/>
      <c r="L69" s="279"/>
      <c r="M69" s="279"/>
      <c r="N69" s="279"/>
      <c r="O69" s="279"/>
      <c r="P69" s="279"/>
      <c r="Q69" s="279"/>
      <c r="T69" s="297"/>
      <c r="U69" s="297"/>
      <c r="V69" s="297"/>
      <c r="W69" s="297"/>
      <c r="X69" s="297"/>
      <c r="Y69" s="297"/>
      <c r="Z69" s="297"/>
    </row>
    <row r="70" spans="3:26" x14ac:dyDescent="0.25">
      <c r="C70" s="279"/>
      <c r="D70" s="279"/>
      <c r="E70" s="279"/>
      <c r="F70" s="279"/>
      <c r="G70" s="279"/>
      <c r="H70" s="279"/>
      <c r="I70" s="279"/>
      <c r="J70" s="279"/>
      <c r="K70" s="279"/>
      <c r="L70" s="279"/>
      <c r="M70" s="279"/>
      <c r="N70" s="279"/>
      <c r="O70" s="279"/>
      <c r="P70" s="279"/>
      <c r="Q70" s="279"/>
      <c r="T70" s="297"/>
      <c r="U70" s="297"/>
      <c r="V70" s="297"/>
      <c r="W70" s="297"/>
      <c r="X70" s="297"/>
      <c r="Y70" s="297"/>
      <c r="Z70" s="297"/>
    </row>
    <row r="71" spans="3:26" x14ac:dyDescent="0.25">
      <c r="C71" s="279"/>
      <c r="D71" s="279"/>
      <c r="E71" s="279"/>
      <c r="F71" s="279"/>
      <c r="G71" s="279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T71" s="297"/>
      <c r="U71" s="297"/>
      <c r="V71" s="297"/>
      <c r="W71" s="297"/>
      <c r="X71" s="297"/>
      <c r="Y71" s="297"/>
      <c r="Z71" s="297"/>
    </row>
    <row r="72" spans="3:26" x14ac:dyDescent="0.25">
      <c r="C72" s="279"/>
      <c r="D72" s="279"/>
      <c r="E72" s="279"/>
      <c r="F72" s="279"/>
      <c r="G72" s="279"/>
      <c r="H72" s="279"/>
      <c r="I72" s="279"/>
      <c r="J72" s="279"/>
      <c r="K72" s="279"/>
      <c r="L72" s="279"/>
      <c r="M72" s="279"/>
      <c r="N72" s="279"/>
      <c r="O72" s="279"/>
      <c r="P72" s="279"/>
      <c r="Q72" s="279"/>
      <c r="T72" s="297"/>
      <c r="U72" s="297"/>
      <c r="V72" s="297"/>
      <c r="W72" s="297"/>
      <c r="X72" s="297"/>
      <c r="Y72" s="297"/>
      <c r="Z72" s="297"/>
    </row>
    <row r="73" spans="3:26" x14ac:dyDescent="0.25">
      <c r="C73" s="279"/>
      <c r="D73" s="279"/>
      <c r="E73" s="279"/>
      <c r="F73" s="279"/>
      <c r="G73" s="279"/>
      <c r="H73" s="279"/>
      <c r="I73" s="279"/>
      <c r="J73" s="279"/>
      <c r="K73" s="279"/>
      <c r="L73" s="279"/>
      <c r="M73" s="279"/>
      <c r="N73" s="279"/>
      <c r="O73" s="279"/>
      <c r="P73" s="279"/>
      <c r="Q73" s="279"/>
      <c r="T73" s="297"/>
      <c r="U73" s="297"/>
      <c r="V73" s="297"/>
      <c r="W73" s="297"/>
      <c r="X73" s="297"/>
      <c r="Y73" s="297"/>
      <c r="Z73" s="297"/>
    </row>
    <row r="74" spans="3:26" x14ac:dyDescent="0.25">
      <c r="C74" s="279"/>
      <c r="D74" s="279"/>
      <c r="E74" s="279"/>
      <c r="F74" s="279"/>
      <c r="G74" s="279"/>
      <c r="H74" s="279"/>
      <c r="I74" s="279"/>
      <c r="J74" s="279"/>
      <c r="K74" s="279"/>
      <c r="L74" s="279"/>
      <c r="M74" s="279"/>
      <c r="N74" s="279"/>
      <c r="O74" s="279"/>
      <c r="P74" s="279"/>
      <c r="Q74" s="279"/>
      <c r="T74" s="297"/>
      <c r="U74" s="297"/>
      <c r="V74" s="297"/>
      <c r="W74" s="297"/>
      <c r="X74" s="297"/>
      <c r="Y74" s="297"/>
      <c r="Z74" s="297"/>
    </row>
    <row r="75" spans="3:26" x14ac:dyDescent="0.25">
      <c r="C75" s="279"/>
      <c r="D75" s="279"/>
      <c r="E75" s="279"/>
      <c r="F75" s="279"/>
      <c r="G75" s="279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T75" s="297"/>
      <c r="U75" s="297"/>
      <c r="V75" s="297"/>
      <c r="W75" s="297"/>
      <c r="X75" s="297"/>
      <c r="Y75" s="297"/>
      <c r="Z75" s="297"/>
    </row>
    <row r="76" spans="3:26" x14ac:dyDescent="0.25">
      <c r="C76" s="279"/>
      <c r="D76" s="279"/>
      <c r="E76" s="279"/>
      <c r="F76" s="279"/>
      <c r="G76" s="279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T76" s="297"/>
      <c r="U76" s="297"/>
      <c r="V76" s="297"/>
      <c r="W76" s="297"/>
      <c r="X76" s="297"/>
      <c r="Y76" s="297"/>
      <c r="Z76" s="297"/>
    </row>
    <row r="77" spans="3:26" x14ac:dyDescent="0.25">
      <c r="C77" s="279"/>
      <c r="D77" s="279"/>
      <c r="E77" s="279"/>
      <c r="F77" s="279"/>
      <c r="G77" s="279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T77" s="297"/>
      <c r="U77" s="297"/>
      <c r="V77" s="297"/>
      <c r="W77" s="297"/>
      <c r="X77" s="297"/>
      <c r="Y77" s="297"/>
      <c r="Z77" s="297"/>
    </row>
    <row r="78" spans="3:26" x14ac:dyDescent="0.25">
      <c r="C78" s="279"/>
      <c r="D78" s="279"/>
      <c r="E78" s="279"/>
      <c r="F78" s="279"/>
      <c r="G78" s="279"/>
      <c r="H78" s="279"/>
      <c r="I78" s="279"/>
      <c r="J78" s="279"/>
      <c r="K78" s="279"/>
      <c r="L78" s="279"/>
      <c r="M78" s="279"/>
      <c r="N78" s="279"/>
      <c r="O78" s="279"/>
      <c r="P78" s="279"/>
      <c r="Q78" s="279"/>
      <c r="T78" s="297"/>
      <c r="U78" s="297"/>
      <c r="V78" s="297"/>
      <c r="W78" s="297"/>
      <c r="X78" s="297"/>
      <c r="Y78" s="297"/>
      <c r="Z78" s="297"/>
    </row>
    <row r="79" spans="3:26" x14ac:dyDescent="0.25">
      <c r="C79" s="279"/>
      <c r="D79" s="279"/>
      <c r="E79" s="279"/>
      <c r="F79" s="279"/>
      <c r="G79" s="279"/>
      <c r="H79" s="279"/>
      <c r="I79" s="279"/>
      <c r="J79" s="279"/>
      <c r="K79" s="279"/>
      <c r="L79" s="279"/>
      <c r="M79" s="279"/>
      <c r="N79" s="279"/>
      <c r="O79" s="279"/>
      <c r="P79" s="279"/>
      <c r="Q79" s="279"/>
      <c r="T79" s="297"/>
      <c r="U79" s="297"/>
      <c r="V79" s="297"/>
      <c r="W79" s="297"/>
      <c r="X79" s="297"/>
      <c r="Y79" s="297"/>
      <c r="Z79" s="297"/>
    </row>
    <row r="80" spans="3:26" x14ac:dyDescent="0.25">
      <c r="C80" s="279"/>
      <c r="D80" s="279"/>
      <c r="E80" s="279"/>
      <c r="F80" s="279"/>
      <c r="G80" s="279"/>
      <c r="H80" s="279"/>
      <c r="I80" s="279"/>
      <c r="J80" s="279"/>
      <c r="K80" s="279"/>
      <c r="L80" s="279"/>
      <c r="M80" s="279"/>
      <c r="N80" s="279"/>
      <c r="O80" s="279"/>
      <c r="P80" s="279"/>
      <c r="Q80" s="279"/>
      <c r="T80" s="297"/>
      <c r="U80" s="297"/>
      <c r="V80" s="297"/>
      <c r="W80" s="297"/>
      <c r="X80" s="297"/>
      <c r="Y80" s="297"/>
      <c r="Z80" s="297"/>
    </row>
    <row r="81" spans="3:26" x14ac:dyDescent="0.25">
      <c r="C81" s="279"/>
      <c r="D81" s="279"/>
      <c r="E81" s="279"/>
      <c r="F81" s="279"/>
      <c r="G81" s="279"/>
      <c r="H81" s="279"/>
      <c r="I81" s="279"/>
      <c r="J81" s="279"/>
      <c r="K81" s="279"/>
      <c r="L81" s="279"/>
      <c r="M81" s="279"/>
      <c r="N81" s="279"/>
      <c r="O81" s="279"/>
      <c r="P81" s="279"/>
      <c r="Q81" s="279"/>
      <c r="T81" s="297"/>
      <c r="U81" s="297"/>
      <c r="V81" s="297"/>
      <c r="W81" s="297"/>
      <c r="X81" s="297"/>
      <c r="Y81" s="297"/>
      <c r="Z81" s="297"/>
    </row>
    <row r="82" spans="3:26" x14ac:dyDescent="0.25">
      <c r="C82" s="279"/>
      <c r="D82" s="279"/>
      <c r="E82" s="279"/>
      <c r="F82" s="279"/>
      <c r="G82" s="279"/>
      <c r="H82" s="279"/>
      <c r="I82" s="279"/>
      <c r="J82" s="279"/>
      <c r="K82" s="279"/>
      <c r="L82" s="279"/>
      <c r="M82" s="279"/>
      <c r="N82" s="279"/>
      <c r="O82" s="279"/>
      <c r="P82" s="279"/>
      <c r="Q82" s="279"/>
      <c r="T82" s="297"/>
      <c r="U82" s="297"/>
      <c r="V82" s="297"/>
      <c r="W82" s="297"/>
      <c r="X82" s="297"/>
      <c r="Y82" s="297"/>
      <c r="Z82" s="297"/>
    </row>
    <row r="83" spans="3:26" x14ac:dyDescent="0.25">
      <c r="C83" s="279"/>
      <c r="D83" s="279"/>
      <c r="E83" s="279"/>
      <c r="F83" s="279"/>
      <c r="G83" s="279"/>
      <c r="H83" s="279"/>
      <c r="I83" s="279"/>
      <c r="J83" s="279"/>
      <c r="K83" s="279"/>
      <c r="L83" s="279"/>
      <c r="M83" s="279"/>
      <c r="N83" s="279"/>
      <c r="O83" s="279"/>
      <c r="P83" s="279"/>
      <c r="Q83" s="279"/>
      <c r="T83" s="297"/>
      <c r="U83" s="297"/>
      <c r="V83" s="297"/>
      <c r="W83" s="297"/>
      <c r="X83" s="297"/>
      <c r="Y83" s="297"/>
      <c r="Z83" s="297"/>
    </row>
    <row r="84" spans="3:26" x14ac:dyDescent="0.25">
      <c r="C84" s="279"/>
      <c r="D84" s="279"/>
      <c r="E84" s="279"/>
      <c r="F84" s="279"/>
      <c r="G84" s="279"/>
      <c r="H84" s="279"/>
      <c r="I84" s="279"/>
      <c r="J84" s="279"/>
      <c r="K84" s="279"/>
      <c r="L84" s="279"/>
      <c r="M84" s="279"/>
      <c r="N84" s="279"/>
      <c r="O84" s="279"/>
      <c r="P84" s="279"/>
      <c r="Q84" s="279"/>
      <c r="T84" s="297"/>
      <c r="U84" s="297"/>
      <c r="V84" s="297"/>
      <c r="W84" s="297"/>
      <c r="X84" s="297"/>
      <c r="Y84" s="297"/>
      <c r="Z84" s="297"/>
    </row>
    <row r="85" spans="3:26" x14ac:dyDescent="0.25">
      <c r="C85" s="279"/>
      <c r="D85" s="279"/>
      <c r="E85" s="279"/>
      <c r="F85" s="279"/>
      <c r="G85" s="279"/>
      <c r="H85" s="279"/>
      <c r="I85" s="279"/>
      <c r="J85" s="279"/>
      <c r="K85" s="279"/>
      <c r="L85" s="279"/>
      <c r="M85" s="279"/>
      <c r="N85" s="279"/>
      <c r="O85" s="279"/>
      <c r="P85" s="279"/>
      <c r="Q85" s="279"/>
      <c r="T85" s="297"/>
      <c r="U85" s="297"/>
      <c r="V85" s="297"/>
      <c r="W85" s="297"/>
      <c r="X85" s="297"/>
      <c r="Y85" s="297"/>
      <c r="Z85" s="297"/>
    </row>
    <row r="86" spans="3:26" x14ac:dyDescent="0.25">
      <c r="C86" s="279"/>
      <c r="D86" s="279"/>
      <c r="E86" s="279"/>
      <c r="F86" s="279"/>
      <c r="G86" s="279"/>
      <c r="H86" s="279"/>
      <c r="I86" s="279"/>
      <c r="J86" s="279"/>
      <c r="K86" s="279"/>
      <c r="L86" s="279"/>
      <c r="M86" s="279"/>
      <c r="N86" s="279"/>
      <c r="O86" s="279"/>
      <c r="P86" s="279"/>
      <c r="Q86" s="279"/>
      <c r="T86" s="297"/>
      <c r="U86" s="297"/>
      <c r="V86" s="297"/>
      <c r="W86" s="297"/>
      <c r="X86" s="297"/>
      <c r="Y86" s="297"/>
      <c r="Z86" s="297"/>
    </row>
    <row r="87" spans="3:26" x14ac:dyDescent="0.25">
      <c r="C87" s="279"/>
      <c r="D87" s="279"/>
      <c r="E87" s="279"/>
      <c r="F87" s="279"/>
      <c r="G87" s="279"/>
      <c r="H87" s="279"/>
      <c r="I87" s="279"/>
      <c r="J87" s="279"/>
      <c r="K87" s="279"/>
      <c r="L87" s="279"/>
      <c r="M87" s="279"/>
      <c r="N87" s="279"/>
      <c r="O87" s="279"/>
      <c r="P87" s="279"/>
      <c r="Q87" s="279"/>
      <c r="T87" s="297"/>
      <c r="U87" s="297"/>
      <c r="V87" s="297"/>
      <c r="W87" s="297"/>
      <c r="X87" s="297"/>
      <c r="Y87" s="297"/>
      <c r="Z87" s="297"/>
    </row>
    <row r="88" spans="3:26" x14ac:dyDescent="0.25">
      <c r="C88" s="279"/>
      <c r="D88" s="279"/>
      <c r="E88" s="279"/>
      <c r="F88" s="279"/>
      <c r="G88" s="279"/>
      <c r="H88" s="279"/>
      <c r="I88" s="279"/>
      <c r="J88" s="279"/>
      <c r="K88" s="279"/>
      <c r="L88" s="279"/>
      <c r="M88" s="279"/>
      <c r="N88" s="279"/>
      <c r="O88" s="279"/>
      <c r="P88" s="279"/>
      <c r="Q88" s="279"/>
      <c r="T88" s="297"/>
      <c r="U88" s="297"/>
      <c r="V88" s="297"/>
      <c r="W88" s="297"/>
      <c r="X88" s="297"/>
      <c r="Y88" s="297"/>
      <c r="Z88" s="297"/>
    </row>
    <row r="89" spans="3:26" x14ac:dyDescent="0.25">
      <c r="C89" s="279"/>
      <c r="D89" s="279"/>
      <c r="E89" s="279"/>
      <c r="F89" s="279"/>
      <c r="G89" s="279"/>
      <c r="H89" s="279"/>
      <c r="I89" s="279"/>
      <c r="J89" s="279"/>
      <c r="K89" s="279"/>
      <c r="L89" s="279"/>
      <c r="M89" s="279"/>
      <c r="N89" s="279"/>
      <c r="O89" s="279"/>
      <c r="P89" s="279"/>
      <c r="Q89" s="279"/>
      <c r="T89" s="297"/>
      <c r="U89" s="297"/>
      <c r="V89" s="297"/>
      <c r="W89" s="297"/>
      <c r="X89" s="297"/>
      <c r="Y89" s="297"/>
      <c r="Z89" s="297"/>
    </row>
    <row r="90" spans="3:26" x14ac:dyDescent="0.25">
      <c r="C90" s="279"/>
      <c r="D90" s="279"/>
      <c r="E90" s="279"/>
      <c r="F90" s="279"/>
      <c r="G90" s="279"/>
      <c r="H90" s="279"/>
      <c r="I90" s="279"/>
      <c r="J90" s="279"/>
      <c r="K90" s="279"/>
      <c r="L90" s="279"/>
      <c r="M90" s="279"/>
      <c r="N90" s="279"/>
      <c r="O90" s="279"/>
      <c r="P90" s="279"/>
      <c r="Q90" s="279"/>
      <c r="T90" s="297"/>
      <c r="U90" s="297"/>
      <c r="V90" s="297"/>
      <c r="W90" s="297"/>
      <c r="X90" s="297"/>
      <c r="Y90" s="297"/>
      <c r="Z90" s="297"/>
    </row>
    <row r="91" spans="3:26" x14ac:dyDescent="0.25">
      <c r="C91" s="279"/>
      <c r="D91" s="279"/>
      <c r="E91" s="279"/>
      <c r="F91" s="279"/>
      <c r="G91" s="279"/>
      <c r="H91" s="279"/>
      <c r="I91" s="279"/>
      <c r="J91" s="279"/>
      <c r="K91" s="279"/>
      <c r="L91" s="279"/>
      <c r="M91" s="279"/>
      <c r="N91" s="279"/>
      <c r="O91" s="279"/>
      <c r="P91" s="279"/>
      <c r="Q91" s="279"/>
      <c r="T91" s="297"/>
      <c r="U91" s="297"/>
      <c r="V91" s="297"/>
      <c r="W91" s="297"/>
      <c r="X91" s="297"/>
      <c r="Y91" s="297"/>
      <c r="Z91" s="297"/>
    </row>
    <row r="92" spans="3:26" x14ac:dyDescent="0.25">
      <c r="C92" s="279"/>
      <c r="D92" s="279"/>
      <c r="E92" s="279"/>
      <c r="F92" s="279"/>
      <c r="G92" s="279"/>
      <c r="H92" s="279"/>
      <c r="I92" s="279"/>
      <c r="J92" s="279"/>
      <c r="K92" s="279"/>
      <c r="L92" s="279"/>
      <c r="M92" s="279"/>
      <c r="N92" s="279"/>
      <c r="O92" s="279"/>
      <c r="P92" s="279"/>
      <c r="Q92" s="279"/>
      <c r="T92" s="297"/>
      <c r="U92" s="297"/>
      <c r="V92" s="297"/>
      <c r="W92" s="297"/>
      <c r="X92" s="297"/>
      <c r="Y92" s="297"/>
      <c r="Z92" s="297"/>
    </row>
    <row r="93" spans="3:26" x14ac:dyDescent="0.25">
      <c r="C93" s="279"/>
      <c r="D93" s="279"/>
      <c r="E93" s="279"/>
      <c r="F93" s="279"/>
      <c r="G93" s="279"/>
      <c r="H93" s="279"/>
      <c r="I93" s="279"/>
      <c r="J93" s="279"/>
      <c r="K93" s="279"/>
      <c r="L93" s="279"/>
      <c r="M93" s="279"/>
      <c r="N93" s="279"/>
      <c r="O93" s="279"/>
      <c r="P93" s="279"/>
      <c r="Q93" s="279"/>
      <c r="T93" s="297"/>
      <c r="U93" s="297"/>
      <c r="V93" s="297"/>
      <c r="W93" s="297"/>
      <c r="X93" s="297"/>
      <c r="Y93" s="297"/>
      <c r="Z93" s="297"/>
    </row>
    <row r="94" spans="3:26" x14ac:dyDescent="0.25"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279"/>
      <c r="Q94" s="279"/>
      <c r="T94" s="297"/>
      <c r="U94" s="297"/>
      <c r="V94" s="297"/>
      <c r="W94" s="297"/>
      <c r="X94" s="297"/>
      <c r="Y94" s="297"/>
      <c r="Z94" s="297"/>
    </row>
    <row r="95" spans="3:26" x14ac:dyDescent="0.25">
      <c r="C95" s="279"/>
      <c r="D95" s="279"/>
      <c r="E95" s="279"/>
      <c r="F95" s="279"/>
      <c r="G95" s="279"/>
      <c r="H95" s="279"/>
      <c r="I95" s="279"/>
      <c r="J95" s="279"/>
      <c r="K95" s="279"/>
      <c r="L95" s="279"/>
      <c r="M95" s="279"/>
      <c r="N95" s="279"/>
      <c r="O95" s="279"/>
      <c r="P95" s="279"/>
      <c r="Q95" s="279"/>
      <c r="T95" s="297"/>
      <c r="U95" s="297"/>
      <c r="V95" s="297"/>
      <c r="W95" s="297"/>
      <c r="X95" s="297"/>
      <c r="Y95" s="297"/>
      <c r="Z95" s="297"/>
    </row>
    <row r="96" spans="3:26" x14ac:dyDescent="0.25">
      <c r="C96" s="279"/>
      <c r="D96" s="279"/>
      <c r="E96" s="279"/>
      <c r="F96" s="279"/>
      <c r="G96" s="279"/>
      <c r="H96" s="279"/>
      <c r="I96" s="279"/>
      <c r="J96" s="279"/>
      <c r="K96" s="279"/>
      <c r="L96" s="279"/>
      <c r="M96" s="279"/>
      <c r="N96" s="279"/>
      <c r="O96" s="279"/>
      <c r="P96" s="279"/>
      <c r="Q96" s="279"/>
      <c r="T96" s="297"/>
      <c r="U96" s="297"/>
      <c r="V96" s="297"/>
      <c r="W96" s="297"/>
      <c r="X96" s="297"/>
      <c r="Y96" s="297"/>
      <c r="Z96" s="297"/>
    </row>
    <row r="97" spans="3:26" x14ac:dyDescent="0.25">
      <c r="C97" s="279"/>
      <c r="D97" s="279"/>
      <c r="E97" s="279"/>
      <c r="F97" s="279"/>
      <c r="G97" s="279"/>
      <c r="H97" s="279"/>
      <c r="I97" s="279"/>
      <c r="J97" s="279"/>
      <c r="K97" s="279"/>
      <c r="L97" s="279"/>
      <c r="M97" s="279"/>
      <c r="N97" s="279"/>
      <c r="O97" s="279"/>
      <c r="P97" s="279"/>
      <c r="Q97" s="279"/>
      <c r="T97" s="297"/>
      <c r="U97" s="297"/>
      <c r="V97" s="297"/>
      <c r="W97" s="297"/>
      <c r="X97" s="297"/>
      <c r="Y97" s="297"/>
      <c r="Z97" s="297"/>
    </row>
    <row r="98" spans="3:26" x14ac:dyDescent="0.25">
      <c r="C98" s="279"/>
      <c r="D98" s="279"/>
      <c r="E98" s="279"/>
      <c r="F98" s="279"/>
      <c r="G98" s="279"/>
      <c r="H98" s="279"/>
      <c r="I98" s="279"/>
      <c r="J98" s="279"/>
      <c r="K98" s="279"/>
      <c r="L98" s="279"/>
      <c r="M98" s="279"/>
      <c r="N98" s="279"/>
      <c r="O98" s="279"/>
      <c r="P98" s="279"/>
      <c r="Q98" s="279"/>
      <c r="T98" s="297"/>
      <c r="U98" s="297"/>
      <c r="V98" s="297"/>
      <c r="W98" s="297"/>
      <c r="X98" s="297"/>
      <c r="Y98" s="297"/>
      <c r="Z98" s="297"/>
    </row>
    <row r="99" spans="3:26" x14ac:dyDescent="0.25">
      <c r="C99" s="279"/>
      <c r="D99" s="279"/>
      <c r="E99" s="279"/>
      <c r="F99" s="279"/>
      <c r="G99" s="279"/>
      <c r="H99" s="279"/>
      <c r="I99" s="279"/>
      <c r="J99" s="279"/>
      <c r="K99" s="279"/>
      <c r="L99" s="279"/>
      <c r="M99" s="279"/>
      <c r="N99" s="279"/>
      <c r="O99" s="279"/>
      <c r="P99" s="279"/>
      <c r="Q99" s="279"/>
      <c r="T99" s="297"/>
      <c r="U99" s="297"/>
      <c r="V99" s="297"/>
      <c r="W99" s="297"/>
      <c r="X99" s="297"/>
      <c r="Y99" s="297"/>
      <c r="Z99" s="297"/>
    </row>
    <row r="100" spans="3:26" x14ac:dyDescent="0.25">
      <c r="C100" s="279"/>
      <c r="D100" s="279"/>
      <c r="E100" s="279"/>
      <c r="F100" s="279"/>
      <c r="G100" s="279"/>
      <c r="H100" s="279"/>
      <c r="I100" s="279"/>
      <c r="J100" s="279"/>
      <c r="K100" s="279"/>
      <c r="L100" s="279"/>
      <c r="M100" s="279"/>
      <c r="N100" s="279"/>
      <c r="O100" s="279"/>
      <c r="P100" s="279"/>
      <c r="Q100" s="279"/>
      <c r="T100" s="297"/>
      <c r="U100" s="297"/>
      <c r="V100" s="297"/>
      <c r="W100" s="297"/>
      <c r="X100" s="297"/>
      <c r="Y100" s="297"/>
      <c r="Z100" s="297"/>
    </row>
    <row r="101" spans="3:26" x14ac:dyDescent="0.25">
      <c r="C101" s="279"/>
      <c r="D101" s="279"/>
      <c r="E101" s="279"/>
      <c r="F101" s="279"/>
      <c r="G101" s="279"/>
      <c r="H101" s="279"/>
      <c r="I101" s="279"/>
      <c r="J101" s="279"/>
      <c r="K101" s="279"/>
      <c r="L101" s="279"/>
      <c r="M101" s="279"/>
      <c r="N101" s="279"/>
      <c r="O101" s="279"/>
      <c r="P101" s="279"/>
      <c r="Q101" s="279"/>
      <c r="T101" s="297"/>
      <c r="U101" s="297"/>
      <c r="V101" s="297"/>
      <c r="W101" s="297"/>
      <c r="X101" s="297"/>
      <c r="Y101" s="297"/>
      <c r="Z101" s="297"/>
    </row>
    <row r="102" spans="3:26" x14ac:dyDescent="0.25">
      <c r="C102" s="279"/>
      <c r="D102" s="279"/>
      <c r="E102" s="279"/>
      <c r="F102" s="279"/>
      <c r="G102" s="279"/>
      <c r="H102" s="279"/>
      <c r="I102" s="279"/>
      <c r="J102" s="279"/>
      <c r="K102" s="279"/>
      <c r="L102" s="279"/>
      <c r="M102" s="279"/>
      <c r="N102" s="279"/>
      <c r="O102" s="279"/>
      <c r="P102" s="279"/>
      <c r="Q102" s="279"/>
      <c r="T102" s="297"/>
      <c r="U102" s="297"/>
      <c r="V102" s="297"/>
      <c r="W102" s="297"/>
      <c r="X102" s="297"/>
      <c r="Y102" s="297"/>
      <c r="Z102" s="297"/>
    </row>
    <row r="103" spans="3:26" x14ac:dyDescent="0.25">
      <c r="C103" s="279"/>
      <c r="D103" s="279"/>
      <c r="E103" s="279"/>
      <c r="F103" s="279"/>
      <c r="G103" s="279"/>
      <c r="H103" s="279"/>
      <c r="I103" s="279"/>
      <c r="J103" s="279"/>
      <c r="K103" s="279"/>
      <c r="L103" s="279"/>
      <c r="M103" s="279"/>
      <c r="N103" s="279"/>
      <c r="O103" s="279"/>
      <c r="P103" s="279"/>
      <c r="Q103" s="279"/>
      <c r="T103" s="297"/>
      <c r="U103" s="297"/>
      <c r="V103" s="297"/>
      <c r="W103" s="297"/>
      <c r="X103" s="297"/>
      <c r="Y103" s="297"/>
      <c r="Z103" s="297"/>
    </row>
    <row r="104" spans="3:26" x14ac:dyDescent="0.25">
      <c r="C104" s="279"/>
      <c r="D104" s="279"/>
      <c r="E104" s="279"/>
      <c r="F104" s="279"/>
      <c r="G104" s="279"/>
      <c r="H104" s="279"/>
      <c r="I104" s="279"/>
      <c r="J104" s="279"/>
      <c r="K104" s="279"/>
      <c r="L104" s="279"/>
      <c r="M104" s="279"/>
      <c r="N104" s="279"/>
      <c r="O104" s="279"/>
      <c r="P104" s="279"/>
      <c r="Q104" s="279"/>
      <c r="T104" s="297"/>
      <c r="U104" s="297"/>
      <c r="V104" s="297"/>
      <c r="W104" s="297"/>
      <c r="X104" s="297"/>
      <c r="Y104" s="297"/>
      <c r="Z104" s="297"/>
    </row>
    <row r="105" spans="3:26" x14ac:dyDescent="0.25">
      <c r="C105" s="279"/>
      <c r="D105" s="279"/>
      <c r="E105" s="279"/>
      <c r="F105" s="279"/>
      <c r="G105" s="279"/>
      <c r="H105" s="279"/>
      <c r="I105" s="279"/>
      <c r="J105" s="279"/>
      <c r="K105" s="279"/>
      <c r="L105" s="279"/>
      <c r="M105" s="279"/>
      <c r="N105" s="279"/>
      <c r="O105" s="279"/>
      <c r="P105" s="279"/>
      <c r="Q105" s="279"/>
      <c r="T105" s="297"/>
      <c r="U105" s="297"/>
      <c r="V105" s="297"/>
      <c r="W105" s="297"/>
      <c r="X105" s="297"/>
      <c r="Y105" s="297"/>
      <c r="Z105" s="297"/>
    </row>
    <row r="106" spans="3:26" x14ac:dyDescent="0.25">
      <c r="C106" s="279"/>
      <c r="D106" s="279"/>
      <c r="E106" s="279"/>
      <c r="F106" s="279"/>
      <c r="G106" s="279"/>
      <c r="H106" s="279"/>
      <c r="I106" s="279"/>
      <c r="J106" s="279"/>
      <c r="K106" s="279"/>
      <c r="L106" s="279"/>
      <c r="M106" s="279"/>
      <c r="N106" s="279"/>
      <c r="O106" s="279"/>
      <c r="P106" s="279"/>
      <c r="Q106" s="279"/>
      <c r="T106" s="297"/>
      <c r="U106" s="297"/>
      <c r="V106" s="297"/>
      <c r="W106" s="297"/>
      <c r="X106" s="297"/>
      <c r="Y106" s="297"/>
      <c r="Z106" s="297"/>
    </row>
    <row r="107" spans="3:26" x14ac:dyDescent="0.25">
      <c r="C107" s="279"/>
      <c r="D107" s="279"/>
      <c r="E107" s="279"/>
      <c r="F107" s="279"/>
      <c r="G107" s="279"/>
      <c r="H107" s="279"/>
      <c r="I107" s="279"/>
      <c r="J107" s="279"/>
      <c r="K107" s="279"/>
      <c r="L107" s="279"/>
      <c r="M107" s="279"/>
      <c r="N107" s="279"/>
      <c r="O107" s="279"/>
      <c r="P107" s="279"/>
      <c r="Q107" s="279"/>
      <c r="T107" s="297"/>
      <c r="U107" s="297"/>
      <c r="V107" s="297"/>
      <c r="W107" s="297"/>
      <c r="X107" s="297"/>
      <c r="Y107" s="297"/>
      <c r="Z107" s="297"/>
    </row>
    <row r="108" spans="3:26" x14ac:dyDescent="0.25">
      <c r="C108" s="279"/>
      <c r="D108" s="279"/>
      <c r="E108" s="279"/>
      <c r="F108" s="279"/>
      <c r="G108" s="279"/>
      <c r="H108" s="279"/>
      <c r="I108" s="279"/>
      <c r="J108" s="279"/>
      <c r="K108" s="279"/>
      <c r="L108" s="279"/>
      <c r="M108" s="279"/>
      <c r="N108" s="279"/>
      <c r="O108" s="279"/>
      <c r="P108" s="279"/>
      <c r="Q108" s="279"/>
      <c r="T108" s="297"/>
      <c r="U108" s="297"/>
      <c r="V108" s="297"/>
      <c r="W108" s="297"/>
      <c r="X108" s="297"/>
      <c r="Y108" s="297"/>
      <c r="Z108" s="297"/>
    </row>
    <row r="109" spans="3:26" x14ac:dyDescent="0.25">
      <c r="C109" s="279"/>
      <c r="D109" s="279"/>
      <c r="E109" s="279"/>
      <c r="F109" s="279"/>
      <c r="G109" s="279"/>
      <c r="H109" s="279"/>
      <c r="I109" s="279"/>
      <c r="J109" s="279"/>
      <c r="K109" s="279"/>
      <c r="L109" s="279"/>
      <c r="M109" s="279"/>
      <c r="N109" s="279"/>
      <c r="O109" s="279"/>
      <c r="P109" s="279"/>
      <c r="Q109" s="279"/>
      <c r="T109" s="297"/>
      <c r="U109" s="297"/>
      <c r="V109" s="297"/>
      <c r="W109" s="297"/>
      <c r="X109" s="297"/>
      <c r="Y109" s="297"/>
      <c r="Z109" s="297"/>
    </row>
    <row r="110" spans="3:26" x14ac:dyDescent="0.25">
      <c r="C110" s="279"/>
      <c r="D110" s="279"/>
      <c r="E110" s="279"/>
      <c r="F110" s="279"/>
      <c r="G110" s="279"/>
      <c r="H110" s="279"/>
      <c r="I110" s="279"/>
      <c r="J110" s="279"/>
      <c r="K110" s="279"/>
      <c r="L110" s="279"/>
      <c r="M110" s="279"/>
      <c r="N110" s="279"/>
      <c r="O110" s="279"/>
      <c r="P110" s="279"/>
      <c r="Q110" s="279"/>
      <c r="T110" s="297"/>
      <c r="U110" s="297"/>
      <c r="V110" s="297"/>
      <c r="W110" s="297"/>
      <c r="X110" s="297"/>
      <c r="Y110" s="297"/>
      <c r="Z110" s="297"/>
    </row>
    <row r="111" spans="3:26" x14ac:dyDescent="0.25">
      <c r="C111" s="279"/>
      <c r="D111" s="279"/>
      <c r="E111" s="279"/>
      <c r="F111" s="279"/>
      <c r="G111" s="279"/>
      <c r="H111" s="279"/>
      <c r="I111" s="279"/>
      <c r="J111" s="279"/>
      <c r="K111" s="279"/>
      <c r="L111" s="279"/>
      <c r="M111" s="279"/>
      <c r="N111" s="279"/>
      <c r="O111" s="279"/>
      <c r="P111" s="279"/>
      <c r="Q111" s="279"/>
      <c r="T111" s="297"/>
      <c r="U111" s="297"/>
      <c r="V111" s="297"/>
      <c r="W111" s="297"/>
      <c r="X111" s="297"/>
      <c r="Y111" s="297"/>
      <c r="Z111" s="297"/>
    </row>
    <row r="112" spans="3:26" x14ac:dyDescent="0.25">
      <c r="C112" s="279"/>
      <c r="D112" s="279"/>
      <c r="E112" s="279"/>
      <c r="F112" s="279"/>
      <c r="G112" s="279"/>
      <c r="H112" s="279"/>
      <c r="I112" s="279"/>
      <c r="J112" s="279"/>
      <c r="K112" s="279"/>
      <c r="L112" s="279"/>
      <c r="M112" s="279"/>
      <c r="N112" s="279"/>
      <c r="O112" s="279"/>
      <c r="P112" s="279"/>
      <c r="Q112" s="279"/>
      <c r="T112" s="297"/>
      <c r="U112" s="297"/>
      <c r="V112" s="297"/>
      <c r="W112" s="297"/>
      <c r="X112" s="297"/>
      <c r="Y112" s="297"/>
      <c r="Z112" s="297"/>
    </row>
    <row r="113" spans="3:26" x14ac:dyDescent="0.25">
      <c r="C113" s="279"/>
      <c r="D113" s="279"/>
      <c r="E113" s="279"/>
      <c r="F113" s="279"/>
      <c r="G113" s="279"/>
      <c r="H113" s="279"/>
      <c r="I113" s="279"/>
      <c r="J113" s="279"/>
      <c r="K113" s="279"/>
      <c r="L113" s="279"/>
      <c r="M113" s="279"/>
      <c r="N113" s="279"/>
      <c r="O113" s="279"/>
      <c r="P113" s="279"/>
      <c r="Q113" s="279"/>
      <c r="T113" s="297"/>
      <c r="U113" s="297"/>
      <c r="V113" s="297"/>
      <c r="W113" s="297"/>
      <c r="X113" s="297"/>
      <c r="Y113" s="297"/>
      <c r="Z113" s="297"/>
    </row>
    <row r="114" spans="3:26" x14ac:dyDescent="0.25">
      <c r="C114" s="279"/>
      <c r="D114" s="279"/>
      <c r="E114" s="279"/>
      <c r="F114" s="279"/>
      <c r="G114" s="279"/>
      <c r="H114" s="279"/>
      <c r="I114" s="279"/>
      <c r="J114" s="279"/>
      <c r="K114" s="279"/>
      <c r="L114" s="279"/>
      <c r="M114" s="279"/>
      <c r="N114" s="279"/>
      <c r="O114" s="279"/>
      <c r="P114" s="279"/>
      <c r="Q114" s="279"/>
      <c r="T114" s="297"/>
      <c r="U114" s="297"/>
      <c r="V114" s="297"/>
      <c r="W114" s="297"/>
      <c r="X114" s="297"/>
      <c r="Y114" s="297"/>
      <c r="Z114" s="297"/>
    </row>
    <row r="115" spans="3:26" x14ac:dyDescent="0.25">
      <c r="C115" s="279"/>
      <c r="D115" s="279"/>
      <c r="E115" s="279"/>
      <c r="F115" s="279"/>
      <c r="G115" s="279"/>
      <c r="H115" s="279"/>
      <c r="I115" s="279"/>
      <c r="J115" s="279"/>
      <c r="K115" s="279"/>
      <c r="L115" s="279"/>
      <c r="M115" s="279"/>
      <c r="N115" s="279"/>
      <c r="O115" s="279"/>
      <c r="P115" s="279"/>
      <c r="Q115" s="279"/>
      <c r="T115" s="297"/>
      <c r="U115" s="297"/>
      <c r="V115" s="297"/>
      <c r="W115" s="297"/>
      <c r="X115" s="297"/>
      <c r="Y115" s="297"/>
      <c r="Z115" s="297"/>
    </row>
    <row r="116" spans="3:26" x14ac:dyDescent="0.25">
      <c r="C116" s="279"/>
      <c r="D116" s="279"/>
      <c r="E116" s="279"/>
      <c r="F116" s="279"/>
      <c r="G116" s="279"/>
      <c r="H116" s="279"/>
      <c r="I116" s="279"/>
      <c r="J116" s="279"/>
      <c r="K116" s="279"/>
      <c r="L116" s="279"/>
      <c r="M116" s="279"/>
      <c r="N116" s="279"/>
      <c r="O116" s="279"/>
      <c r="P116" s="279"/>
      <c r="Q116" s="279"/>
      <c r="T116" s="297"/>
      <c r="U116" s="297"/>
      <c r="V116" s="297"/>
      <c r="W116" s="297"/>
      <c r="X116" s="297"/>
      <c r="Y116" s="297"/>
      <c r="Z116" s="297"/>
    </row>
    <row r="117" spans="3:26" x14ac:dyDescent="0.25">
      <c r="C117" s="279"/>
      <c r="D117" s="279"/>
      <c r="E117" s="279"/>
      <c r="F117" s="279"/>
      <c r="G117" s="279"/>
      <c r="H117" s="279"/>
      <c r="I117" s="279"/>
      <c r="J117" s="279"/>
      <c r="K117" s="279"/>
      <c r="L117" s="279"/>
      <c r="M117" s="279"/>
      <c r="N117" s="279"/>
      <c r="O117" s="279"/>
      <c r="P117" s="279"/>
      <c r="Q117" s="279"/>
      <c r="T117" s="297"/>
      <c r="U117" s="297"/>
      <c r="V117" s="297"/>
      <c r="W117" s="297"/>
      <c r="X117" s="297"/>
      <c r="Y117" s="297"/>
      <c r="Z117" s="297"/>
    </row>
    <row r="118" spans="3:26" x14ac:dyDescent="0.25">
      <c r="C118" s="279"/>
      <c r="D118" s="279"/>
      <c r="E118" s="279"/>
      <c r="F118" s="279"/>
      <c r="G118" s="279"/>
      <c r="H118" s="279"/>
      <c r="I118" s="279"/>
      <c r="J118" s="279"/>
      <c r="K118" s="279"/>
      <c r="L118" s="279"/>
      <c r="M118" s="279"/>
      <c r="N118" s="279"/>
      <c r="O118" s="279"/>
      <c r="P118" s="279"/>
      <c r="Q118" s="279"/>
      <c r="T118" s="297"/>
      <c r="U118" s="297"/>
      <c r="V118" s="297"/>
      <c r="W118" s="297"/>
      <c r="X118" s="297"/>
      <c r="Y118" s="297"/>
      <c r="Z118" s="297"/>
    </row>
    <row r="119" spans="3:26" x14ac:dyDescent="0.25">
      <c r="C119" s="279"/>
      <c r="D119" s="279"/>
      <c r="E119" s="279"/>
      <c r="F119" s="279"/>
      <c r="G119" s="279"/>
      <c r="H119" s="279"/>
      <c r="I119" s="279"/>
      <c r="J119" s="279"/>
      <c r="K119" s="279"/>
      <c r="L119" s="279"/>
      <c r="M119" s="279"/>
      <c r="N119" s="279"/>
      <c r="O119" s="279"/>
      <c r="P119" s="279"/>
      <c r="Q119" s="279"/>
      <c r="T119" s="297"/>
      <c r="U119" s="297"/>
      <c r="V119" s="297"/>
      <c r="W119" s="297"/>
      <c r="X119" s="297"/>
      <c r="Y119" s="297"/>
      <c r="Z119" s="297"/>
    </row>
    <row r="120" spans="3:26" x14ac:dyDescent="0.25">
      <c r="C120" s="279"/>
      <c r="D120" s="279"/>
      <c r="E120" s="279"/>
      <c r="F120" s="279"/>
      <c r="G120" s="279"/>
      <c r="H120" s="279"/>
      <c r="I120" s="279"/>
      <c r="J120" s="279"/>
      <c r="K120" s="279"/>
      <c r="L120" s="279"/>
      <c r="M120" s="279"/>
      <c r="N120" s="279"/>
      <c r="O120" s="279"/>
      <c r="P120" s="279"/>
      <c r="Q120" s="279"/>
      <c r="T120" s="297"/>
      <c r="U120" s="297"/>
      <c r="V120" s="297"/>
      <c r="W120" s="297"/>
      <c r="X120" s="297"/>
      <c r="Y120" s="297"/>
      <c r="Z120" s="297"/>
    </row>
    <row r="121" spans="3:26" x14ac:dyDescent="0.25">
      <c r="C121" s="279"/>
      <c r="D121" s="279"/>
      <c r="E121" s="279"/>
      <c r="F121" s="279"/>
      <c r="G121" s="279"/>
      <c r="H121" s="279"/>
      <c r="I121" s="279"/>
      <c r="J121" s="279"/>
      <c r="K121" s="279"/>
      <c r="L121" s="279"/>
      <c r="M121" s="279"/>
      <c r="N121" s="279"/>
      <c r="O121" s="279"/>
      <c r="P121" s="279"/>
      <c r="Q121" s="279"/>
      <c r="T121" s="297"/>
      <c r="U121" s="297"/>
      <c r="V121" s="297"/>
      <c r="W121" s="297"/>
      <c r="X121" s="297"/>
      <c r="Y121" s="297"/>
      <c r="Z121" s="297"/>
    </row>
    <row r="122" spans="3:26" x14ac:dyDescent="0.25">
      <c r="C122" s="279"/>
      <c r="D122" s="279"/>
      <c r="E122" s="279"/>
      <c r="F122" s="279"/>
      <c r="G122" s="279"/>
      <c r="H122" s="279"/>
      <c r="I122" s="279"/>
      <c r="J122" s="279"/>
      <c r="K122" s="279"/>
      <c r="L122" s="279"/>
      <c r="M122" s="279"/>
      <c r="N122" s="279"/>
      <c r="O122" s="279"/>
      <c r="P122" s="279"/>
      <c r="Q122" s="279"/>
      <c r="T122" s="297"/>
      <c r="U122" s="297"/>
      <c r="V122" s="297"/>
      <c r="W122" s="297"/>
      <c r="X122" s="297"/>
      <c r="Y122" s="297"/>
      <c r="Z122" s="297"/>
    </row>
    <row r="123" spans="3:26" x14ac:dyDescent="0.25">
      <c r="C123" s="279"/>
      <c r="D123" s="279"/>
      <c r="E123" s="279"/>
      <c r="F123" s="279"/>
      <c r="G123" s="279"/>
      <c r="H123" s="279"/>
      <c r="I123" s="279"/>
      <c r="J123" s="279"/>
      <c r="K123" s="279"/>
      <c r="L123" s="279"/>
      <c r="M123" s="279"/>
      <c r="N123" s="279"/>
      <c r="O123" s="279"/>
      <c r="P123" s="279"/>
      <c r="Q123" s="279"/>
      <c r="T123" s="297"/>
      <c r="U123" s="297"/>
      <c r="V123" s="297"/>
      <c r="W123" s="297"/>
      <c r="X123" s="297"/>
      <c r="Y123" s="297"/>
      <c r="Z123" s="297"/>
    </row>
    <row r="124" spans="3:26" x14ac:dyDescent="0.25">
      <c r="C124" s="279"/>
      <c r="D124" s="279"/>
      <c r="E124" s="279"/>
      <c r="F124" s="279"/>
      <c r="G124" s="279"/>
      <c r="H124" s="279"/>
      <c r="I124" s="279"/>
      <c r="J124" s="279"/>
      <c r="K124" s="279"/>
      <c r="L124" s="279"/>
      <c r="M124" s="279"/>
      <c r="N124" s="279"/>
      <c r="O124" s="279"/>
      <c r="P124" s="279"/>
      <c r="Q124" s="279"/>
      <c r="T124" s="297"/>
      <c r="U124" s="297"/>
      <c r="V124" s="297"/>
      <c r="W124" s="297"/>
      <c r="X124" s="297"/>
      <c r="Y124" s="297"/>
      <c r="Z124" s="297"/>
    </row>
    <row r="125" spans="3:26" x14ac:dyDescent="0.25">
      <c r="C125" s="279"/>
      <c r="D125" s="279"/>
      <c r="E125" s="279"/>
      <c r="F125" s="279"/>
      <c r="G125" s="279"/>
      <c r="H125" s="279"/>
      <c r="I125" s="279"/>
      <c r="J125" s="279"/>
      <c r="K125" s="279"/>
      <c r="L125" s="279"/>
      <c r="M125" s="279"/>
      <c r="N125" s="279"/>
      <c r="O125" s="279"/>
      <c r="P125" s="279"/>
      <c r="Q125" s="279"/>
      <c r="T125" s="297"/>
      <c r="U125" s="297"/>
      <c r="V125" s="297"/>
      <c r="W125" s="297"/>
      <c r="X125" s="297"/>
      <c r="Y125" s="297"/>
      <c r="Z125" s="297"/>
    </row>
    <row r="126" spans="3:26" x14ac:dyDescent="0.25">
      <c r="C126" s="279"/>
      <c r="D126" s="279"/>
      <c r="E126" s="279"/>
      <c r="F126" s="279"/>
      <c r="G126" s="279"/>
      <c r="H126" s="279"/>
      <c r="I126" s="279"/>
      <c r="J126" s="279"/>
      <c r="K126" s="279"/>
      <c r="L126" s="279"/>
      <c r="M126" s="279"/>
      <c r="N126" s="279"/>
      <c r="O126" s="279"/>
      <c r="P126" s="279"/>
      <c r="Q126" s="279"/>
      <c r="T126" s="297"/>
      <c r="U126" s="297"/>
      <c r="V126" s="297"/>
      <c r="W126" s="297"/>
      <c r="X126" s="297"/>
      <c r="Y126" s="297"/>
      <c r="Z126" s="297"/>
    </row>
    <row r="127" spans="3:26" x14ac:dyDescent="0.25">
      <c r="C127" s="279"/>
      <c r="D127" s="279"/>
      <c r="E127" s="279"/>
      <c r="F127" s="279"/>
      <c r="G127" s="279"/>
      <c r="H127" s="279"/>
      <c r="I127" s="279"/>
      <c r="J127" s="279"/>
      <c r="K127" s="279"/>
      <c r="L127" s="279"/>
      <c r="M127" s="279"/>
      <c r="N127" s="279"/>
      <c r="O127" s="279"/>
      <c r="P127" s="279"/>
      <c r="Q127" s="279"/>
      <c r="T127" s="297"/>
      <c r="U127" s="297"/>
      <c r="V127" s="297"/>
      <c r="W127" s="297"/>
      <c r="X127" s="297"/>
      <c r="Y127" s="297"/>
      <c r="Z127" s="297"/>
    </row>
    <row r="128" spans="3:26" x14ac:dyDescent="0.25">
      <c r="C128" s="279"/>
      <c r="D128" s="279"/>
      <c r="E128" s="279"/>
      <c r="F128" s="279"/>
      <c r="G128" s="279"/>
      <c r="H128" s="279"/>
      <c r="I128" s="279"/>
      <c r="J128" s="279"/>
      <c r="K128" s="279"/>
      <c r="L128" s="279"/>
      <c r="M128" s="279"/>
      <c r="N128" s="279"/>
      <c r="O128" s="279"/>
      <c r="P128" s="279"/>
      <c r="Q128" s="279"/>
      <c r="T128" s="297"/>
      <c r="U128" s="297"/>
      <c r="V128" s="297"/>
      <c r="W128" s="297"/>
      <c r="X128" s="297"/>
      <c r="Y128" s="297"/>
      <c r="Z128" s="297"/>
    </row>
    <row r="129" spans="3:26" x14ac:dyDescent="0.25">
      <c r="C129" s="279"/>
      <c r="D129" s="279"/>
      <c r="E129" s="279"/>
      <c r="F129" s="279"/>
      <c r="G129" s="279"/>
      <c r="H129" s="279"/>
      <c r="I129" s="279"/>
      <c r="J129" s="279"/>
      <c r="K129" s="279"/>
      <c r="L129" s="279"/>
      <c r="M129" s="279"/>
      <c r="N129" s="279"/>
      <c r="O129" s="279"/>
      <c r="P129" s="279"/>
      <c r="Q129" s="279"/>
      <c r="T129" s="297"/>
      <c r="U129" s="297"/>
      <c r="V129" s="297"/>
      <c r="W129" s="297"/>
      <c r="X129" s="297"/>
      <c r="Y129" s="297"/>
      <c r="Z129" s="297"/>
    </row>
    <row r="130" spans="3:26" x14ac:dyDescent="0.25">
      <c r="C130" s="279"/>
      <c r="D130" s="279"/>
      <c r="E130" s="279"/>
      <c r="F130" s="279"/>
      <c r="G130" s="279"/>
      <c r="H130" s="279"/>
      <c r="I130" s="279"/>
      <c r="J130" s="279"/>
      <c r="K130" s="279"/>
      <c r="L130" s="279"/>
      <c r="M130" s="279"/>
      <c r="N130" s="279"/>
      <c r="O130" s="279"/>
      <c r="P130" s="279"/>
      <c r="Q130" s="279"/>
      <c r="T130" s="297"/>
      <c r="U130" s="297"/>
      <c r="V130" s="297"/>
      <c r="W130" s="297"/>
      <c r="X130" s="297"/>
      <c r="Y130" s="297"/>
      <c r="Z130" s="297"/>
    </row>
    <row r="131" spans="3:26" x14ac:dyDescent="0.25">
      <c r="C131" s="279"/>
      <c r="D131" s="279"/>
      <c r="E131" s="279"/>
      <c r="F131" s="279"/>
      <c r="G131" s="279"/>
      <c r="H131" s="279"/>
      <c r="I131" s="279"/>
      <c r="J131" s="279"/>
      <c r="K131" s="279"/>
      <c r="L131" s="279"/>
      <c r="M131" s="279"/>
      <c r="N131" s="279"/>
      <c r="O131" s="279"/>
      <c r="P131" s="279"/>
      <c r="Q131" s="279"/>
      <c r="T131" s="297"/>
      <c r="U131" s="297"/>
      <c r="V131" s="297"/>
      <c r="W131" s="297"/>
      <c r="X131" s="297"/>
      <c r="Y131" s="297"/>
      <c r="Z131" s="297"/>
    </row>
    <row r="132" spans="3:26" x14ac:dyDescent="0.25">
      <c r="C132" s="279"/>
      <c r="D132" s="279"/>
      <c r="E132" s="279"/>
      <c r="F132" s="279"/>
      <c r="G132" s="279"/>
      <c r="H132" s="279"/>
      <c r="I132" s="279"/>
      <c r="J132" s="279"/>
      <c r="K132" s="279"/>
      <c r="L132" s="279"/>
      <c r="M132" s="279"/>
      <c r="N132" s="279"/>
      <c r="O132" s="279"/>
      <c r="P132" s="279"/>
      <c r="Q132" s="279"/>
      <c r="T132" s="297"/>
      <c r="U132" s="297"/>
      <c r="V132" s="297"/>
      <c r="W132" s="297"/>
      <c r="X132" s="297"/>
      <c r="Y132" s="297"/>
      <c r="Z132" s="297"/>
    </row>
    <row r="133" spans="3:26" x14ac:dyDescent="0.25">
      <c r="C133" s="279"/>
      <c r="D133" s="279"/>
      <c r="E133" s="279"/>
      <c r="F133" s="279"/>
      <c r="G133" s="279"/>
      <c r="H133" s="279"/>
      <c r="I133" s="279"/>
      <c r="J133" s="279"/>
      <c r="K133" s="279"/>
      <c r="L133" s="279"/>
      <c r="M133" s="279"/>
      <c r="N133" s="279"/>
      <c r="O133" s="279"/>
      <c r="P133" s="279"/>
      <c r="Q133" s="279"/>
      <c r="T133" s="297"/>
      <c r="U133" s="297"/>
      <c r="V133" s="297"/>
      <c r="W133" s="297"/>
      <c r="X133" s="297"/>
      <c r="Y133" s="297"/>
      <c r="Z133" s="297"/>
    </row>
    <row r="134" spans="3:26" x14ac:dyDescent="0.25">
      <c r="C134" s="279"/>
      <c r="D134" s="279"/>
      <c r="E134" s="279"/>
      <c r="F134" s="279"/>
      <c r="G134" s="279"/>
      <c r="H134" s="279"/>
      <c r="I134" s="279"/>
      <c r="J134" s="279"/>
      <c r="K134" s="279"/>
      <c r="L134" s="279"/>
      <c r="M134" s="279"/>
      <c r="N134" s="279"/>
      <c r="O134" s="279"/>
      <c r="P134" s="279"/>
      <c r="Q134" s="279"/>
      <c r="T134" s="297"/>
      <c r="U134" s="297"/>
      <c r="V134" s="297"/>
      <c r="W134" s="297"/>
      <c r="X134" s="297"/>
      <c r="Y134" s="297"/>
      <c r="Z134" s="297"/>
    </row>
    <row r="135" spans="3:26" x14ac:dyDescent="0.25">
      <c r="C135" s="279"/>
      <c r="D135" s="279"/>
      <c r="E135" s="279"/>
      <c r="F135" s="279"/>
      <c r="G135" s="279"/>
      <c r="H135" s="279"/>
      <c r="I135" s="279"/>
      <c r="J135" s="279"/>
      <c r="K135" s="279"/>
      <c r="L135" s="279"/>
      <c r="M135" s="279"/>
      <c r="N135" s="279"/>
      <c r="O135" s="279"/>
      <c r="P135" s="279"/>
      <c r="Q135" s="279"/>
      <c r="T135" s="297"/>
      <c r="U135" s="297"/>
      <c r="V135" s="297"/>
      <c r="W135" s="297"/>
      <c r="X135" s="297"/>
      <c r="Y135" s="297"/>
      <c r="Z135" s="297"/>
    </row>
    <row r="136" spans="3:26" x14ac:dyDescent="0.25">
      <c r="C136" s="279"/>
      <c r="D136" s="279"/>
      <c r="E136" s="279"/>
      <c r="F136" s="279"/>
      <c r="G136" s="279"/>
      <c r="H136" s="279"/>
      <c r="I136" s="279"/>
      <c r="J136" s="279"/>
      <c r="K136" s="279"/>
      <c r="L136" s="279"/>
      <c r="M136" s="279"/>
      <c r="N136" s="279"/>
      <c r="O136" s="279"/>
      <c r="P136" s="279"/>
      <c r="Q136" s="279"/>
      <c r="T136" s="297"/>
      <c r="U136" s="297"/>
      <c r="V136" s="297"/>
      <c r="W136" s="297"/>
      <c r="X136" s="297"/>
      <c r="Y136" s="297"/>
      <c r="Z136" s="297"/>
    </row>
    <row r="137" spans="3:26" x14ac:dyDescent="0.25">
      <c r="C137" s="279"/>
      <c r="D137" s="279"/>
      <c r="E137" s="279"/>
      <c r="F137" s="279"/>
      <c r="G137" s="279"/>
      <c r="H137" s="279"/>
      <c r="I137" s="279"/>
      <c r="J137" s="279"/>
      <c r="K137" s="279"/>
      <c r="L137" s="279"/>
      <c r="M137" s="279"/>
      <c r="N137" s="279"/>
      <c r="O137" s="279"/>
      <c r="P137" s="279"/>
      <c r="Q137" s="279"/>
      <c r="T137" s="297"/>
      <c r="U137" s="297"/>
      <c r="V137" s="297"/>
      <c r="W137" s="297"/>
      <c r="X137" s="297"/>
      <c r="Y137" s="297"/>
      <c r="Z137" s="297"/>
    </row>
    <row r="138" spans="3:26" x14ac:dyDescent="0.25">
      <c r="C138" s="279"/>
      <c r="D138" s="279"/>
      <c r="E138" s="279"/>
      <c r="F138" s="279"/>
      <c r="G138" s="279"/>
      <c r="H138" s="279"/>
      <c r="I138" s="279"/>
      <c r="J138" s="279"/>
      <c r="K138" s="279"/>
      <c r="L138" s="279"/>
      <c r="M138" s="279"/>
      <c r="N138" s="279"/>
      <c r="O138" s="279"/>
      <c r="P138" s="279"/>
      <c r="Q138" s="279"/>
      <c r="T138" s="297"/>
      <c r="U138" s="297"/>
      <c r="V138" s="297"/>
      <c r="W138" s="297"/>
      <c r="X138" s="297"/>
      <c r="Y138" s="297"/>
      <c r="Z138" s="297"/>
    </row>
    <row r="139" spans="3:26" x14ac:dyDescent="0.25">
      <c r="C139" s="279"/>
      <c r="D139" s="279"/>
      <c r="E139" s="279"/>
      <c r="F139" s="279"/>
      <c r="G139" s="279"/>
      <c r="H139" s="279"/>
      <c r="I139" s="279"/>
      <c r="J139" s="279"/>
      <c r="K139" s="279"/>
      <c r="L139" s="279"/>
      <c r="M139" s="279"/>
      <c r="N139" s="279"/>
      <c r="O139" s="279"/>
      <c r="P139" s="279"/>
      <c r="Q139" s="279"/>
      <c r="T139" s="297"/>
      <c r="U139" s="297"/>
      <c r="V139" s="297"/>
      <c r="W139" s="297"/>
      <c r="X139" s="297"/>
      <c r="Y139" s="297"/>
      <c r="Z139" s="297"/>
    </row>
    <row r="140" spans="3:26" x14ac:dyDescent="0.25">
      <c r="C140" s="279"/>
      <c r="D140" s="279"/>
      <c r="E140" s="279"/>
      <c r="F140" s="279"/>
      <c r="G140" s="279"/>
      <c r="H140" s="279"/>
      <c r="I140" s="279"/>
      <c r="J140" s="279"/>
      <c r="K140" s="279"/>
      <c r="L140" s="279"/>
      <c r="M140" s="279"/>
      <c r="N140" s="279"/>
      <c r="O140" s="279"/>
      <c r="P140" s="279"/>
      <c r="Q140" s="279"/>
      <c r="T140" s="297"/>
      <c r="U140" s="297"/>
      <c r="V140" s="297"/>
      <c r="W140" s="297"/>
      <c r="X140" s="297"/>
      <c r="Y140" s="297"/>
      <c r="Z140" s="297"/>
    </row>
    <row r="141" spans="3:26" x14ac:dyDescent="0.25">
      <c r="C141" s="279"/>
      <c r="D141" s="279"/>
      <c r="E141" s="279"/>
      <c r="F141" s="279"/>
      <c r="G141" s="279"/>
      <c r="H141" s="279"/>
      <c r="I141" s="279"/>
      <c r="J141" s="279"/>
      <c r="K141" s="279"/>
      <c r="L141" s="279"/>
      <c r="M141" s="279"/>
      <c r="N141" s="279"/>
      <c r="O141" s="279"/>
      <c r="P141" s="279"/>
      <c r="Q141" s="279"/>
      <c r="T141" s="297"/>
      <c r="U141" s="297"/>
      <c r="V141" s="297"/>
      <c r="W141" s="297"/>
      <c r="X141" s="297"/>
      <c r="Y141" s="297"/>
      <c r="Z141" s="297"/>
    </row>
    <row r="142" spans="3:26" x14ac:dyDescent="0.25">
      <c r="C142" s="279"/>
      <c r="D142" s="279"/>
      <c r="E142" s="279"/>
      <c r="F142" s="279"/>
      <c r="G142" s="279"/>
      <c r="H142" s="279"/>
      <c r="I142" s="279"/>
      <c r="J142" s="279"/>
      <c r="K142" s="279"/>
      <c r="L142" s="279"/>
      <c r="M142" s="279"/>
      <c r="N142" s="279"/>
      <c r="O142" s="279"/>
      <c r="P142" s="279"/>
      <c r="Q142" s="279"/>
      <c r="T142" s="297"/>
      <c r="U142" s="297"/>
      <c r="V142" s="297"/>
      <c r="W142" s="297"/>
      <c r="X142" s="297"/>
      <c r="Y142" s="297"/>
      <c r="Z142" s="297"/>
    </row>
    <row r="143" spans="3:26" x14ac:dyDescent="0.25">
      <c r="C143" s="279"/>
      <c r="D143" s="279"/>
      <c r="E143" s="279"/>
      <c r="F143" s="279"/>
      <c r="G143" s="279"/>
      <c r="H143" s="279"/>
      <c r="I143" s="279"/>
      <c r="J143" s="279"/>
      <c r="K143" s="279"/>
      <c r="L143" s="279"/>
      <c r="M143" s="279"/>
      <c r="N143" s="279"/>
      <c r="O143" s="279"/>
      <c r="P143" s="279"/>
      <c r="Q143" s="279"/>
      <c r="T143" s="297"/>
      <c r="U143" s="297"/>
      <c r="V143" s="297"/>
      <c r="W143" s="297"/>
      <c r="X143" s="297"/>
      <c r="Y143" s="297"/>
      <c r="Z143" s="297"/>
    </row>
    <row r="144" spans="3:26" x14ac:dyDescent="0.25">
      <c r="C144" s="279"/>
      <c r="D144" s="279"/>
      <c r="E144" s="279"/>
      <c r="F144" s="279"/>
      <c r="G144" s="279"/>
      <c r="H144" s="279"/>
      <c r="I144" s="279"/>
      <c r="J144" s="279"/>
      <c r="K144" s="279"/>
      <c r="L144" s="279"/>
      <c r="M144" s="279"/>
      <c r="N144" s="279"/>
      <c r="O144" s="279"/>
      <c r="P144" s="279"/>
      <c r="Q144" s="279"/>
      <c r="T144" s="297"/>
      <c r="U144" s="297"/>
      <c r="V144" s="297"/>
      <c r="W144" s="297"/>
      <c r="X144" s="297"/>
      <c r="Y144" s="297"/>
      <c r="Z144" s="297"/>
    </row>
    <row r="145" spans="3:26" x14ac:dyDescent="0.25">
      <c r="C145" s="279"/>
      <c r="D145" s="279"/>
      <c r="E145" s="279"/>
      <c r="F145" s="279"/>
      <c r="G145" s="279"/>
      <c r="H145" s="279"/>
      <c r="I145" s="279"/>
      <c r="J145" s="279"/>
      <c r="K145" s="279"/>
      <c r="L145" s="279"/>
      <c r="M145" s="279"/>
      <c r="N145" s="279"/>
      <c r="O145" s="279"/>
      <c r="P145" s="279"/>
      <c r="Q145" s="279"/>
      <c r="T145" s="297"/>
      <c r="U145" s="297"/>
      <c r="V145" s="297"/>
      <c r="W145" s="297"/>
      <c r="X145" s="297"/>
      <c r="Y145" s="297"/>
      <c r="Z145" s="297"/>
    </row>
    <row r="146" spans="3:26" x14ac:dyDescent="0.25">
      <c r="C146" s="279"/>
      <c r="D146" s="279"/>
      <c r="E146" s="279"/>
      <c r="F146" s="279"/>
      <c r="G146" s="279"/>
      <c r="H146" s="279"/>
      <c r="I146" s="279"/>
      <c r="J146" s="279"/>
      <c r="K146" s="279"/>
      <c r="L146" s="279"/>
      <c r="M146" s="279"/>
      <c r="N146" s="279"/>
      <c r="O146" s="279"/>
      <c r="P146" s="279"/>
      <c r="Q146" s="279"/>
      <c r="T146" s="297"/>
      <c r="U146" s="297"/>
      <c r="V146" s="297"/>
      <c r="W146" s="297"/>
      <c r="X146" s="297"/>
      <c r="Y146" s="297"/>
      <c r="Z146" s="297"/>
    </row>
    <row r="147" spans="3:26" x14ac:dyDescent="0.25">
      <c r="C147" s="279"/>
      <c r="D147" s="279"/>
      <c r="E147" s="279"/>
      <c r="F147" s="279"/>
      <c r="G147" s="279"/>
      <c r="H147" s="279"/>
      <c r="I147" s="279"/>
      <c r="J147" s="279"/>
      <c r="K147" s="279"/>
      <c r="L147" s="279"/>
      <c r="M147" s="279"/>
      <c r="N147" s="279"/>
      <c r="O147" s="279"/>
      <c r="P147" s="279"/>
      <c r="Q147" s="279"/>
      <c r="T147" s="297"/>
      <c r="U147" s="297"/>
      <c r="V147" s="297"/>
      <c r="W147" s="297"/>
      <c r="X147" s="297"/>
      <c r="Y147" s="297"/>
      <c r="Z147" s="297"/>
    </row>
    <row r="148" spans="3:26" x14ac:dyDescent="0.25">
      <c r="C148" s="279"/>
      <c r="D148" s="279"/>
      <c r="E148" s="279"/>
      <c r="F148" s="279"/>
      <c r="G148" s="279"/>
      <c r="H148" s="279"/>
      <c r="I148" s="279"/>
      <c r="J148" s="279"/>
      <c r="K148" s="279"/>
      <c r="L148" s="279"/>
      <c r="M148" s="279"/>
      <c r="N148" s="279"/>
      <c r="O148" s="279"/>
      <c r="P148" s="279"/>
      <c r="Q148" s="279"/>
      <c r="T148" s="297"/>
      <c r="U148" s="297"/>
      <c r="V148" s="297"/>
      <c r="W148" s="297"/>
      <c r="X148" s="297"/>
      <c r="Y148" s="297"/>
      <c r="Z148" s="297"/>
    </row>
    <row r="149" spans="3:26" x14ac:dyDescent="0.25">
      <c r="C149" s="279"/>
      <c r="D149" s="279"/>
      <c r="E149" s="279"/>
      <c r="F149" s="279"/>
      <c r="G149" s="279"/>
      <c r="H149" s="279"/>
      <c r="I149" s="279"/>
      <c r="J149" s="279"/>
      <c r="K149" s="279"/>
      <c r="L149" s="279"/>
      <c r="M149" s="279"/>
      <c r="N149" s="279"/>
      <c r="O149" s="279"/>
      <c r="P149" s="279"/>
      <c r="Q149" s="279"/>
      <c r="T149" s="297"/>
      <c r="U149" s="297"/>
      <c r="V149" s="297"/>
      <c r="W149" s="297"/>
      <c r="X149" s="297"/>
      <c r="Y149" s="297"/>
      <c r="Z149" s="297"/>
    </row>
    <row r="150" spans="3:26" x14ac:dyDescent="0.25">
      <c r="C150" s="279"/>
      <c r="D150" s="279"/>
      <c r="E150" s="279"/>
      <c r="F150" s="279"/>
      <c r="G150" s="279"/>
      <c r="H150" s="279"/>
      <c r="I150" s="279"/>
      <c r="J150" s="279"/>
      <c r="K150" s="279"/>
      <c r="L150" s="279"/>
      <c r="M150" s="279"/>
      <c r="N150" s="279"/>
      <c r="O150" s="279"/>
      <c r="P150" s="279"/>
      <c r="Q150" s="279"/>
    </row>
  </sheetData>
  <sheetProtection algorithmName="SHA-512" hashValue="Hp9v1ypQP+cB5ggkM50xxONN1P44u3grvz0bD9ux4CqICUqZAdhXqyW07EE9XhZF6bp8z7TlfdgNhmhHsuL8PA==" saltValue="6Ie0qNqujDs2ZxgBw3Qxbw==" spinCount="100000" sheet="1" objects="1" scenarios="1"/>
  <mergeCells count="266">
    <mergeCell ref="T146:Z146"/>
    <mergeCell ref="T147:Z147"/>
    <mergeCell ref="T148:Z148"/>
    <mergeCell ref="T149:Z149"/>
    <mergeCell ref="T137:Z137"/>
    <mergeCell ref="T138:Z138"/>
    <mergeCell ref="T139:Z139"/>
    <mergeCell ref="T140:Z140"/>
    <mergeCell ref="T141:Z141"/>
    <mergeCell ref="T142:Z142"/>
    <mergeCell ref="T143:Z143"/>
    <mergeCell ref="T144:Z144"/>
    <mergeCell ref="T145:Z145"/>
    <mergeCell ref="T128:Z128"/>
    <mergeCell ref="T129:Z129"/>
    <mergeCell ref="T130:Z130"/>
    <mergeCell ref="T131:Z131"/>
    <mergeCell ref="T132:Z132"/>
    <mergeCell ref="T133:Z133"/>
    <mergeCell ref="T134:Z134"/>
    <mergeCell ref="T135:Z135"/>
    <mergeCell ref="T136:Z136"/>
    <mergeCell ref="T119:Z119"/>
    <mergeCell ref="T120:Z120"/>
    <mergeCell ref="T121:Z121"/>
    <mergeCell ref="T122:Z122"/>
    <mergeCell ref="T123:Z123"/>
    <mergeCell ref="T124:Z124"/>
    <mergeCell ref="T125:Z125"/>
    <mergeCell ref="T126:Z126"/>
    <mergeCell ref="T127:Z127"/>
    <mergeCell ref="T110:Z110"/>
    <mergeCell ref="T111:Z111"/>
    <mergeCell ref="T112:Z112"/>
    <mergeCell ref="T113:Z113"/>
    <mergeCell ref="T114:Z114"/>
    <mergeCell ref="T115:Z115"/>
    <mergeCell ref="T116:Z116"/>
    <mergeCell ref="T117:Z117"/>
    <mergeCell ref="T118:Z118"/>
    <mergeCell ref="T101:Z101"/>
    <mergeCell ref="T102:Z102"/>
    <mergeCell ref="T103:Z103"/>
    <mergeCell ref="T104:Z104"/>
    <mergeCell ref="T105:Z105"/>
    <mergeCell ref="T106:Z106"/>
    <mergeCell ref="T107:Z107"/>
    <mergeCell ref="T108:Z108"/>
    <mergeCell ref="T109:Z109"/>
    <mergeCell ref="T92:Z92"/>
    <mergeCell ref="T93:Z93"/>
    <mergeCell ref="T94:Z94"/>
    <mergeCell ref="T95:Z95"/>
    <mergeCell ref="T96:Z96"/>
    <mergeCell ref="T97:Z97"/>
    <mergeCell ref="T98:Z98"/>
    <mergeCell ref="T99:Z99"/>
    <mergeCell ref="T100:Z100"/>
    <mergeCell ref="T83:Z83"/>
    <mergeCell ref="T84:Z84"/>
    <mergeCell ref="T85:Z85"/>
    <mergeCell ref="T86:Z86"/>
    <mergeCell ref="T87:Z87"/>
    <mergeCell ref="T88:Z88"/>
    <mergeCell ref="T89:Z89"/>
    <mergeCell ref="T90:Z90"/>
    <mergeCell ref="T91:Z91"/>
    <mergeCell ref="T74:Z74"/>
    <mergeCell ref="T75:Z75"/>
    <mergeCell ref="T76:Z76"/>
    <mergeCell ref="T77:Z77"/>
    <mergeCell ref="T78:Z78"/>
    <mergeCell ref="T79:Z79"/>
    <mergeCell ref="T80:Z80"/>
    <mergeCell ref="T81:Z81"/>
    <mergeCell ref="T82:Z82"/>
    <mergeCell ref="T65:Z65"/>
    <mergeCell ref="T66:Z66"/>
    <mergeCell ref="T67:Z67"/>
    <mergeCell ref="T68:Z68"/>
    <mergeCell ref="T69:Z69"/>
    <mergeCell ref="T70:Z70"/>
    <mergeCell ref="T71:Z71"/>
    <mergeCell ref="T72:Z72"/>
    <mergeCell ref="T73:Z73"/>
    <mergeCell ref="T56:Z56"/>
    <mergeCell ref="T57:Z57"/>
    <mergeCell ref="T58:Z58"/>
    <mergeCell ref="T59:Z59"/>
    <mergeCell ref="T60:Z60"/>
    <mergeCell ref="T61:Z61"/>
    <mergeCell ref="T62:Z62"/>
    <mergeCell ref="T63:Z63"/>
    <mergeCell ref="T64:Z64"/>
    <mergeCell ref="T47:Z47"/>
    <mergeCell ref="T48:Z48"/>
    <mergeCell ref="T49:Z49"/>
    <mergeCell ref="T50:Z50"/>
    <mergeCell ref="T51:Z51"/>
    <mergeCell ref="T52:Z52"/>
    <mergeCell ref="T53:Z53"/>
    <mergeCell ref="T54:Z54"/>
    <mergeCell ref="T55:Z55"/>
    <mergeCell ref="AC13:AC14"/>
    <mergeCell ref="AF13:AF14"/>
    <mergeCell ref="AI13:AI14"/>
    <mergeCell ref="D14:P14"/>
    <mergeCell ref="T42:Z42"/>
    <mergeCell ref="T43:Z43"/>
    <mergeCell ref="T44:Z44"/>
    <mergeCell ref="T45:Z45"/>
    <mergeCell ref="T46:Z46"/>
    <mergeCell ref="S19:AG19"/>
    <mergeCell ref="P23:S23"/>
    <mergeCell ref="K22:N22"/>
    <mergeCell ref="C23:E23"/>
    <mergeCell ref="G22:I22"/>
    <mergeCell ref="K23:N23"/>
    <mergeCell ref="C40:Q40"/>
    <mergeCell ref="C41:Q41"/>
    <mergeCell ref="T40:Z40"/>
    <mergeCell ref="T41:Z41"/>
    <mergeCell ref="C42:Q42"/>
    <mergeCell ref="C29:E29"/>
    <mergeCell ref="G29:J29"/>
    <mergeCell ref="C30:E30"/>
    <mergeCell ref="G30:J30"/>
    <mergeCell ref="AA7:AB7"/>
    <mergeCell ref="W7:Z7"/>
    <mergeCell ref="K7:O7"/>
    <mergeCell ref="B7:D7"/>
    <mergeCell ref="E7:F7"/>
    <mergeCell ref="H7:J7"/>
    <mergeCell ref="T7:U7"/>
    <mergeCell ref="Q7:S7"/>
    <mergeCell ref="D13:P13"/>
    <mergeCell ref="Q13:Q14"/>
    <mergeCell ref="R13:R14"/>
    <mergeCell ref="S13:S14"/>
    <mergeCell ref="U13:U14"/>
    <mergeCell ref="X13:X14"/>
    <mergeCell ref="Y13:Y14"/>
    <mergeCell ref="AA13:AA14"/>
    <mergeCell ref="AB13:AB14"/>
    <mergeCell ref="P24:S24"/>
    <mergeCell ref="P25:S25"/>
    <mergeCell ref="C28:E28"/>
    <mergeCell ref="G24:I24"/>
    <mergeCell ref="K24:N24"/>
    <mergeCell ref="C25:E25"/>
    <mergeCell ref="G25:I25"/>
    <mergeCell ref="K25:N25"/>
    <mergeCell ref="C24:E24"/>
    <mergeCell ref="G28:J28"/>
    <mergeCell ref="C58:Q58"/>
    <mergeCell ref="C59:Q59"/>
    <mergeCell ref="C60:Q60"/>
    <mergeCell ref="C61:Q61"/>
    <mergeCell ref="C62:Q62"/>
    <mergeCell ref="G23:I23"/>
    <mergeCell ref="C22:E22"/>
    <mergeCell ref="C27:E27"/>
    <mergeCell ref="C53:Q53"/>
    <mergeCell ref="C54:Q54"/>
    <mergeCell ref="C55:Q55"/>
    <mergeCell ref="C56:Q56"/>
    <mergeCell ref="C57:Q57"/>
    <mergeCell ref="C48:Q48"/>
    <mergeCell ref="C49:Q49"/>
    <mergeCell ref="C50:Q50"/>
    <mergeCell ref="C51:Q51"/>
    <mergeCell ref="C52:Q52"/>
    <mergeCell ref="C43:Q43"/>
    <mergeCell ref="C44:Q44"/>
    <mergeCell ref="C45:Q45"/>
    <mergeCell ref="C46:Q46"/>
    <mergeCell ref="C47:Q47"/>
    <mergeCell ref="P22:S22"/>
    <mergeCell ref="C68:Q68"/>
    <mergeCell ref="C69:Q69"/>
    <mergeCell ref="C70:Q70"/>
    <mergeCell ref="C71:Q71"/>
    <mergeCell ref="C72:Q72"/>
    <mergeCell ref="C63:Q63"/>
    <mergeCell ref="C64:Q64"/>
    <mergeCell ref="C65:Q65"/>
    <mergeCell ref="C66:Q66"/>
    <mergeCell ref="C67:Q67"/>
    <mergeCell ref="C86:Q86"/>
    <mergeCell ref="C87:Q87"/>
    <mergeCell ref="C78:Q78"/>
    <mergeCell ref="C79:Q79"/>
    <mergeCell ref="C80:Q80"/>
    <mergeCell ref="C81:Q81"/>
    <mergeCell ref="C82:Q82"/>
    <mergeCell ref="C73:Q73"/>
    <mergeCell ref="C74:Q74"/>
    <mergeCell ref="C75:Q75"/>
    <mergeCell ref="C76:Q76"/>
    <mergeCell ref="C77:Q77"/>
    <mergeCell ref="C83:Q83"/>
    <mergeCell ref="C84:Q84"/>
    <mergeCell ref="C85:Q85"/>
    <mergeCell ref="C149:Q149"/>
    <mergeCell ref="C150:Q150"/>
    <mergeCell ref="C143:Q143"/>
    <mergeCell ref="C144:Q144"/>
    <mergeCell ref="C145:Q145"/>
    <mergeCell ref="C146:Q146"/>
    <mergeCell ref="C147:Q147"/>
    <mergeCell ref="C138:Q138"/>
    <mergeCell ref="C139:Q139"/>
    <mergeCell ref="C140:Q140"/>
    <mergeCell ref="C141:Q141"/>
    <mergeCell ref="C142:Q142"/>
    <mergeCell ref="C130:Q130"/>
    <mergeCell ref="C123:Q123"/>
    <mergeCell ref="C124:Q124"/>
    <mergeCell ref="C125:Q125"/>
    <mergeCell ref="C126:Q126"/>
    <mergeCell ref="C127:Q127"/>
    <mergeCell ref="C148:Q148"/>
    <mergeCell ref="C131:Q131"/>
    <mergeCell ref="C132:Q132"/>
    <mergeCell ref="C135:Q135"/>
    <mergeCell ref="C136:Q136"/>
    <mergeCell ref="C137:Q137"/>
    <mergeCell ref="C133:Q133"/>
    <mergeCell ref="C134:Q134"/>
    <mergeCell ref="C128:Q128"/>
    <mergeCell ref="C129:Q129"/>
    <mergeCell ref="C111:Q111"/>
    <mergeCell ref="C112:Q112"/>
    <mergeCell ref="C103:Q103"/>
    <mergeCell ref="C104:Q104"/>
    <mergeCell ref="C105:Q105"/>
    <mergeCell ref="C106:Q106"/>
    <mergeCell ref="C107:Q107"/>
    <mergeCell ref="C98:Q98"/>
    <mergeCell ref="C99:Q99"/>
    <mergeCell ref="C100:Q100"/>
    <mergeCell ref="C101:Q101"/>
    <mergeCell ref="C108:Q108"/>
    <mergeCell ref="C109:Q109"/>
    <mergeCell ref="C110:Q110"/>
    <mergeCell ref="C102:Q102"/>
    <mergeCell ref="C119:Q119"/>
    <mergeCell ref="C120:Q120"/>
    <mergeCell ref="C121:Q121"/>
    <mergeCell ref="C122:Q122"/>
    <mergeCell ref="C113:Q113"/>
    <mergeCell ref="C114:Q114"/>
    <mergeCell ref="C115:Q115"/>
    <mergeCell ref="C116:Q116"/>
    <mergeCell ref="C117:Q117"/>
    <mergeCell ref="C118:Q118"/>
    <mergeCell ref="C93:Q93"/>
    <mergeCell ref="C94:Q94"/>
    <mergeCell ref="C95:Q95"/>
    <mergeCell ref="C96:Q96"/>
    <mergeCell ref="C97:Q97"/>
    <mergeCell ref="C88:Q88"/>
    <mergeCell ref="C89:Q89"/>
    <mergeCell ref="C90:Q90"/>
    <mergeCell ref="C91:Q91"/>
    <mergeCell ref="C92:Q92"/>
  </mergeCells>
  <dataValidations count="2">
    <dataValidation type="list" allowBlank="1" showInputMessage="1" showErrorMessage="1" sqref="E7:F7" xr:uid="{00000000-0002-0000-0200-000000000000}">
      <formula1>OFFSET(module1,0,0,COUNTA(module_list))</formula1>
    </dataValidation>
    <dataValidation type="list" allowBlank="1" showInputMessage="1" showErrorMessage="1" sqref="K7:O7" xr:uid="{00000000-0002-0000-0200-000001000000}">
      <formula1>OFFSET(client_list1,0,0,ROWS(client_list)-COUNTBLANK(client_list))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0</xdr:colOff>
                    <xdr:row>28</xdr:row>
                    <xdr:rowOff>38100</xdr:rowOff>
                  </from>
                  <to>
                    <xdr:col>16</xdr:col>
                    <xdr:colOff>76200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4_Click">
                <anchor moveWithCells="1" sizeWithCells="1">
                  <from>
                    <xdr:col>6</xdr:col>
                    <xdr:colOff>200025</xdr:colOff>
                    <xdr:row>34</xdr:row>
                    <xdr:rowOff>0</xdr:rowOff>
                  </from>
                  <to>
                    <xdr:col>9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3_Click">
                <anchor moveWithCells="1" sizeWithCells="1">
                  <from>
                    <xdr:col>2</xdr:col>
                    <xdr:colOff>38100</xdr:colOff>
                    <xdr:row>34</xdr:row>
                    <xdr:rowOff>9525</xdr:rowOff>
                  </from>
                  <to>
                    <xdr:col>5</xdr:col>
                    <xdr:colOff>161925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tton5_Click">
                <anchor moveWithCells="1" sizeWithCells="1">
                  <from>
                    <xdr:col>22</xdr:col>
                    <xdr:colOff>333375</xdr:colOff>
                    <xdr:row>28</xdr:row>
                    <xdr:rowOff>47625</xdr:rowOff>
                  </from>
                  <to>
                    <xdr:col>26</xdr:col>
                    <xdr:colOff>57150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utton6_Click">
                <anchor moveWithCells="1" sizeWithCells="1">
                  <from>
                    <xdr:col>19</xdr:col>
                    <xdr:colOff>76200</xdr:colOff>
                    <xdr:row>28</xdr:row>
                    <xdr:rowOff>38100</xdr:rowOff>
                  </from>
                  <to>
                    <xdr:col>22</xdr:col>
                    <xdr:colOff>133350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AR112"/>
  <sheetViews>
    <sheetView workbookViewId="0">
      <selection activeCell="I11" sqref="I11"/>
    </sheetView>
  </sheetViews>
  <sheetFormatPr defaultRowHeight="15" x14ac:dyDescent="0.25"/>
  <cols>
    <col min="6" max="6" width="29.42578125" customWidth="1"/>
    <col min="7" max="7" width="27" customWidth="1"/>
    <col min="8" max="8" width="25.7109375" customWidth="1"/>
    <col min="9" max="9" width="19.42578125" customWidth="1"/>
    <col min="12" max="12" width="10.28515625" customWidth="1"/>
    <col min="15" max="15" width="10.28515625" customWidth="1"/>
  </cols>
  <sheetData>
    <row r="1" spans="2:44" x14ac:dyDescent="0.25">
      <c r="B1" t="s">
        <v>37</v>
      </c>
      <c r="D1" t="str">
        <f>DCF!E7</f>
        <v>Miscellaneous</v>
      </c>
    </row>
    <row r="2" spans="2:44" x14ac:dyDescent="0.25">
      <c r="C2" t="s">
        <v>39</v>
      </c>
      <c r="D2">
        <f>MATCH(D1,module_list,0)</f>
        <v>1</v>
      </c>
      <c r="G2">
        <v>9</v>
      </c>
      <c r="H2" t="s">
        <v>129</v>
      </c>
      <c r="I2">
        <f>HEX2DEC(DCF!T7)</f>
        <v>4195072</v>
      </c>
      <c r="L2" t="s">
        <v>132</v>
      </c>
      <c r="M2">
        <f>HEX2DEC(DCF!AA7)</f>
        <v>11999</v>
      </c>
      <c r="O2" t="str">
        <f>DEC2HEX(M2)</f>
        <v>2EDF</v>
      </c>
    </row>
    <row r="3" spans="2:44" x14ac:dyDescent="0.25">
      <c r="B3" t="s">
        <v>38</v>
      </c>
      <c r="D3" t="str">
        <f>DCF!K7</f>
        <v>DCF_UTEST_Miscellaneous</v>
      </c>
      <c r="H3" t="s">
        <v>130</v>
      </c>
      <c r="I3" s="34">
        <v>4</v>
      </c>
      <c r="M3" t="str">
        <f>IF(LEN(O2)&gt;8,LEFT(O2,8),DEC2HEX(M2,8))</f>
        <v>00002EDF</v>
      </c>
    </row>
    <row r="4" spans="2:44" x14ac:dyDescent="0.25">
      <c r="C4" t="s">
        <v>39</v>
      </c>
      <c r="D4">
        <f>MATCH(D3,client_list,0)</f>
        <v>1</v>
      </c>
      <c r="H4" t="s">
        <v>131</v>
      </c>
      <c r="I4" s="2">
        <f>I2+I3*8</f>
        <v>4195104</v>
      </c>
      <c r="M4" t="str">
        <f>HEX2BIN(LEFT(M3,2),8)&amp;HEX2BIN(MID(M3,3,2),8)&amp;HEX2BIN(MID(M3,5,2),8)&amp;HEX2BIN(RIGHT(M3,2),8)</f>
        <v>00000000000000000010111011011111</v>
      </c>
    </row>
    <row r="5" spans="2:44" x14ac:dyDescent="0.25">
      <c r="H5" t="s">
        <v>312</v>
      </c>
      <c r="I5">
        <f>3-COUNTBLANK(DCF!C28:C30)</f>
        <v>3</v>
      </c>
      <c r="M5" s="29">
        <v>0</v>
      </c>
      <c r="N5" s="29">
        <v>1</v>
      </c>
      <c r="O5" s="29">
        <v>2</v>
      </c>
      <c r="P5" s="29">
        <v>3</v>
      </c>
      <c r="Q5" s="29">
        <v>4</v>
      </c>
      <c r="R5" s="29">
        <v>5</v>
      </c>
      <c r="S5" s="29">
        <v>6</v>
      </c>
      <c r="T5" s="29">
        <v>7</v>
      </c>
      <c r="U5" s="29">
        <v>8</v>
      </c>
      <c r="V5" s="29">
        <v>9</v>
      </c>
      <c r="W5" s="29">
        <v>10</v>
      </c>
      <c r="X5" s="29">
        <v>11</v>
      </c>
      <c r="Y5" s="29">
        <v>12</v>
      </c>
      <c r="Z5" s="29">
        <v>13</v>
      </c>
      <c r="AA5" s="29">
        <v>14</v>
      </c>
      <c r="AB5" s="29">
        <v>15</v>
      </c>
      <c r="AC5" s="29">
        <v>16</v>
      </c>
      <c r="AD5" s="29">
        <v>17</v>
      </c>
      <c r="AE5" s="29">
        <v>18</v>
      </c>
      <c r="AF5" s="29">
        <v>19</v>
      </c>
      <c r="AG5" s="29">
        <v>20</v>
      </c>
      <c r="AH5" s="29">
        <v>21</v>
      </c>
      <c r="AI5" s="29">
        <v>22</v>
      </c>
      <c r="AJ5" s="29">
        <v>23</v>
      </c>
      <c r="AK5" s="29">
        <v>24</v>
      </c>
      <c r="AL5" s="29">
        <v>25</v>
      </c>
      <c r="AM5" s="29">
        <v>26</v>
      </c>
      <c r="AN5" s="29">
        <v>27</v>
      </c>
      <c r="AO5" s="29">
        <v>28</v>
      </c>
      <c r="AP5" s="29">
        <v>29</v>
      </c>
      <c r="AQ5" s="29">
        <v>30</v>
      </c>
      <c r="AR5" s="29">
        <v>31</v>
      </c>
    </row>
    <row r="6" spans="2:44" x14ac:dyDescent="0.25">
      <c r="M6" t="str">
        <f>LEFT(M4,1)</f>
        <v>0</v>
      </c>
      <c r="N6" t="str">
        <f>MID($M$4,N5+1,1)</f>
        <v>0</v>
      </c>
      <c r="O6" t="str">
        <f t="shared" ref="O6:AQ6" si="0">MID($M$4,O5+1,1)</f>
        <v>0</v>
      </c>
      <c r="P6" t="str">
        <f t="shared" si="0"/>
        <v>0</v>
      </c>
      <c r="Q6" t="str">
        <f t="shared" si="0"/>
        <v>0</v>
      </c>
      <c r="R6" t="str">
        <f t="shared" si="0"/>
        <v>0</v>
      </c>
      <c r="S6" t="str">
        <f t="shared" si="0"/>
        <v>0</v>
      </c>
      <c r="T6" t="str">
        <f t="shared" si="0"/>
        <v>0</v>
      </c>
      <c r="U6" t="str">
        <f t="shared" si="0"/>
        <v>0</v>
      </c>
      <c r="V6" t="str">
        <f t="shared" si="0"/>
        <v>0</v>
      </c>
      <c r="W6" t="str">
        <f t="shared" si="0"/>
        <v>0</v>
      </c>
      <c r="X6" t="str">
        <f t="shared" si="0"/>
        <v>0</v>
      </c>
      <c r="Y6" t="str">
        <f t="shared" si="0"/>
        <v>0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0</v>
      </c>
      <c r="AD6" t="str">
        <f t="shared" si="0"/>
        <v>0</v>
      </c>
      <c r="AE6" t="str">
        <f t="shared" si="0"/>
        <v>1</v>
      </c>
      <c r="AF6" t="str">
        <f t="shared" si="0"/>
        <v>0</v>
      </c>
      <c r="AG6" t="str">
        <f t="shared" si="0"/>
        <v>1</v>
      </c>
      <c r="AH6" t="str">
        <f t="shared" si="0"/>
        <v>1</v>
      </c>
      <c r="AI6" t="str">
        <f t="shared" si="0"/>
        <v>1</v>
      </c>
      <c r="AJ6" t="str">
        <f t="shared" si="0"/>
        <v>0</v>
      </c>
      <c r="AK6" t="str">
        <f t="shared" si="0"/>
        <v>1</v>
      </c>
      <c r="AL6" t="str">
        <f t="shared" si="0"/>
        <v>1</v>
      </c>
      <c r="AM6" t="str">
        <f t="shared" si="0"/>
        <v>0</v>
      </c>
      <c r="AN6" t="str">
        <f t="shared" si="0"/>
        <v>1</v>
      </c>
      <c r="AO6" t="str">
        <f t="shared" si="0"/>
        <v>1</v>
      </c>
      <c r="AP6" t="str">
        <f t="shared" si="0"/>
        <v>1</v>
      </c>
      <c r="AQ6" t="str">
        <f t="shared" si="0"/>
        <v>1</v>
      </c>
      <c r="AR6" t="str">
        <f>RIGHT($M$4,1)</f>
        <v>1</v>
      </c>
    </row>
    <row r="8" spans="2:44" x14ac:dyDescent="0.25">
      <c r="C8" t="s">
        <v>35</v>
      </c>
      <c r="F8" t="s">
        <v>52</v>
      </c>
      <c r="G8" t="s">
        <v>41</v>
      </c>
      <c r="H8" t="s">
        <v>51</v>
      </c>
      <c r="I8" t="s">
        <v>277</v>
      </c>
      <c r="L8" t="s">
        <v>133</v>
      </c>
      <c r="N8" s="33" t="str">
        <f>DEC2HEX(HEX2DEC(MID(DCF!J11,3,8)))</f>
        <v>2EDF</v>
      </c>
      <c r="O8">
        <f>HEX2DEC(N8)</f>
        <v>11999</v>
      </c>
    </row>
    <row r="9" spans="2:44" x14ac:dyDescent="0.25">
      <c r="B9">
        <v>1</v>
      </c>
      <c r="C9" t="s">
        <v>36</v>
      </c>
      <c r="E9">
        <v>1</v>
      </c>
      <c r="F9" s="35" t="str">
        <f>IF($D$2=1,G9,IF($D$2=2,H9,I9))</f>
        <v>DCF_UTEST_Miscellaneous</v>
      </c>
      <c r="G9" s="27" t="s">
        <v>34</v>
      </c>
      <c r="H9" t="s">
        <v>208</v>
      </c>
      <c r="I9" t="s">
        <v>278</v>
      </c>
    </row>
    <row r="10" spans="2:44" x14ac:dyDescent="0.25">
      <c r="B10">
        <v>2</v>
      </c>
      <c r="C10" t="s">
        <v>51</v>
      </c>
      <c r="E10">
        <v>2</v>
      </c>
      <c r="F10" s="35" t="str">
        <f t="shared" ref="F10:F73" si="1">IF($D$2=1,G10,IF($D$2=2,H10,I10))</f>
        <v>PMCDIG_ERETW</v>
      </c>
      <c r="G10" s="27" t="s">
        <v>335</v>
      </c>
      <c r="H10" t="s">
        <v>211</v>
      </c>
      <c r="I10" t="s">
        <v>405</v>
      </c>
    </row>
    <row r="11" spans="2:44" x14ac:dyDescent="0.25">
      <c r="B11">
        <v>3</v>
      </c>
      <c r="C11" t="s">
        <v>277</v>
      </c>
      <c r="E11">
        <v>3</v>
      </c>
      <c r="F11" s="35" t="str">
        <f t="shared" si="1"/>
        <v/>
      </c>
      <c r="G11" t="str">
        <f>""</f>
        <v/>
      </c>
      <c r="H11" t="s">
        <v>57</v>
      </c>
      <c r="I11" t="s">
        <v>280</v>
      </c>
    </row>
    <row r="12" spans="2:44" x14ac:dyDescent="0.25">
      <c r="E12">
        <v>4</v>
      </c>
      <c r="F12" s="35" t="str">
        <f t="shared" si="1"/>
        <v/>
      </c>
      <c r="G12" t="str">
        <f>""</f>
        <v/>
      </c>
      <c r="H12" t="s">
        <v>62</v>
      </c>
      <c r="I12" t="s">
        <v>284</v>
      </c>
    </row>
    <row r="13" spans="2:44" x14ac:dyDescent="0.25">
      <c r="E13">
        <v>5</v>
      </c>
      <c r="F13" s="35" t="str">
        <f t="shared" si="1"/>
        <v/>
      </c>
      <c r="G13" t="str">
        <f>""</f>
        <v/>
      </c>
      <c r="H13" t="s">
        <v>68</v>
      </c>
      <c r="I13" t="s">
        <v>285</v>
      </c>
    </row>
    <row r="14" spans="2:44" x14ac:dyDescent="0.25">
      <c r="E14">
        <v>6</v>
      </c>
      <c r="F14" s="35" t="str">
        <f t="shared" si="1"/>
        <v/>
      </c>
      <c r="G14" t="str">
        <f>""</f>
        <v/>
      </c>
      <c r="H14" t="s">
        <v>70</v>
      </c>
      <c r="I14" t="s">
        <v>286</v>
      </c>
    </row>
    <row r="15" spans="2:44" x14ac:dyDescent="0.25">
      <c r="E15">
        <v>7</v>
      </c>
      <c r="F15" s="35" t="str">
        <f t="shared" si="1"/>
        <v/>
      </c>
      <c r="G15" t="str">
        <f>""</f>
        <v/>
      </c>
      <c r="H15" t="s">
        <v>75</v>
      </c>
      <c r="I15" t="s">
        <v>281</v>
      </c>
    </row>
    <row r="16" spans="2:44" x14ac:dyDescent="0.25">
      <c r="E16">
        <v>8</v>
      </c>
      <c r="F16" s="35" t="str">
        <f t="shared" si="1"/>
        <v/>
      </c>
      <c r="G16" t="str">
        <f>""</f>
        <v/>
      </c>
      <c r="H16" t="s">
        <v>79</v>
      </c>
      <c r="I16" t="s">
        <v>287</v>
      </c>
    </row>
    <row r="17" spans="5:9" x14ac:dyDescent="0.25">
      <c r="E17">
        <v>9</v>
      </c>
      <c r="F17" s="35" t="str">
        <f t="shared" si="1"/>
        <v/>
      </c>
      <c r="G17" t="str">
        <f>""</f>
        <v/>
      </c>
      <c r="H17" t="s">
        <v>128</v>
      </c>
      <c r="I17" t="s">
        <v>288</v>
      </c>
    </row>
    <row r="18" spans="5:9" x14ac:dyDescent="0.25">
      <c r="E18">
        <v>10</v>
      </c>
      <c r="F18" s="35" t="str">
        <f t="shared" si="1"/>
        <v/>
      </c>
      <c r="G18" t="str">
        <f>""</f>
        <v/>
      </c>
      <c r="H18" t="s">
        <v>341</v>
      </c>
      <c r="I18" t="s">
        <v>289</v>
      </c>
    </row>
    <row r="19" spans="5:9" x14ac:dyDescent="0.25">
      <c r="E19">
        <v>11</v>
      </c>
      <c r="F19" s="35" t="str">
        <f t="shared" si="1"/>
        <v/>
      </c>
      <c r="G19" t="str">
        <f>""</f>
        <v/>
      </c>
      <c r="H19" t="s">
        <v>134</v>
      </c>
      <c r="I19" t="s">
        <v>282</v>
      </c>
    </row>
    <row r="20" spans="5:9" x14ac:dyDescent="0.25">
      <c r="E20">
        <v>12</v>
      </c>
      <c r="F20" s="35" t="str">
        <f t="shared" si="1"/>
        <v/>
      </c>
      <c r="G20" t="str">
        <f>""</f>
        <v/>
      </c>
      <c r="H20" t="s">
        <v>140</v>
      </c>
      <c r="I20" t="s">
        <v>290</v>
      </c>
    </row>
    <row r="21" spans="5:9" x14ac:dyDescent="0.25">
      <c r="E21">
        <v>13</v>
      </c>
      <c r="F21" s="35" t="str">
        <f t="shared" si="1"/>
        <v/>
      </c>
      <c r="G21" t="str">
        <f>""</f>
        <v/>
      </c>
      <c r="H21" t="s">
        <v>142</v>
      </c>
      <c r="I21" t="s">
        <v>291</v>
      </c>
    </row>
    <row r="22" spans="5:9" x14ac:dyDescent="0.25">
      <c r="E22">
        <v>14</v>
      </c>
      <c r="F22" s="35" t="str">
        <f t="shared" si="1"/>
        <v/>
      </c>
      <c r="G22" t="str">
        <f>""</f>
        <v/>
      </c>
      <c r="H22" t="s">
        <v>144</v>
      </c>
      <c r="I22" t="s">
        <v>292</v>
      </c>
    </row>
    <row r="23" spans="5:9" x14ac:dyDescent="0.25">
      <c r="E23">
        <v>15</v>
      </c>
      <c r="F23" s="35" t="str">
        <f t="shared" si="1"/>
        <v/>
      </c>
      <c r="G23" t="str">
        <f>""</f>
        <v/>
      </c>
      <c r="H23" t="s">
        <v>145</v>
      </c>
      <c r="I23" t="s">
        <v>283</v>
      </c>
    </row>
    <row r="24" spans="5:9" x14ac:dyDescent="0.25">
      <c r="E24">
        <v>16</v>
      </c>
      <c r="F24" s="35" t="str">
        <f t="shared" si="1"/>
        <v/>
      </c>
      <c r="G24" t="str">
        <f>""</f>
        <v/>
      </c>
      <c r="H24" t="s">
        <v>147</v>
      </c>
      <c r="I24" t="s">
        <v>293</v>
      </c>
    </row>
    <row r="25" spans="5:9" x14ac:dyDescent="0.25">
      <c r="E25">
        <v>17</v>
      </c>
      <c r="F25" s="35" t="str">
        <f t="shared" si="1"/>
        <v/>
      </c>
      <c r="G25" t="str">
        <f>""</f>
        <v/>
      </c>
      <c r="H25" t="s">
        <v>148</v>
      </c>
      <c r="I25" t="s">
        <v>294</v>
      </c>
    </row>
    <row r="26" spans="5:9" x14ac:dyDescent="0.25">
      <c r="E26">
        <v>18</v>
      </c>
      <c r="F26" s="35" t="str">
        <f t="shared" si="1"/>
        <v/>
      </c>
      <c r="G26" t="str">
        <f>""</f>
        <v/>
      </c>
      <c r="H26" t="s">
        <v>149</v>
      </c>
      <c r="I26" t="s">
        <v>295</v>
      </c>
    </row>
    <row r="27" spans="5:9" x14ac:dyDescent="0.25">
      <c r="E27">
        <v>19</v>
      </c>
      <c r="F27" s="35" t="str">
        <f t="shared" si="1"/>
        <v/>
      </c>
      <c r="G27" t="str">
        <f>""</f>
        <v/>
      </c>
      <c r="H27" t="s">
        <v>150</v>
      </c>
      <c r="I27" t="str">
        <f>""</f>
        <v/>
      </c>
    </row>
    <row r="28" spans="5:9" x14ac:dyDescent="0.25">
      <c r="E28">
        <v>20</v>
      </c>
      <c r="F28" s="35" t="str">
        <f t="shared" si="1"/>
        <v/>
      </c>
      <c r="G28" t="str">
        <f>""</f>
        <v/>
      </c>
      <c r="H28" t="s">
        <v>151</v>
      </c>
      <c r="I28" t="str">
        <f>""</f>
        <v/>
      </c>
    </row>
    <row r="29" spans="5:9" x14ac:dyDescent="0.25">
      <c r="E29">
        <v>21</v>
      </c>
      <c r="F29" s="35" t="str">
        <f t="shared" si="1"/>
        <v/>
      </c>
      <c r="G29" t="str">
        <f>""</f>
        <v/>
      </c>
      <c r="H29" t="s">
        <v>152</v>
      </c>
      <c r="I29" t="str">
        <f>""</f>
        <v/>
      </c>
    </row>
    <row r="30" spans="5:9" x14ac:dyDescent="0.25">
      <c r="E30">
        <v>22</v>
      </c>
      <c r="F30" s="35" t="str">
        <f t="shared" si="1"/>
        <v/>
      </c>
      <c r="G30" t="str">
        <f>""</f>
        <v/>
      </c>
      <c r="H30" t="s">
        <v>153</v>
      </c>
      <c r="I30" t="str">
        <f>""</f>
        <v/>
      </c>
    </row>
    <row r="31" spans="5:9" x14ac:dyDescent="0.25">
      <c r="E31">
        <v>23</v>
      </c>
      <c r="F31" s="35" t="str">
        <f t="shared" si="1"/>
        <v/>
      </c>
      <c r="G31" t="str">
        <f>""</f>
        <v/>
      </c>
      <c r="H31" t="s">
        <v>154</v>
      </c>
      <c r="I31" t="str">
        <f>""</f>
        <v/>
      </c>
    </row>
    <row r="32" spans="5:9" x14ac:dyDescent="0.25">
      <c r="E32">
        <v>24</v>
      </c>
      <c r="F32" s="35" t="str">
        <f t="shared" si="1"/>
        <v/>
      </c>
      <c r="G32" t="str">
        <f>""</f>
        <v/>
      </c>
      <c r="H32" t="s">
        <v>155</v>
      </c>
      <c r="I32" t="str">
        <f>""</f>
        <v/>
      </c>
    </row>
    <row r="33" spans="5:9" x14ac:dyDescent="0.25">
      <c r="E33">
        <v>25</v>
      </c>
      <c r="F33" s="35" t="str">
        <f t="shared" si="1"/>
        <v/>
      </c>
      <c r="G33" t="str">
        <f>""</f>
        <v/>
      </c>
      <c r="H33" t="s">
        <v>156</v>
      </c>
      <c r="I33" t="str">
        <f>""</f>
        <v/>
      </c>
    </row>
    <row r="34" spans="5:9" x14ac:dyDescent="0.25">
      <c r="E34">
        <v>26</v>
      </c>
      <c r="F34" s="35" t="str">
        <f t="shared" si="1"/>
        <v/>
      </c>
      <c r="G34" t="str">
        <f>""</f>
        <v/>
      </c>
      <c r="H34" t="s">
        <v>157</v>
      </c>
      <c r="I34" t="str">
        <f>""</f>
        <v/>
      </c>
    </row>
    <row r="35" spans="5:9" x14ac:dyDescent="0.25">
      <c r="E35">
        <v>27</v>
      </c>
      <c r="F35" s="35" t="str">
        <f t="shared" si="1"/>
        <v/>
      </c>
      <c r="G35" t="str">
        <f>""</f>
        <v/>
      </c>
      <c r="H35" t="s">
        <v>158</v>
      </c>
      <c r="I35" t="str">
        <f>""</f>
        <v/>
      </c>
    </row>
    <row r="36" spans="5:9" x14ac:dyDescent="0.25">
      <c r="E36">
        <v>28</v>
      </c>
      <c r="F36" s="35" t="str">
        <f t="shared" si="1"/>
        <v/>
      </c>
      <c r="G36" t="str">
        <f>""</f>
        <v/>
      </c>
      <c r="H36" t="s">
        <v>159</v>
      </c>
      <c r="I36" t="str">
        <f>""</f>
        <v/>
      </c>
    </row>
    <row r="37" spans="5:9" x14ac:dyDescent="0.25">
      <c r="E37">
        <v>29</v>
      </c>
      <c r="F37" s="35" t="str">
        <f t="shared" si="1"/>
        <v/>
      </c>
      <c r="G37" t="str">
        <f>""</f>
        <v/>
      </c>
      <c r="H37" t="s">
        <v>160</v>
      </c>
      <c r="I37" t="str">
        <f>""</f>
        <v/>
      </c>
    </row>
    <row r="38" spans="5:9" x14ac:dyDescent="0.25">
      <c r="E38">
        <v>30</v>
      </c>
      <c r="F38" s="35" t="str">
        <f t="shared" si="1"/>
        <v/>
      </c>
      <c r="G38" t="str">
        <f>""</f>
        <v/>
      </c>
      <c r="H38" t="s">
        <v>162</v>
      </c>
      <c r="I38" t="str">
        <f>""</f>
        <v/>
      </c>
    </row>
    <row r="39" spans="5:9" x14ac:dyDescent="0.25">
      <c r="E39">
        <v>31</v>
      </c>
      <c r="F39" s="35" t="str">
        <f t="shared" si="1"/>
        <v/>
      </c>
      <c r="G39" t="str">
        <f>""</f>
        <v/>
      </c>
      <c r="H39" t="s">
        <v>163</v>
      </c>
      <c r="I39" t="str">
        <f>""</f>
        <v/>
      </c>
    </row>
    <row r="40" spans="5:9" x14ac:dyDescent="0.25">
      <c r="E40">
        <v>32</v>
      </c>
      <c r="F40" s="35" t="str">
        <f t="shared" si="1"/>
        <v/>
      </c>
      <c r="G40" t="str">
        <f>""</f>
        <v/>
      </c>
      <c r="H40" t="s">
        <v>164</v>
      </c>
      <c r="I40" t="str">
        <f>""</f>
        <v/>
      </c>
    </row>
    <row r="41" spans="5:9" x14ac:dyDescent="0.25">
      <c r="E41">
        <v>33</v>
      </c>
      <c r="F41" s="35" t="str">
        <f t="shared" si="1"/>
        <v/>
      </c>
      <c r="G41" t="str">
        <f>""</f>
        <v/>
      </c>
      <c r="H41" t="s">
        <v>165</v>
      </c>
      <c r="I41" t="str">
        <f>""</f>
        <v/>
      </c>
    </row>
    <row r="42" spans="5:9" x14ac:dyDescent="0.25">
      <c r="E42">
        <v>34</v>
      </c>
      <c r="F42" s="35" t="str">
        <f t="shared" si="1"/>
        <v/>
      </c>
      <c r="G42" t="str">
        <f>""</f>
        <v/>
      </c>
      <c r="H42" t="s">
        <v>166</v>
      </c>
      <c r="I42" t="str">
        <f>""</f>
        <v/>
      </c>
    </row>
    <row r="43" spans="5:9" x14ac:dyDescent="0.25">
      <c r="E43">
        <v>35</v>
      </c>
      <c r="F43" s="35" t="str">
        <f t="shared" si="1"/>
        <v/>
      </c>
      <c r="G43" t="str">
        <f>""</f>
        <v/>
      </c>
      <c r="H43" t="s">
        <v>167</v>
      </c>
      <c r="I43" t="str">
        <f>""</f>
        <v/>
      </c>
    </row>
    <row r="44" spans="5:9" x14ac:dyDescent="0.25">
      <c r="E44">
        <v>36</v>
      </c>
      <c r="F44" s="35" t="str">
        <f t="shared" si="1"/>
        <v/>
      </c>
      <c r="G44" t="str">
        <f>""</f>
        <v/>
      </c>
      <c r="H44" t="s">
        <v>168</v>
      </c>
      <c r="I44" t="str">
        <f>""</f>
        <v/>
      </c>
    </row>
    <row r="45" spans="5:9" x14ac:dyDescent="0.25">
      <c r="E45">
        <v>37</v>
      </c>
      <c r="F45" s="35" t="str">
        <f t="shared" si="1"/>
        <v/>
      </c>
      <c r="G45" t="str">
        <f>""</f>
        <v/>
      </c>
      <c r="H45" t="s">
        <v>169</v>
      </c>
      <c r="I45" t="str">
        <f>""</f>
        <v/>
      </c>
    </row>
    <row r="46" spans="5:9" x14ac:dyDescent="0.25">
      <c r="E46">
        <v>38</v>
      </c>
      <c r="F46" s="35" t="str">
        <f t="shared" si="1"/>
        <v/>
      </c>
      <c r="G46" t="str">
        <f>""</f>
        <v/>
      </c>
      <c r="H46" t="s">
        <v>170</v>
      </c>
      <c r="I46" t="str">
        <f>""</f>
        <v/>
      </c>
    </row>
    <row r="47" spans="5:9" x14ac:dyDescent="0.25">
      <c r="E47">
        <v>39</v>
      </c>
      <c r="F47" s="35" t="str">
        <f t="shared" si="1"/>
        <v/>
      </c>
      <c r="G47" t="str">
        <f>""</f>
        <v/>
      </c>
      <c r="H47" t="s">
        <v>171</v>
      </c>
      <c r="I47" t="str">
        <f>""</f>
        <v/>
      </c>
    </row>
    <row r="48" spans="5:9" x14ac:dyDescent="0.25">
      <c r="E48">
        <v>40</v>
      </c>
      <c r="F48" s="35" t="str">
        <f t="shared" si="1"/>
        <v/>
      </c>
      <c r="G48" t="str">
        <f>""</f>
        <v/>
      </c>
      <c r="H48" t="s">
        <v>172</v>
      </c>
      <c r="I48" t="str">
        <f>""</f>
        <v/>
      </c>
    </row>
    <row r="49" spans="5:9" x14ac:dyDescent="0.25">
      <c r="E49">
        <v>41</v>
      </c>
      <c r="F49" s="35" t="str">
        <f t="shared" si="1"/>
        <v/>
      </c>
      <c r="G49" t="str">
        <f>""</f>
        <v/>
      </c>
      <c r="H49" t="s">
        <v>173</v>
      </c>
      <c r="I49" t="str">
        <f>""</f>
        <v/>
      </c>
    </row>
    <row r="50" spans="5:9" x14ac:dyDescent="0.25">
      <c r="E50">
        <v>42</v>
      </c>
      <c r="F50" s="35" t="str">
        <f t="shared" si="1"/>
        <v/>
      </c>
      <c r="G50" t="str">
        <f>""</f>
        <v/>
      </c>
      <c r="H50" t="s">
        <v>174</v>
      </c>
      <c r="I50" t="str">
        <f>""</f>
        <v/>
      </c>
    </row>
    <row r="51" spans="5:9" x14ac:dyDescent="0.25">
      <c r="E51">
        <v>43</v>
      </c>
      <c r="F51" s="35" t="str">
        <f t="shared" si="1"/>
        <v/>
      </c>
      <c r="G51" t="str">
        <f>""</f>
        <v/>
      </c>
      <c r="H51" t="s">
        <v>175</v>
      </c>
      <c r="I51" t="str">
        <f>""</f>
        <v/>
      </c>
    </row>
    <row r="52" spans="5:9" x14ac:dyDescent="0.25">
      <c r="E52">
        <v>44</v>
      </c>
      <c r="F52" s="35" t="str">
        <f t="shared" si="1"/>
        <v/>
      </c>
      <c r="G52" t="str">
        <f>""</f>
        <v/>
      </c>
      <c r="H52" t="s">
        <v>176</v>
      </c>
      <c r="I52" t="str">
        <f>""</f>
        <v/>
      </c>
    </row>
    <row r="53" spans="5:9" x14ac:dyDescent="0.25">
      <c r="E53">
        <v>45</v>
      </c>
      <c r="F53" s="35" t="str">
        <f t="shared" si="1"/>
        <v/>
      </c>
      <c r="G53" t="str">
        <f>""</f>
        <v/>
      </c>
      <c r="H53" t="s">
        <v>177</v>
      </c>
      <c r="I53" t="str">
        <f>""</f>
        <v/>
      </c>
    </row>
    <row r="54" spans="5:9" x14ac:dyDescent="0.25">
      <c r="E54">
        <v>46</v>
      </c>
      <c r="F54" s="35" t="str">
        <f t="shared" si="1"/>
        <v/>
      </c>
      <c r="G54" t="str">
        <f>""</f>
        <v/>
      </c>
      <c r="H54" t="s">
        <v>178</v>
      </c>
      <c r="I54" t="str">
        <f>""</f>
        <v/>
      </c>
    </row>
    <row r="55" spans="5:9" x14ac:dyDescent="0.25">
      <c r="E55">
        <v>47</v>
      </c>
      <c r="F55" s="35" t="str">
        <f t="shared" si="1"/>
        <v/>
      </c>
      <c r="G55" t="str">
        <f>""</f>
        <v/>
      </c>
      <c r="H55" t="s">
        <v>179</v>
      </c>
      <c r="I55" t="str">
        <f>""</f>
        <v/>
      </c>
    </row>
    <row r="56" spans="5:9" x14ac:dyDescent="0.25">
      <c r="E56">
        <v>48</v>
      </c>
      <c r="F56" s="35" t="str">
        <f t="shared" si="1"/>
        <v/>
      </c>
      <c r="G56" t="str">
        <f>""</f>
        <v/>
      </c>
      <c r="H56" t="s">
        <v>180</v>
      </c>
      <c r="I56" t="str">
        <f>""</f>
        <v/>
      </c>
    </row>
    <row r="57" spans="5:9" x14ac:dyDescent="0.25">
      <c r="E57">
        <v>49</v>
      </c>
      <c r="F57" s="35" t="str">
        <f t="shared" si="1"/>
        <v/>
      </c>
      <c r="G57" t="str">
        <f>""</f>
        <v/>
      </c>
      <c r="H57" t="s">
        <v>181</v>
      </c>
      <c r="I57" t="str">
        <f>""</f>
        <v/>
      </c>
    </row>
    <row r="58" spans="5:9" x14ac:dyDescent="0.25">
      <c r="E58">
        <v>50</v>
      </c>
      <c r="F58" s="35" t="str">
        <f t="shared" si="1"/>
        <v/>
      </c>
      <c r="G58" t="str">
        <f>""</f>
        <v/>
      </c>
      <c r="H58" t="s">
        <v>182</v>
      </c>
      <c r="I58" t="str">
        <f>""</f>
        <v/>
      </c>
    </row>
    <row r="59" spans="5:9" x14ac:dyDescent="0.25">
      <c r="E59">
        <v>51</v>
      </c>
      <c r="F59" s="35" t="str">
        <f t="shared" si="1"/>
        <v/>
      </c>
      <c r="G59" t="str">
        <f>""</f>
        <v/>
      </c>
      <c r="H59" t="s">
        <v>183</v>
      </c>
      <c r="I59" t="str">
        <f>""</f>
        <v/>
      </c>
    </row>
    <row r="60" spans="5:9" x14ac:dyDescent="0.25">
      <c r="E60">
        <v>52</v>
      </c>
      <c r="F60" s="35" t="str">
        <f t="shared" si="1"/>
        <v/>
      </c>
      <c r="G60" t="str">
        <f>""</f>
        <v/>
      </c>
      <c r="H60" t="s">
        <v>184</v>
      </c>
      <c r="I60" t="str">
        <f>""</f>
        <v/>
      </c>
    </row>
    <row r="61" spans="5:9" x14ac:dyDescent="0.25">
      <c r="E61">
        <v>53</v>
      </c>
      <c r="F61" s="35" t="str">
        <f t="shared" si="1"/>
        <v/>
      </c>
      <c r="G61" t="str">
        <f>""</f>
        <v/>
      </c>
      <c r="H61" t="s">
        <v>185</v>
      </c>
      <c r="I61" t="str">
        <f>""</f>
        <v/>
      </c>
    </row>
    <row r="62" spans="5:9" x14ac:dyDescent="0.25">
      <c r="E62">
        <v>54</v>
      </c>
      <c r="F62" s="35" t="str">
        <f t="shared" si="1"/>
        <v/>
      </c>
      <c r="G62" t="str">
        <f>""</f>
        <v/>
      </c>
      <c r="H62" t="s">
        <v>186</v>
      </c>
      <c r="I62" t="str">
        <f>""</f>
        <v/>
      </c>
    </row>
    <row r="63" spans="5:9" x14ac:dyDescent="0.25">
      <c r="E63">
        <v>55</v>
      </c>
      <c r="F63" s="35" t="str">
        <f t="shared" si="1"/>
        <v/>
      </c>
      <c r="G63" t="str">
        <f>""</f>
        <v/>
      </c>
      <c r="H63" t="s">
        <v>187</v>
      </c>
      <c r="I63" t="str">
        <f>""</f>
        <v/>
      </c>
    </row>
    <row r="64" spans="5:9" x14ac:dyDescent="0.25">
      <c r="E64">
        <v>56</v>
      </c>
      <c r="F64" s="35" t="str">
        <f t="shared" si="1"/>
        <v/>
      </c>
      <c r="G64" t="str">
        <f>""</f>
        <v/>
      </c>
      <c r="H64" t="s">
        <v>188</v>
      </c>
      <c r="I64" t="str">
        <f>""</f>
        <v/>
      </c>
    </row>
    <row r="65" spans="5:9" x14ac:dyDescent="0.25">
      <c r="E65">
        <v>57</v>
      </c>
      <c r="F65" s="35" t="str">
        <f t="shared" si="1"/>
        <v/>
      </c>
      <c r="G65" t="str">
        <f>""</f>
        <v/>
      </c>
      <c r="H65" t="s">
        <v>189</v>
      </c>
      <c r="I65" t="str">
        <f>""</f>
        <v/>
      </c>
    </row>
    <row r="66" spans="5:9" x14ac:dyDescent="0.25">
      <c r="E66">
        <v>58</v>
      </c>
      <c r="F66" s="35" t="str">
        <f t="shared" si="1"/>
        <v/>
      </c>
      <c r="G66" t="str">
        <f>""</f>
        <v/>
      </c>
      <c r="H66" t="s">
        <v>190</v>
      </c>
      <c r="I66" t="str">
        <f>""</f>
        <v/>
      </c>
    </row>
    <row r="67" spans="5:9" x14ac:dyDescent="0.25">
      <c r="E67">
        <v>59</v>
      </c>
      <c r="F67" s="35" t="str">
        <f t="shared" si="1"/>
        <v/>
      </c>
      <c r="G67" t="str">
        <f>""</f>
        <v/>
      </c>
      <c r="H67" t="s">
        <v>191</v>
      </c>
      <c r="I67" t="str">
        <f>""</f>
        <v/>
      </c>
    </row>
    <row r="68" spans="5:9" x14ac:dyDescent="0.25">
      <c r="E68">
        <v>60</v>
      </c>
      <c r="F68" s="35" t="str">
        <f t="shared" si="1"/>
        <v/>
      </c>
      <c r="G68" t="str">
        <f>""</f>
        <v/>
      </c>
      <c r="H68" t="s">
        <v>192</v>
      </c>
      <c r="I68" t="str">
        <f>""</f>
        <v/>
      </c>
    </row>
    <row r="69" spans="5:9" x14ac:dyDescent="0.25">
      <c r="E69">
        <v>61</v>
      </c>
      <c r="F69" s="35" t="str">
        <f t="shared" si="1"/>
        <v/>
      </c>
      <c r="G69" t="str">
        <f>""</f>
        <v/>
      </c>
      <c r="H69" t="s">
        <v>193</v>
      </c>
      <c r="I69" t="str">
        <f>""</f>
        <v/>
      </c>
    </row>
    <row r="70" spans="5:9" x14ac:dyDescent="0.25">
      <c r="E70">
        <v>62</v>
      </c>
      <c r="F70" s="35" t="str">
        <f t="shared" si="1"/>
        <v/>
      </c>
      <c r="G70" t="str">
        <f>""</f>
        <v/>
      </c>
      <c r="H70" t="s">
        <v>194</v>
      </c>
      <c r="I70" t="str">
        <f>""</f>
        <v/>
      </c>
    </row>
    <row r="71" spans="5:9" x14ac:dyDescent="0.25">
      <c r="E71">
        <v>63</v>
      </c>
      <c r="F71" s="35" t="str">
        <f t="shared" si="1"/>
        <v/>
      </c>
      <c r="G71" t="str">
        <f>""</f>
        <v/>
      </c>
      <c r="H71" t="s">
        <v>195</v>
      </c>
      <c r="I71" t="str">
        <f>""</f>
        <v/>
      </c>
    </row>
    <row r="72" spans="5:9" x14ac:dyDescent="0.25">
      <c r="E72">
        <v>64</v>
      </c>
      <c r="F72" s="35" t="str">
        <f t="shared" si="1"/>
        <v/>
      </c>
      <c r="G72" t="str">
        <f>""</f>
        <v/>
      </c>
      <c r="H72" t="s">
        <v>196</v>
      </c>
      <c r="I72" t="str">
        <f>""</f>
        <v/>
      </c>
    </row>
    <row r="73" spans="5:9" x14ac:dyDescent="0.25">
      <c r="E73">
        <v>65</v>
      </c>
      <c r="F73" s="35" t="str">
        <f t="shared" si="1"/>
        <v/>
      </c>
      <c r="G73" t="str">
        <f>""</f>
        <v/>
      </c>
      <c r="H73" t="s">
        <v>197</v>
      </c>
      <c r="I73" t="str">
        <f>""</f>
        <v/>
      </c>
    </row>
    <row r="74" spans="5:9" x14ac:dyDescent="0.25">
      <c r="E74">
        <v>66</v>
      </c>
      <c r="F74" s="35" t="str">
        <f t="shared" ref="F74:F112" si="2">IF($D$2=1,G74,IF($D$2=2,H74,I74))</f>
        <v/>
      </c>
      <c r="G74" t="str">
        <f>""</f>
        <v/>
      </c>
      <c r="H74" t="s">
        <v>198</v>
      </c>
      <c r="I74" t="str">
        <f>""</f>
        <v/>
      </c>
    </row>
    <row r="75" spans="5:9" x14ac:dyDescent="0.25">
      <c r="E75">
        <v>67</v>
      </c>
      <c r="F75" s="35" t="str">
        <f t="shared" si="2"/>
        <v/>
      </c>
      <c r="G75" t="str">
        <f>""</f>
        <v/>
      </c>
      <c r="H75" t="s">
        <v>199</v>
      </c>
      <c r="I75" t="str">
        <f>""</f>
        <v/>
      </c>
    </row>
    <row r="76" spans="5:9" x14ac:dyDescent="0.25">
      <c r="E76">
        <v>68</v>
      </c>
      <c r="F76" s="35" t="str">
        <f t="shared" si="2"/>
        <v/>
      </c>
      <c r="G76" t="str">
        <f>""</f>
        <v/>
      </c>
      <c r="H76" t="s">
        <v>200</v>
      </c>
      <c r="I76" t="str">
        <f>""</f>
        <v/>
      </c>
    </row>
    <row r="77" spans="5:9" x14ac:dyDescent="0.25">
      <c r="E77">
        <v>69</v>
      </c>
      <c r="F77" s="35" t="str">
        <f t="shared" si="2"/>
        <v/>
      </c>
      <c r="G77" t="str">
        <f>""</f>
        <v/>
      </c>
      <c r="H77" t="s">
        <v>201</v>
      </c>
      <c r="I77" t="str">
        <f>""</f>
        <v/>
      </c>
    </row>
    <row r="78" spans="5:9" x14ac:dyDescent="0.25">
      <c r="E78">
        <v>70</v>
      </c>
      <c r="F78" s="35" t="str">
        <f t="shared" si="2"/>
        <v/>
      </c>
      <c r="G78" t="str">
        <f>""</f>
        <v/>
      </c>
      <c r="H78" t="s">
        <v>202</v>
      </c>
      <c r="I78" t="str">
        <f>""</f>
        <v/>
      </c>
    </row>
    <row r="79" spans="5:9" x14ac:dyDescent="0.25">
      <c r="E79">
        <v>71</v>
      </c>
      <c r="F79" s="35" t="str">
        <f t="shared" si="2"/>
        <v/>
      </c>
      <c r="G79" t="str">
        <f>""</f>
        <v/>
      </c>
      <c r="H79" t="s">
        <v>203</v>
      </c>
      <c r="I79" t="str">
        <f>""</f>
        <v/>
      </c>
    </row>
    <row r="80" spans="5:9" x14ac:dyDescent="0.25">
      <c r="E80">
        <v>72</v>
      </c>
      <c r="F80" s="35" t="str">
        <f t="shared" si="2"/>
        <v/>
      </c>
      <c r="G80" t="str">
        <f>""</f>
        <v/>
      </c>
      <c r="H80" t="s">
        <v>204</v>
      </c>
      <c r="I80" t="str">
        <f>""</f>
        <v/>
      </c>
    </row>
    <row r="81" spans="5:9" x14ac:dyDescent="0.25">
      <c r="E81">
        <v>73</v>
      </c>
      <c r="F81" s="35" t="str">
        <f t="shared" si="2"/>
        <v/>
      </c>
      <c r="G81" t="str">
        <f>""</f>
        <v/>
      </c>
      <c r="H81" t="s">
        <v>205</v>
      </c>
      <c r="I81" t="str">
        <f>""</f>
        <v/>
      </c>
    </row>
    <row r="82" spans="5:9" x14ac:dyDescent="0.25">
      <c r="E82">
        <v>74</v>
      </c>
      <c r="F82" s="35" t="str">
        <f t="shared" si="2"/>
        <v/>
      </c>
      <c r="G82" t="str">
        <f>""</f>
        <v/>
      </c>
      <c r="H82" t="s">
        <v>206</v>
      </c>
      <c r="I82" t="str">
        <f>""</f>
        <v/>
      </c>
    </row>
    <row r="83" spans="5:9" x14ac:dyDescent="0.25">
      <c r="E83">
        <v>75</v>
      </c>
      <c r="F83" s="35" t="str">
        <f t="shared" si="2"/>
        <v/>
      </c>
      <c r="G83" t="str">
        <f>""</f>
        <v/>
      </c>
      <c r="H83" t="s">
        <v>207</v>
      </c>
      <c r="I83" t="str">
        <f>""</f>
        <v/>
      </c>
    </row>
    <row r="84" spans="5:9" x14ac:dyDescent="0.25">
      <c r="E84">
        <v>76</v>
      </c>
      <c r="F84" s="35" t="str">
        <f t="shared" si="2"/>
        <v/>
      </c>
      <c r="G84" t="str">
        <f>""</f>
        <v/>
      </c>
      <c r="H84" t="s">
        <v>342</v>
      </c>
      <c r="I84" t="str">
        <f>""</f>
        <v/>
      </c>
    </row>
    <row r="85" spans="5:9" x14ac:dyDescent="0.25">
      <c r="E85">
        <v>77</v>
      </c>
      <c r="F85" s="35" t="str">
        <f t="shared" si="2"/>
        <v/>
      </c>
      <c r="G85" t="str">
        <f>""</f>
        <v/>
      </c>
      <c r="H85" t="s">
        <v>343</v>
      </c>
      <c r="I85" t="str">
        <f>""</f>
        <v/>
      </c>
    </row>
    <row r="86" spans="5:9" x14ac:dyDescent="0.25">
      <c r="E86">
        <v>78</v>
      </c>
      <c r="F86" s="35" t="str">
        <f t="shared" si="2"/>
        <v/>
      </c>
      <c r="G86" t="str">
        <f>""</f>
        <v/>
      </c>
      <c r="H86" t="s">
        <v>344</v>
      </c>
      <c r="I86" t="str">
        <f>""</f>
        <v/>
      </c>
    </row>
    <row r="87" spans="5:9" x14ac:dyDescent="0.25">
      <c r="E87">
        <v>79</v>
      </c>
      <c r="F87" s="35" t="str">
        <f t="shared" si="2"/>
        <v/>
      </c>
      <c r="G87" t="str">
        <f>""</f>
        <v/>
      </c>
      <c r="H87" t="s">
        <v>345</v>
      </c>
      <c r="I87" t="str">
        <f>""</f>
        <v/>
      </c>
    </row>
    <row r="88" spans="5:9" x14ac:dyDescent="0.25">
      <c r="E88">
        <v>80</v>
      </c>
      <c r="F88" s="35" t="str">
        <f t="shared" si="2"/>
        <v/>
      </c>
      <c r="G88" t="str">
        <f>""</f>
        <v/>
      </c>
      <c r="H88" t="s">
        <v>346</v>
      </c>
      <c r="I88" t="str">
        <f>""</f>
        <v/>
      </c>
    </row>
    <row r="89" spans="5:9" x14ac:dyDescent="0.25">
      <c r="E89">
        <v>81</v>
      </c>
      <c r="F89" s="35" t="str">
        <f t="shared" si="2"/>
        <v/>
      </c>
      <c r="G89" t="str">
        <f>""</f>
        <v/>
      </c>
      <c r="H89" t="s">
        <v>347</v>
      </c>
      <c r="I89" t="str">
        <f>""</f>
        <v/>
      </c>
    </row>
    <row r="90" spans="5:9" x14ac:dyDescent="0.25">
      <c r="E90">
        <v>82</v>
      </c>
      <c r="F90" s="35" t="str">
        <f t="shared" si="2"/>
        <v/>
      </c>
      <c r="G90" t="str">
        <f>""</f>
        <v/>
      </c>
      <c r="H90" t="s">
        <v>348</v>
      </c>
      <c r="I90" t="str">
        <f>""</f>
        <v/>
      </c>
    </row>
    <row r="91" spans="5:9" x14ac:dyDescent="0.25">
      <c r="E91">
        <v>83</v>
      </c>
      <c r="F91" s="35" t="str">
        <f t="shared" si="2"/>
        <v/>
      </c>
      <c r="G91" t="str">
        <f>""</f>
        <v/>
      </c>
      <c r="H91" t="s">
        <v>349</v>
      </c>
      <c r="I91" t="str">
        <f>""</f>
        <v/>
      </c>
    </row>
    <row r="92" spans="5:9" x14ac:dyDescent="0.25">
      <c r="E92">
        <v>84</v>
      </c>
      <c r="F92" s="35" t="str">
        <f t="shared" si="2"/>
        <v/>
      </c>
      <c r="G92" t="str">
        <f>""</f>
        <v/>
      </c>
      <c r="H92" t="s">
        <v>350</v>
      </c>
      <c r="I92" t="str">
        <f>""</f>
        <v/>
      </c>
    </row>
    <row r="93" spans="5:9" x14ac:dyDescent="0.25">
      <c r="E93">
        <v>85</v>
      </c>
      <c r="F93" s="35" t="str">
        <f t="shared" si="2"/>
        <v/>
      </c>
      <c r="G93" t="str">
        <f>""</f>
        <v/>
      </c>
      <c r="H93" t="s">
        <v>351</v>
      </c>
      <c r="I93" t="str">
        <f>""</f>
        <v/>
      </c>
    </row>
    <row r="94" spans="5:9" x14ac:dyDescent="0.25">
      <c r="E94">
        <v>86</v>
      </c>
      <c r="F94" s="35" t="str">
        <f t="shared" si="2"/>
        <v/>
      </c>
      <c r="G94" t="str">
        <f>""</f>
        <v/>
      </c>
      <c r="H94" t="s">
        <v>352</v>
      </c>
      <c r="I94" t="str">
        <f>""</f>
        <v/>
      </c>
    </row>
    <row r="95" spans="5:9" x14ac:dyDescent="0.25">
      <c r="E95">
        <v>87</v>
      </c>
      <c r="F95" s="35" t="str">
        <f t="shared" si="2"/>
        <v/>
      </c>
      <c r="G95" t="str">
        <f>""</f>
        <v/>
      </c>
      <c r="H95" t="s">
        <v>353</v>
      </c>
      <c r="I95" t="str">
        <f>""</f>
        <v/>
      </c>
    </row>
    <row r="96" spans="5:9" x14ac:dyDescent="0.25">
      <c r="E96">
        <v>88</v>
      </c>
      <c r="F96" s="35" t="str">
        <f t="shared" si="2"/>
        <v/>
      </c>
      <c r="G96" t="str">
        <f>""</f>
        <v/>
      </c>
      <c r="H96" t="s">
        <v>354</v>
      </c>
      <c r="I96" t="str">
        <f>""</f>
        <v/>
      </c>
    </row>
    <row r="97" spans="5:9" x14ac:dyDescent="0.25">
      <c r="E97">
        <v>89</v>
      </c>
      <c r="F97" s="35" t="str">
        <f t="shared" si="2"/>
        <v/>
      </c>
      <c r="G97" t="str">
        <f>""</f>
        <v/>
      </c>
      <c r="H97" t="s">
        <v>355</v>
      </c>
      <c r="I97" t="str">
        <f>""</f>
        <v/>
      </c>
    </row>
    <row r="98" spans="5:9" x14ac:dyDescent="0.25">
      <c r="E98">
        <v>90</v>
      </c>
      <c r="F98" s="35" t="str">
        <f t="shared" si="2"/>
        <v/>
      </c>
      <c r="G98" t="str">
        <f>""</f>
        <v/>
      </c>
      <c r="H98" t="s">
        <v>356</v>
      </c>
      <c r="I98" t="str">
        <f>""</f>
        <v/>
      </c>
    </row>
    <row r="99" spans="5:9" x14ac:dyDescent="0.25">
      <c r="E99">
        <v>91</v>
      </c>
      <c r="F99" s="35" t="str">
        <f t="shared" si="2"/>
        <v/>
      </c>
      <c r="G99" t="str">
        <f>""</f>
        <v/>
      </c>
      <c r="H99" t="s">
        <v>357</v>
      </c>
      <c r="I99" t="str">
        <f>""</f>
        <v/>
      </c>
    </row>
    <row r="100" spans="5:9" x14ac:dyDescent="0.25">
      <c r="E100">
        <v>92</v>
      </c>
      <c r="F100" s="35" t="str">
        <f t="shared" si="2"/>
        <v/>
      </c>
      <c r="G100" t="str">
        <f>""</f>
        <v/>
      </c>
      <c r="H100" t="s">
        <v>358</v>
      </c>
      <c r="I100" t="str">
        <f>""</f>
        <v/>
      </c>
    </row>
    <row r="101" spans="5:9" x14ac:dyDescent="0.25">
      <c r="E101">
        <v>93</v>
      </c>
      <c r="F101" s="35" t="str">
        <f t="shared" si="2"/>
        <v/>
      </c>
      <c r="G101" t="str">
        <f>""</f>
        <v/>
      </c>
      <c r="H101" t="s">
        <v>359</v>
      </c>
      <c r="I101" t="str">
        <f>""</f>
        <v/>
      </c>
    </row>
    <row r="102" spans="5:9" x14ac:dyDescent="0.25">
      <c r="E102">
        <v>94</v>
      </c>
      <c r="F102" s="35" t="str">
        <f t="shared" si="2"/>
        <v/>
      </c>
      <c r="G102" t="str">
        <f>""</f>
        <v/>
      </c>
      <c r="H102" t="s">
        <v>360</v>
      </c>
      <c r="I102" t="str">
        <f>""</f>
        <v/>
      </c>
    </row>
    <row r="103" spans="5:9" x14ac:dyDescent="0.25">
      <c r="E103">
        <v>95</v>
      </c>
      <c r="F103" s="35" t="str">
        <f t="shared" si="2"/>
        <v/>
      </c>
      <c r="G103" t="str">
        <f>""</f>
        <v/>
      </c>
      <c r="H103" t="s">
        <v>361</v>
      </c>
      <c r="I103" t="str">
        <f>""</f>
        <v/>
      </c>
    </row>
    <row r="104" spans="5:9" x14ac:dyDescent="0.25">
      <c r="E104">
        <v>96</v>
      </c>
      <c r="F104" s="35" t="str">
        <f t="shared" si="2"/>
        <v/>
      </c>
      <c r="G104" t="str">
        <f>""</f>
        <v/>
      </c>
      <c r="H104" t="s">
        <v>362</v>
      </c>
      <c r="I104" t="str">
        <f>""</f>
        <v/>
      </c>
    </row>
    <row r="105" spans="5:9" x14ac:dyDescent="0.25">
      <c r="E105">
        <v>97</v>
      </c>
      <c r="F105" s="35" t="str">
        <f t="shared" si="2"/>
        <v/>
      </c>
      <c r="G105" t="str">
        <f>""</f>
        <v/>
      </c>
      <c r="H105" t="s">
        <v>363</v>
      </c>
      <c r="I105" t="str">
        <f>""</f>
        <v/>
      </c>
    </row>
    <row r="106" spans="5:9" x14ac:dyDescent="0.25">
      <c r="E106">
        <v>98</v>
      </c>
      <c r="F106" s="35" t="str">
        <f t="shared" si="2"/>
        <v/>
      </c>
      <c r="G106" t="str">
        <f>""</f>
        <v/>
      </c>
      <c r="H106" t="s">
        <v>364</v>
      </c>
      <c r="I106" t="str">
        <f>""</f>
        <v/>
      </c>
    </row>
    <row r="107" spans="5:9" x14ac:dyDescent="0.25">
      <c r="E107">
        <v>99</v>
      </c>
      <c r="F107" s="35" t="str">
        <f t="shared" si="2"/>
        <v/>
      </c>
      <c r="G107" t="str">
        <f>""</f>
        <v/>
      </c>
      <c r="H107" t="s">
        <v>365</v>
      </c>
      <c r="I107" t="str">
        <f>""</f>
        <v/>
      </c>
    </row>
    <row r="108" spans="5:9" x14ac:dyDescent="0.25">
      <c r="E108">
        <v>100</v>
      </c>
      <c r="F108" s="35" t="str">
        <f t="shared" si="2"/>
        <v/>
      </c>
      <c r="G108" t="str">
        <f>""</f>
        <v/>
      </c>
      <c r="H108" t="s">
        <v>366</v>
      </c>
      <c r="I108" t="str">
        <f>""</f>
        <v/>
      </c>
    </row>
    <row r="109" spans="5:9" x14ac:dyDescent="0.25">
      <c r="E109">
        <v>101</v>
      </c>
      <c r="F109" s="35" t="str">
        <f t="shared" si="2"/>
        <v/>
      </c>
      <c r="G109" t="str">
        <f>""</f>
        <v/>
      </c>
      <c r="H109" t="s">
        <v>367</v>
      </c>
      <c r="I109" t="str">
        <f>""</f>
        <v/>
      </c>
    </row>
    <row r="110" spans="5:9" x14ac:dyDescent="0.25">
      <c r="E110">
        <v>102</v>
      </c>
      <c r="F110" s="35" t="str">
        <f t="shared" si="2"/>
        <v/>
      </c>
      <c r="G110" t="str">
        <f>""</f>
        <v/>
      </c>
      <c r="H110" t="s">
        <v>368</v>
      </c>
      <c r="I110" t="str">
        <f>""</f>
        <v/>
      </c>
    </row>
    <row r="111" spans="5:9" x14ac:dyDescent="0.25">
      <c r="E111">
        <v>103</v>
      </c>
      <c r="F111" s="35" t="str">
        <f t="shared" si="2"/>
        <v/>
      </c>
      <c r="G111" t="str">
        <f>""</f>
        <v/>
      </c>
      <c r="H111" t="s">
        <v>369</v>
      </c>
      <c r="I111" t="str">
        <f>""</f>
        <v/>
      </c>
    </row>
    <row r="112" spans="5:9" x14ac:dyDescent="0.25">
      <c r="E112">
        <v>104</v>
      </c>
      <c r="F112" s="35" t="str">
        <f t="shared" si="2"/>
        <v/>
      </c>
      <c r="G112" t="str">
        <f>""</f>
        <v/>
      </c>
      <c r="H112" t="s">
        <v>370</v>
      </c>
      <c r="I112" t="str">
        <f>""</f>
        <v/>
      </c>
    </row>
  </sheetData>
  <sheetProtection algorithmName="SHA-512" hashValue="Z0AzkntRSc4ePt2lTvlAxVnW0Gav+CpmtuA43uJBerlO0/TD3tU3l7BPp4UkgLSdnR4ewpIX9eSjth4AKripsQ==" saltValue="pLYxY5p1APlMpZczYdydv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BE288"/>
  <sheetViews>
    <sheetView topLeftCell="A7" zoomScaleNormal="100" workbookViewId="0">
      <selection activeCell="F41" sqref="F41"/>
    </sheetView>
  </sheetViews>
  <sheetFormatPr defaultColWidth="5.7109375" defaultRowHeight="12.75" x14ac:dyDescent="0.2"/>
  <cols>
    <col min="1" max="38" width="5.7109375" style="50"/>
    <col min="39" max="39" width="7.28515625" style="50" bestFit="1" customWidth="1"/>
    <col min="40" max="16384" width="5.7109375" style="50"/>
  </cols>
  <sheetData>
    <row r="2" spans="1:57" x14ac:dyDescent="0.2">
      <c r="A2" s="48"/>
      <c r="B2" s="48"/>
      <c r="C2" s="48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</row>
    <row r="3" spans="1:57" x14ac:dyDescent="0.2">
      <c r="A3" s="51"/>
      <c r="B3" s="52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4"/>
    </row>
    <row r="4" spans="1:57" x14ac:dyDescent="0.2">
      <c r="A4" s="51"/>
      <c r="B4" s="52" t="s">
        <v>33</v>
      </c>
      <c r="C4" s="53"/>
      <c r="D4" s="53"/>
      <c r="E4" s="53"/>
      <c r="F4" s="53"/>
      <c r="G4" s="53"/>
      <c r="H4" s="53"/>
      <c r="I4" s="90" t="str">
        <f>"0x"&amp;BIN2HEX(CONCATENATE(C9,D9,E9,F9,G9,H9,I9,J9),2)&amp;BIN2HEX(CONCATENATE(K9,L9,M9,N9,O9,P9,Q9,R9),2)&amp;BIN2HEX(CONCATENATE(S9,T9,U9,V9,W9,X9,Y9,Z9),2)&amp;BIN2HEX(CONCATENATE(AA9,AB9,AC9,AD9,AE9,AF9,AG9,AH9),2)&amp;"_"&amp;BIN2HEX(CONCATENATE(C13,D13,E13,F13,G13,H13,I13,J13),2)&amp;BIN2HEX(CONCATENATE(K13,L13,M13,N13,O13,P13,Q13,R13),2)&amp;BIN2HEX(CONCATENATE(S13,T13,U13,V13,W13,X13,Y13,Z13),2)&amp;BIN2HEX(CONCATENATE(AA13,AB13,AC13,AD13,AE13,AF13,AG13,AH13),2)</f>
        <v>0x00000000_01000000</v>
      </c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4"/>
    </row>
    <row r="5" spans="1:57" ht="13.5" thickBot="1" x14ac:dyDescent="0.25">
      <c r="A5" s="51"/>
      <c r="B5" s="53"/>
      <c r="C5" s="7">
        <v>0</v>
      </c>
      <c r="D5" s="7">
        <v>1</v>
      </c>
      <c r="E5" s="7">
        <v>2</v>
      </c>
      <c r="F5" s="7">
        <v>3</v>
      </c>
      <c r="G5" s="7">
        <v>4</v>
      </c>
      <c r="H5" s="7">
        <v>5</v>
      </c>
      <c r="I5" s="7">
        <v>6</v>
      </c>
      <c r="J5" s="7">
        <v>7</v>
      </c>
      <c r="K5" s="7">
        <v>8</v>
      </c>
      <c r="L5" s="7">
        <v>9</v>
      </c>
      <c r="M5" s="7">
        <v>10</v>
      </c>
      <c r="N5" s="7">
        <v>11</v>
      </c>
      <c r="O5" s="7">
        <v>12</v>
      </c>
      <c r="P5" s="7">
        <v>13</v>
      </c>
      <c r="Q5" s="7">
        <v>14</v>
      </c>
      <c r="R5" s="7">
        <v>15</v>
      </c>
      <c r="S5" s="7">
        <v>16</v>
      </c>
      <c r="T5" s="7">
        <v>17</v>
      </c>
      <c r="U5" s="7">
        <v>18</v>
      </c>
      <c r="V5" s="7">
        <v>19</v>
      </c>
      <c r="W5" s="7">
        <v>20</v>
      </c>
      <c r="X5" s="7">
        <v>21</v>
      </c>
      <c r="Y5" s="7">
        <v>22</v>
      </c>
      <c r="Z5" s="7">
        <v>23</v>
      </c>
      <c r="AA5" s="7">
        <v>24</v>
      </c>
      <c r="AB5" s="7">
        <v>25</v>
      </c>
      <c r="AC5" s="7">
        <v>26</v>
      </c>
      <c r="AD5" s="7">
        <v>27</v>
      </c>
      <c r="AE5" s="7">
        <v>28</v>
      </c>
      <c r="AF5" s="7">
        <v>29</v>
      </c>
      <c r="AG5" s="7">
        <v>30</v>
      </c>
      <c r="AH5" s="7">
        <v>31</v>
      </c>
      <c r="AI5" s="54"/>
    </row>
    <row r="6" spans="1:57" x14ac:dyDescent="0.2">
      <c r="A6" s="51"/>
      <c r="B6" s="53" t="s">
        <v>31</v>
      </c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6"/>
      <c r="AI6" s="54"/>
    </row>
    <row r="7" spans="1:57" x14ac:dyDescent="0.2">
      <c r="A7" s="51"/>
      <c r="B7" s="53" t="s">
        <v>32</v>
      </c>
      <c r="C7" s="97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9"/>
      <c r="AI7" s="54"/>
    </row>
    <row r="8" spans="1:57" x14ac:dyDescent="0.2">
      <c r="A8" s="51"/>
      <c r="B8" s="53" t="s">
        <v>11</v>
      </c>
      <c r="C8" s="100">
        <v>0</v>
      </c>
      <c r="D8" s="101">
        <v>0</v>
      </c>
      <c r="E8" s="101">
        <v>0</v>
      </c>
      <c r="F8" s="101">
        <v>0</v>
      </c>
      <c r="G8" s="101">
        <v>0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  <c r="AB8" s="101">
        <v>0</v>
      </c>
      <c r="AC8" s="101">
        <v>0</v>
      </c>
      <c r="AD8" s="101">
        <v>0</v>
      </c>
      <c r="AE8" s="101">
        <v>0</v>
      </c>
      <c r="AF8" s="101">
        <v>0</v>
      </c>
      <c r="AG8" s="101">
        <v>0</v>
      </c>
      <c r="AH8" s="102">
        <v>0</v>
      </c>
      <c r="AI8" s="54"/>
      <c r="AK8" s="59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</row>
    <row r="9" spans="1:57" ht="15.75" customHeight="1" thickBot="1" x14ac:dyDescent="0.25">
      <c r="A9" s="51"/>
      <c r="B9" s="53" t="s">
        <v>12</v>
      </c>
      <c r="C9" s="103">
        <v>0</v>
      </c>
      <c r="D9" s="104">
        <v>0</v>
      </c>
      <c r="E9" s="104">
        <v>0</v>
      </c>
      <c r="F9" s="104">
        <v>0</v>
      </c>
      <c r="G9" s="104">
        <v>0</v>
      </c>
      <c r="H9" s="104">
        <v>0</v>
      </c>
      <c r="I9" s="104">
        <v>0</v>
      </c>
      <c r="J9" s="104">
        <v>0</v>
      </c>
      <c r="K9" s="104">
        <v>0</v>
      </c>
      <c r="L9" s="104">
        <v>0</v>
      </c>
      <c r="M9" s="104">
        <v>0</v>
      </c>
      <c r="N9" s="104">
        <v>0</v>
      </c>
      <c r="O9" s="104">
        <v>0</v>
      </c>
      <c r="P9" s="104">
        <v>0</v>
      </c>
      <c r="Q9" s="104">
        <v>0</v>
      </c>
      <c r="R9" s="104">
        <v>0</v>
      </c>
      <c r="S9" s="104">
        <v>0</v>
      </c>
      <c r="T9" s="104">
        <v>0</v>
      </c>
      <c r="U9" s="104">
        <v>0</v>
      </c>
      <c r="V9" s="104">
        <v>0</v>
      </c>
      <c r="W9" s="104">
        <v>0</v>
      </c>
      <c r="X9" s="104">
        <v>0</v>
      </c>
      <c r="Y9" s="104">
        <v>0</v>
      </c>
      <c r="Z9" s="104">
        <v>0</v>
      </c>
      <c r="AA9" s="104">
        <v>0</v>
      </c>
      <c r="AB9" s="104">
        <v>0</v>
      </c>
      <c r="AC9" s="104">
        <v>0</v>
      </c>
      <c r="AD9" s="104">
        <v>0</v>
      </c>
      <c r="AE9" s="104">
        <v>0</v>
      </c>
      <c r="AF9" s="104">
        <v>0</v>
      </c>
      <c r="AG9" s="104">
        <v>0</v>
      </c>
      <c r="AH9" s="105">
        <v>0</v>
      </c>
      <c r="AI9" s="54"/>
      <c r="AK9" s="59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4"/>
      <c r="BD9" s="64"/>
      <c r="BE9" s="64"/>
    </row>
    <row r="10" spans="1:57" ht="15" customHeight="1" x14ac:dyDescent="0.2">
      <c r="A10" s="51"/>
      <c r="B10" s="53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54"/>
      <c r="AK10" s="59"/>
      <c r="AL10" s="65"/>
      <c r="AM10" s="65"/>
      <c r="AN10" s="65"/>
      <c r="AO10" s="63"/>
      <c r="AP10" s="63"/>
      <c r="AQ10" s="63"/>
      <c r="AR10" s="65"/>
      <c r="AS10" s="66"/>
      <c r="AT10" s="66"/>
      <c r="AU10" s="66"/>
      <c r="AV10" s="66"/>
      <c r="AW10" s="65"/>
      <c r="AX10" s="66"/>
      <c r="AY10" s="66"/>
      <c r="AZ10" s="66"/>
      <c r="BA10" s="66"/>
      <c r="BB10" s="65"/>
      <c r="BC10" s="65"/>
      <c r="BD10" s="65"/>
      <c r="BE10" s="65"/>
    </row>
    <row r="11" spans="1:57" ht="15.75" customHeight="1" thickBot="1" x14ac:dyDescent="0.25">
      <c r="A11" s="51"/>
      <c r="B11" s="53"/>
      <c r="C11" s="7">
        <v>32</v>
      </c>
      <c r="D11" s="7">
        <v>33</v>
      </c>
      <c r="E11" s="7">
        <v>34</v>
      </c>
      <c r="F11" s="7">
        <v>35</v>
      </c>
      <c r="G11" s="7">
        <v>36</v>
      </c>
      <c r="H11" s="7">
        <v>37</v>
      </c>
      <c r="I11" s="7">
        <v>38</v>
      </c>
      <c r="J11" s="7">
        <v>39</v>
      </c>
      <c r="K11" s="7">
        <v>40</v>
      </c>
      <c r="L11" s="7">
        <v>41</v>
      </c>
      <c r="M11" s="7">
        <v>42</v>
      </c>
      <c r="N11" s="7">
        <v>43</v>
      </c>
      <c r="O11" s="7">
        <v>44</v>
      </c>
      <c r="P11" s="7">
        <v>45</v>
      </c>
      <c r="Q11" s="7">
        <v>46</v>
      </c>
      <c r="R11" s="7">
        <v>47</v>
      </c>
      <c r="S11" s="7">
        <v>48</v>
      </c>
      <c r="T11" s="7">
        <v>49</v>
      </c>
      <c r="U11" s="7">
        <v>50</v>
      </c>
      <c r="V11" s="7">
        <v>51</v>
      </c>
      <c r="W11" s="7">
        <v>52</v>
      </c>
      <c r="X11" s="7">
        <v>53</v>
      </c>
      <c r="Y11" s="7">
        <v>54</v>
      </c>
      <c r="Z11" s="7">
        <v>55</v>
      </c>
      <c r="AA11" s="7">
        <v>56</v>
      </c>
      <c r="AB11" s="7">
        <v>57</v>
      </c>
      <c r="AC11" s="7">
        <v>58</v>
      </c>
      <c r="AD11" s="7">
        <v>59</v>
      </c>
      <c r="AE11" s="7">
        <v>60</v>
      </c>
      <c r="AF11" s="7">
        <v>61</v>
      </c>
      <c r="AG11" s="7">
        <v>62</v>
      </c>
      <c r="AH11" s="7">
        <v>63</v>
      </c>
      <c r="AI11" s="54"/>
      <c r="AK11" s="59"/>
      <c r="AL11" s="65"/>
      <c r="AM11" s="65"/>
      <c r="AN11" s="65"/>
      <c r="AO11" s="63"/>
      <c r="AP11" s="63"/>
      <c r="AQ11" s="63"/>
      <c r="AR11" s="65"/>
      <c r="AS11" s="66"/>
      <c r="AT11" s="66"/>
      <c r="AU11" s="66"/>
      <c r="AV11" s="66"/>
      <c r="AW11" s="65"/>
      <c r="AX11" s="60"/>
      <c r="AY11" s="65"/>
      <c r="AZ11" s="65"/>
      <c r="BA11" s="65"/>
      <c r="BB11" s="65"/>
      <c r="BC11" s="65"/>
      <c r="BD11" s="65"/>
      <c r="BE11" s="65"/>
    </row>
    <row r="12" spans="1:57" ht="13.5" thickBot="1" x14ac:dyDescent="0.25">
      <c r="A12" s="51"/>
      <c r="B12" s="53"/>
      <c r="C12" s="106" t="s">
        <v>13</v>
      </c>
      <c r="D12" s="107" t="s">
        <v>14</v>
      </c>
      <c r="E12" s="107" t="s">
        <v>15</v>
      </c>
      <c r="F12" s="107" t="s">
        <v>16</v>
      </c>
      <c r="G12" s="107" t="s">
        <v>17</v>
      </c>
      <c r="H12" s="107" t="s">
        <v>18</v>
      </c>
      <c r="I12" s="107" t="s">
        <v>19</v>
      </c>
      <c r="J12" s="107" t="s">
        <v>20</v>
      </c>
      <c r="K12" s="107" t="s">
        <v>21</v>
      </c>
      <c r="L12" s="107" t="s">
        <v>22</v>
      </c>
      <c r="M12" s="107" t="s">
        <v>23</v>
      </c>
      <c r="N12" s="107" t="s">
        <v>24</v>
      </c>
      <c r="O12" s="107" t="s">
        <v>25</v>
      </c>
      <c r="P12" s="107" t="s">
        <v>26</v>
      </c>
      <c r="Q12" s="107" t="s">
        <v>27</v>
      </c>
      <c r="R12" s="325" t="s">
        <v>30</v>
      </c>
      <c r="S12" s="325"/>
      <c r="T12" s="325"/>
      <c r="U12" s="325"/>
      <c r="V12" s="325"/>
      <c r="W12" s="325"/>
      <c r="X12" s="325"/>
      <c r="Y12" s="325"/>
      <c r="Z12" s="325"/>
      <c r="AA12" s="325"/>
      <c r="AB12" s="325"/>
      <c r="AC12" s="325"/>
      <c r="AD12" s="325"/>
      <c r="AE12" s="325"/>
      <c r="AF12" s="325"/>
      <c r="AG12" s="108" t="s">
        <v>28</v>
      </c>
      <c r="AH12" s="109" t="s">
        <v>29</v>
      </c>
      <c r="AI12" s="54"/>
      <c r="AK12" s="59"/>
      <c r="AL12" s="59"/>
      <c r="AM12" s="59"/>
      <c r="AN12" s="59"/>
      <c r="AO12" s="63"/>
      <c r="AP12" s="63"/>
      <c r="AQ12" s="63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</row>
    <row r="13" spans="1:57" ht="13.5" thickBot="1" x14ac:dyDescent="0.25">
      <c r="A13" s="51"/>
      <c r="B13" s="53"/>
      <c r="C13" s="110">
        <v>0</v>
      </c>
      <c r="D13" s="111">
        <v>0</v>
      </c>
      <c r="E13" s="111">
        <v>0</v>
      </c>
      <c r="F13" s="111">
        <v>0</v>
      </c>
      <c r="G13" s="111">
        <v>0</v>
      </c>
      <c r="H13" s="111">
        <v>0</v>
      </c>
      <c r="I13" s="111">
        <v>0</v>
      </c>
      <c r="J13" s="111">
        <v>1</v>
      </c>
      <c r="K13" s="111">
        <v>0</v>
      </c>
      <c r="L13" s="111">
        <v>0</v>
      </c>
      <c r="M13" s="111">
        <v>0</v>
      </c>
      <c r="N13" s="111">
        <v>0</v>
      </c>
      <c r="O13" s="111">
        <v>0</v>
      </c>
      <c r="P13" s="111">
        <v>0</v>
      </c>
      <c r="Q13" s="111">
        <v>0</v>
      </c>
      <c r="R13" s="111">
        <v>0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f>IF(ISODD(SUM(C9:AH9)),1,0)</f>
        <v>0</v>
      </c>
      <c r="AH13" s="112">
        <v>0</v>
      </c>
      <c r="AI13" s="54"/>
      <c r="AK13" s="59"/>
      <c r="AL13" s="60"/>
      <c r="AM13" s="60"/>
      <c r="AN13" s="60"/>
      <c r="AO13" s="63"/>
      <c r="AP13" s="63"/>
      <c r="AQ13" s="63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</row>
    <row r="14" spans="1:57" x14ac:dyDescent="0.2">
      <c r="A14" s="51"/>
      <c r="B14" s="52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4"/>
      <c r="AK14" s="59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0"/>
      <c r="AY14" s="65"/>
      <c r="AZ14" s="65"/>
      <c r="BA14" s="66"/>
      <c r="BB14" s="66"/>
      <c r="BC14" s="66"/>
      <c r="BD14" s="66"/>
      <c r="BE14" s="66"/>
    </row>
    <row r="15" spans="1:57" x14ac:dyDescent="0.2">
      <c r="A15" s="51"/>
      <c r="B15" s="326" t="s">
        <v>43</v>
      </c>
      <c r="C15" s="326"/>
      <c r="D15" s="326"/>
      <c r="E15" s="119"/>
      <c r="F15" s="323" t="s">
        <v>44</v>
      </c>
      <c r="G15" s="323"/>
      <c r="H15" s="323"/>
      <c r="I15" s="119"/>
      <c r="J15" s="324" t="s">
        <v>45</v>
      </c>
      <c r="K15" s="324"/>
      <c r="L15" s="324"/>
      <c r="M15" s="324"/>
      <c r="N15" s="119"/>
      <c r="O15" s="321" t="s">
        <v>46</v>
      </c>
      <c r="P15" s="321"/>
      <c r="Q15" s="321"/>
      <c r="R15" s="321"/>
      <c r="S15" s="119"/>
      <c r="T15" s="92" t="s">
        <v>49</v>
      </c>
      <c r="U15" s="93" t="s">
        <v>48</v>
      </c>
      <c r="V15" s="70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54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60"/>
      <c r="AY15" s="59"/>
      <c r="AZ15" s="59"/>
      <c r="BA15" s="59"/>
      <c r="BB15" s="59"/>
      <c r="BC15" s="59"/>
      <c r="BD15" s="59"/>
      <c r="BE15" s="59"/>
    </row>
    <row r="16" spans="1:57" ht="14.25" customHeight="1" x14ac:dyDescent="0.25">
      <c r="A16" s="51"/>
      <c r="B16" s="317" t="str">
        <f>"0x"&amp;DEC2HEX(Sheet3!$I$4,8)</f>
        <v>0x00400320</v>
      </c>
      <c r="C16" s="317"/>
      <c r="D16" s="317"/>
      <c r="E16" s="12"/>
      <c r="F16" s="319" t="str">
        <f>"0x"&amp;BIN2HEX(CONCATENATE(C9,D9,E9,F9,G9,H9,I9,J9),2)&amp;BIN2HEX(CONCATENATE(K9,L9,M9,N9,O9,P9,Q9,R9),2)&amp;BIN2HEX(CONCATENATE(S9,T9,U9,V9,W9,X9,Y9,Z9),2)&amp;BIN2HEX(CONCATENATE(AA9,AB9,AC9,AD9,AE9,AF9,AG9,AH9),2)</f>
        <v>0x00000000</v>
      </c>
      <c r="G16" s="319"/>
      <c r="H16" s="319"/>
      <c r="I16" s="12"/>
      <c r="J16" s="319" t="str">
        <f>"0b"&amp;C13&amp;D13&amp;E13&amp;F13&amp;G13&amp;H13&amp;I13&amp;J13&amp;K13&amp;L13&amp;M13&amp;N13&amp;O13&amp;P13&amp;Q13</f>
        <v>0b000000010000000</v>
      </c>
      <c r="K16" s="319"/>
      <c r="L16" s="319"/>
      <c r="M16" s="319"/>
      <c r="N16" s="12"/>
      <c r="O16" s="319" t="str">
        <f>"0b"&amp;DEC2BIN(((1+AF13+AE13*2+AD13*4+AC13*8+AB13*16+AA13*32+Z13*64+Y13*128+X13*256+W13*512+V13*1024+U13*2048+T13*4096+S13*2^13+R13*2^14)/512),6)&amp;DEC2BIN(MOD((1+AF13+AE13*2+AD13*4+AC13*8+AB13*16+AA13*32+Z13*64+Y13*128+X13*256+W13*512+V13*1024+U13*2048+T13*4096+S13*2^13+R13*2^14),512),9)</f>
        <v>0b000000000000001</v>
      </c>
      <c r="P16" s="319"/>
      <c r="Q16" s="319"/>
      <c r="R16" s="319"/>
      <c r="S16" s="12"/>
      <c r="T16" s="120">
        <f>IF(ISODD(SUM(C9:AH9)),1,0)</f>
        <v>0</v>
      </c>
      <c r="U16" s="120">
        <f>AH13</f>
        <v>0</v>
      </c>
      <c r="V16" s="70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54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60"/>
      <c r="AY16" s="59"/>
      <c r="AZ16" s="59"/>
      <c r="BA16" s="59"/>
      <c r="BB16" s="59"/>
      <c r="BC16" s="59"/>
      <c r="BD16" s="59"/>
      <c r="BE16" s="59"/>
    </row>
    <row r="17" spans="1:35" ht="14.25" customHeight="1" x14ac:dyDescent="0.25">
      <c r="A17" s="51"/>
      <c r="B17" s="317" t="str">
        <f>"0x"&amp;DEC2HEX(Sheet3!$I$4+8,8)</f>
        <v>0x00400328</v>
      </c>
      <c r="C17" s="317"/>
      <c r="D17" s="317"/>
      <c r="E17" s="15"/>
      <c r="F17" s="319" t="str">
        <f>"0x"&amp;DEC2HEX(2^32-1-HEX2DEC(BIN2HEX(CONCATENATE(C9,D9,E9,F9,G9,H9,I9,J9),2)&amp;BIN2HEX(CONCATENATE(K9,L9,M9,N9,O9,P9,Q9,R9),2)&amp;BIN2HEX(CONCATENATE(S9,T9,U9,V9,W9,X9,Y9,Z9),2)&amp;BIN2HEX(CONCATENATE(AA9,AB9,AC9,AD9,AE9,AF9,AG9,AH9),2)),8)</f>
        <v>0xFFFFFFFF</v>
      </c>
      <c r="G17" s="319"/>
      <c r="H17" s="319"/>
      <c r="I17" s="15"/>
      <c r="J17" s="317" t="str">
        <f>"0b"&amp;C13&amp;D13&amp;E13&amp;F13&amp;G13&amp;H13&amp;I13&amp;J13&amp;K13&amp;L13&amp;M13&amp;N13&amp;O13&amp;P13&amp;Q13</f>
        <v>0b000000010000000</v>
      </c>
      <c r="K17" s="317"/>
      <c r="L17" s="317"/>
      <c r="M17" s="317"/>
      <c r="N17" s="15"/>
      <c r="O17" s="317" t="str">
        <f>"0b"&amp;DEC2BIN(((2+AF13+AE13*2+AD13*4+AC13*8+AB13*16+AA13*32+Z13*64+Y13*128+X13*256+W13*512+V13*1024+U13*2048+T13*4096+S13*2^13+R13*2^14)/512),6)&amp;DEC2BIN(MOD((2+AF13+AE13*2+AD13*4+AC13*8+AB13*16+AA13*32+Z13*64+Y13*128+X13*256+W13*512+V13*1024+U13*2048+T13*4096+S13*2^13+R13*2^14),512),9)</f>
        <v>0b000000000000010</v>
      </c>
      <c r="P17" s="317"/>
      <c r="Q17" s="317"/>
      <c r="R17" s="317"/>
      <c r="S17" s="15"/>
      <c r="T17" s="120">
        <f>IF(ISODD(16-SUM(C9:AH9)),1,0)</f>
        <v>0</v>
      </c>
      <c r="U17" s="15">
        <f>AH13</f>
        <v>0</v>
      </c>
      <c r="V17" s="70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4"/>
    </row>
    <row r="18" spans="1:35" ht="14.25" customHeight="1" x14ac:dyDescent="0.25">
      <c r="A18" s="51"/>
      <c r="B18" s="317" t="str">
        <f>"0x"&amp;DEC2HEX(Sheet3!$I$4+16,8)</f>
        <v>0x00400330</v>
      </c>
      <c r="C18" s="317"/>
      <c r="D18" s="317"/>
      <c r="E18" s="15"/>
      <c r="F18" s="319" t="str">
        <f>"0x"&amp;BIN2HEX(CONCATENATE(AH9,C9,D9,E9,F9,G9,H9,I9),2)&amp;BIN2HEX(CONCATENATE(J9,K9,L9,M9,N9,O9,P9,Q9),2)&amp;BIN2HEX(CONCATENATE(R9,S9,T9,U9,V9,W9,X9,Y9),2)&amp;BIN2HEX(CONCATENATE(Z9,AA9,AB9,AC9,AD9,AE9,AF9,AG9),2)</f>
        <v>0x00000000</v>
      </c>
      <c r="G18" s="319"/>
      <c r="H18" s="319"/>
      <c r="I18" s="15"/>
      <c r="J18" s="317" t="str">
        <f>"0b"&amp;C13&amp;D13&amp;E13&amp;F13&amp;G13&amp;H13&amp;I13&amp;J13&amp;K13&amp;L13&amp;M13&amp;N13&amp;O13&amp;P13&amp;Q13</f>
        <v>0b000000010000000</v>
      </c>
      <c r="K18" s="317"/>
      <c r="L18" s="317"/>
      <c r="M18" s="317"/>
      <c r="N18" s="15"/>
      <c r="O18" s="317" t="str">
        <f>"0b"&amp;DEC2BIN(((4+AF13+AE13*2+AD13*4+AC13*8+AB13*16+AA13*32+Z13*64+Y13*128+X13*256+W13*512+V13*1024+U13*2048+T13*4096+S13*2^13+R13*2^14)/512),6)&amp;DEC2BIN(MOD((4+AF13+AE13*2+AD13*4+AC13*8+AB13*16+AA13*32+Z13*64+Y13*128+X13*256+W13*512+V13*1024+U13*2048+T13*4096+S13*2^13+R13*2^14),512),9)</f>
        <v>0b000000000000100</v>
      </c>
      <c r="P18" s="317"/>
      <c r="Q18" s="317"/>
      <c r="R18" s="317"/>
      <c r="S18" s="15"/>
      <c r="T18" s="120">
        <f>IF(ISODD(SUM(C9:AH9)),1,0)</f>
        <v>0</v>
      </c>
      <c r="U18" s="15">
        <f>AH13</f>
        <v>0</v>
      </c>
      <c r="V18" s="70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4"/>
    </row>
    <row r="19" spans="1:35" x14ac:dyDescent="0.2">
      <c r="A19" s="51"/>
      <c r="B19" s="53"/>
      <c r="C19" s="53"/>
      <c r="D19" s="53"/>
      <c r="E19" s="53"/>
      <c r="F19" s="72"/>
      <c r="G19" s="72"/>
      <c r="H19" s="72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4"/>
    </row>
    <row r="20" spans="1:35" x14ac:dyDescent="0.2">
      <c r="A20" s="51"/>
      <c r="B20" s="320" t="s">
        <v>47</v>
      </c>
      <c r="C20" s="320"/>
      <c r="D20" s="320"/>
      <c r="E20" s="68"/>
      <c r="F20" s="70"/>
      <c r="G20" s="70"/>
      <c r="H20" s="70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54"/>
    </row>
    <row r="21" spans="1:35" ht="15" customHeight="1" x14ac:dyDescent="0.25">
      <c r="A21" s="51"/>
      <c r="B21" s="317" t="str">
        <f>"0x"&amp;DEC2HEX(Sheet3!$I$4,8)</f>
        <v>0x00400320</v>
      </c>
      <c r="C21" s="317"/>
      <c r="D21" s="317"/>
      <c r="E21" s="15"/>
      <c r="F21" s="322" t="str">
        <f>F16&amp;BIN2HEX(MID(J16,3,8),2)&amp;BIN2HEX(RIGHT(J16,7)&amp;MID(O16,3,1),2)&amp;BIN2HEX(MID(O16,4,8),2)&amp;BIN2HEX(RIGHT(O16,6)&amp;T16&amp;U16,2)</f>
        <v>0x0000000001000004</v>
      </c>
      <c r="G21" s="322"/>
      <c r="H21" s="322"/>
      <c r="I21" s="322"/>
      <c r="J21" s="70"/>
      <c r="K21" s="70"/>
      <c r="L21" s="70"/>
      <c r="M21" s="70"/>
      <c r="N21" s="70"/>
      <c r="O21" s="70"/>
      <c r="P21" s="55"/>
      <c r="Q21" s="55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53"/>
      <c r="AH21" s="53"/>
      <c r="AI21" s="54"/>
    </row>
    <row r="22" spans="1:35" ht="15" customHeight="1" x14ac:dyDescent="0.25">
      <c r="A22" s="51"/>
      <c r="B22" s="317" t="str">
        <f>"0x"&amp;DEC2HEX(Sheet3!$I$4+8,8)</f>
        <v>0x00400328</v>
      </c>
      <c r="C22" s="317"/>
      <c r="D22" s="317"/>
      <c r="E22" s="128"/>
      <c r="F22" s="322" t="str">
        <f t="shared" ref="F22:F23" si="0">F17&amp;BIN2HEX(MID(J17,3,8),2)&amp;BIN2HEX(RIGHT(J17,7)&amp;MID(O17,3,1),2)&amp;BIN2HEX(MID(O17,4,8),2)&amp;BIN2HEX(RIGHT(O17,6)&amp;T17&amp;U17,2)</f>
        <v>0xFFFFFFFF01000008</v>
      </c>
      <c r="G22" s="322"/>
      <c r="H22" s="322"/>
      <c r="I22" s="322"/>
      <c r="J22" s="70"/>
      <c r="K22" s="70"/>
      <c r="L22" s="70"/>
      <c r="M22" s="70"/>
      <c r="N22" s="70"/>
      <c r="O22" s="70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4"/>
    </row>
    <row r="23" spans="1:35" ht="15" customHeight="1" x14ac:dyDescent="0.25">
      <c r="A23" s="51"/>
      <c r="B23" s="317" t="str">
        <f>"0x"&amp;DEC2HEX(Sheet3!$I$4+16,8)</f>
        <v>0x00400330</v>
      </c>
      <c r="C23" s="317"/>
      <c r="D23" s="317"/>
      <c r="E23" s="128"/>
      <c r="F23" s="322" t="str">
        <f t="shared" si="0"/>
        <v>0x0000000001000010</v>
      </c>
      <c r="G23" s="322"/>
      <c r="H23" s="322"/>
      <c r="I23" s="322"/>
      <c r="J23" s="70"/>
      <c r="K23" s="70"/>
      <c r="L23" s="70"/>
      <c r="M23" s="70"/>
      <c r="N23" s="70"/>
      <c r="O23" s="70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4"/>
    </row>
    <row r="24" spans="1:35" x14ac:dyDescent="0.2">
      <c r="A24" s="73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5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6"/>
    </row>
    <row r="25" spans="1:35" x14ac:dyDescent="0.2">
      <c r="A25" s="77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9"/>
    </row>
    <row r="26" spans="1:35" x14ac:dyDescent="0.2">
      <c r="A26" s="51"/>
      <c r="B26" s="52" t="s">
        <v>34</v>
      </c>
      <c r="C26" s="53"/>
      <c r="D26" s="53"/>
      <c r="E26" s="53"/>
      <c r="F26" s="53"/>
      <c r="G26" s="53"/>
      <c r="H26" s="53"/>
      <c r="I26" s="90" t="str">
        <f>"0x"&amp;BIN2HEX(CONCATENATE(C31,D31,E31,F31,G31,H31,I31,J31),2)&amp;BIN2HEX(CONCATENATE(K31,L31,M31,N31,O31,P31,Q31,R31),2)&amp;BIN2HEX(CONCATENATE(S31,T31,U31,V31,W31,X31,Y31,Z31),2)&amp;BIN2HEX(CONCATENATE(AA31,AB31,AC31,AD31,AE31,AF31,AG31,AH31),2)&amp;"_"&amp;BIN2HEX(CONCATENATE(C35,D35,E35,F35,G35,H35,I35,J35),2)&amp;BIN2HEX(CONCATENATE(K35,L35,M35,N35,O35,P35,Q35,R35),2)&amp;BIN2HEX(CONCATENATE(S35,T35,U35,V35,W35,X35,Y35,Z35),2)&amp;BIN2HEX(CONCATENATE(AA35,AB35,AC35,AD35,AE35,AF35,AG35,AH35),2)</f>
        <v>0x00082ECF_01000000</v>
      </c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4"/>
    </row>
    <row r="27" spans="1:35" ht="13.5" thickBot="1" x14ac:dyDescent="0.25">
      <c r="A27" s="51"/>
      <c r="B27" s="53"/>
      <c r="C27" s="7">
        <v>0</v>
      </c>
      <c r="D27" s="7">
        <v>1</v>
      </c>
      <c r="E27" s="7">
        <v>2</v>
      </c>
      <c r="F27" s="7">
        <v>3</v>
      </c>
      <c r="G27" s="7">
        <v>4</v>
      </c>
      <c r="H27" s="7">
        <v>5</v>
      </c>
      <c r="I27" s="7">
        <v>6</v>
      </c>
      <c r="J27" s="7">
        <v>7</v>
      </c>
      <c r="K27" s="7">
        <v>8</v>
      </c>
      <c r="L27" s="7">
        <v>9</v>
      </c>
      <c r="M27" s="7">
        <v>10</v>
      </c>
      <c r="N27" s="7">
        <v>11</v>
      </c>
      <c r="O27" s="7">
        <v>12</v>
      </c>
      <c r="P27" s="7">
        <v>13</v>
      </c>
      <c r="Q27" s="7">
        <v>14</v>
      </c>
      <c r="R27" s="7">
        <v>15</v>
      </c>
      <c r="S27" s="7">
        <v>16</v>
      </c>
      <c r="T27" s="7">
        <v>17</v>
      </c>
      <c r="U27" s="7">
        <v>18</v>
      </c>
      <c r="V27" s="7">
        <v>19</v>
      </c>
      <c r="W27" s="7">
        <v>20</v>
      </c>
      <c r="X27" s="7">
        <v>21</v>
      </c>
      <c r="Y27" s="7">
        <v>22</v>
      </c>
      <c r="Z27" s="7">
        <v>23</v>
      </c>
      <c r="AA27" s="7">
        <v>24</v>
      </c>
      <c r="AB27" s="7">
        <v>25</v>
      </c>
      <c r="AC27" s="7">
        <v>26</v>
      </c>
      <c r="AD27" s="7">
        <v>27</v>
      </c>
      <c r="AE27" s="7">
        <v>28</v>
      </c>
      <c r="AF27" s="7">
        <v>29</v>
      </c>
      <c r="AG27" s="7">
        <v>30</v>
      </c>
      <c r="AH27" s="7">
        <v>31</v>
      </c>
      <c r="AI27" s="54"/>
    </row>
    <row r="28" spans="1:35" ht="25.5" customHeight="1" x14ac:dyDescent="0.2">
      <c r="A28" s="51"/>
      <c r="B28" s="53" t="s">
        <v>31</v>
      </c>
      <c r="C28" s="299">
        <v>0</v>
      </c>
      <c r="D28" s="300"/>
      <c r="E28" s="300"/>
      <c r="F28" s="300"/>
      <c r="G28" s="300"/>
      <c r="H28" s="300"/>
      <c r="I28" s="300"/>
      <c r="J28" s="300"/>
      <c r="K28" s="300"/>
      <c r="L28" s="300"/>
      <c r="M28" s="300"/>
      <c r="N28" s="300"/>
      <c r="O28" s="95">
        <v>1</v>
      </c>
      <c r="P28" s="303" t="s">
        <v>327</v>
      </c>
      <c r="Q28" s="303" t="s">
        <v>326</v>
      </c>
      <c r="R28" s="303" t="s">
        <v>325</v>
      </c>
      <c r="S28" s="95">
        <v>0</v>
      </c>
      <c r="T28" s="307" t="s">
        <v>328</v>
      </c>
      <c r="U28" s="95">
        <v>1</v>
      </c>
      <c r="V28" s="95">
        <v>0</v>
      </c>
      <c r="W28" s="303" t="s">
        <v>324</v>
      </c>
      <c r="X28" s="303" t="s">
        <v>323</v>
      </c>
      <c r="Y28" s="95">
        <v>1</v>
      </c>
      <c r="Z28" s="303" t="s">
        <v>329</v>
      </c>
      <c r="AA28" s="303" t="s">
        <v>330</v>
      </c>
      <c r="AB28" s="303" t="s">
        <v>331</v>
      </c>
      <c r="AC28" s="95">
        <v>0</v>
      </c>
      <c r="AD28" s="95">
        <v>0</v>
      </c>
      <c r="AE28" s="303" t="s">
        <v>332</v>
      </c>
      <c r="AF28" s="95">
        <v>1</v>
      </c>
      <c r="AG28" s="95">
        <v>1</v>
      </c>
      <c r="AH28" s="305" t="s">
        <v>333</v>
      </c>
      <c r="AI28" s="54"/>
    </row>
    <row r="29" spans="1:35" ht="20.25" customHeight="1" x14ac:dyDescent="0.2">
      <c r="A29" s="51"/>
      <c r="B29" s="53" t="s">
        <v>32</v>
      </c>
      <c r="C29" s="301"/>
      <c r="D29" s="302"/>
      <c r="E29" s="302"/>
      <c r="F29" s="302"/>
      <c r="G29" s="302"/>
      <c r="H29" s="302"/>
      <c r="I29" s="302"/>
      <c r="J29" s="302"/>
      <c r="K29" s="302"/>
      <c r="L29" s="302"/>
      <c r="M29" s="302"/>
      <c r="N29" s="302"/>
      <c r="O29" s="231"/>
      <c r="P29" s="304"/>
      <c r="Q29" s="304"/>
      <c r="R29" s="304"/>
      <c r="S29" s="210"/>
      <c r="T29" s="308"/>
      <c r="U29" s="210"/>
      <c r="V29" s="210"/>
      <c r="W29" s="304"/>
      <c r="X29" s="304"/>
      <c r="Y29" s="210"/>
      <c r="Z29" s="304"/>
      <c r="AA29" s="304"/>
      <c r="AB29" s="304"/>
      <c r="AC29" s="210"/>
      <c r="AD29" s="210"/>
      <c r="AE29" s="304"/>
      <c r="AF29" s="210"/>
      <c r="AG29" s="210"/>
      <c r="AH29" s="306"/>
      <c r="AI29" s="54"/>
    </row>
    <row r="30" spans="1:35" x14ac:dyDescent="0.2">
      <c r="A30" s="51"/>
      <c r="B30" s="53" t="s">
        <v>11</v>
      </c>
      <c r="C30" s="100">
        <v>0</v>
      </c>
      <c r="D30" s="101">
        <v>0</v>
      </c>
      <c r="E30" s="101">
        <v>0</v>
      </c>
      <c r="F30" s="101">
        <v>0</v>
      </c>
      <c r="G30" s="101">
        <v>0</v>
      </c>
      <c r="H30" s="101">
        <v>0</v>
      </c>
      <c r="I30" s="101">
        <v>0</v>
      </c>
      <c r="J30" s="101">
        <v>0</v>
      </c>
      <c r="K30" s="101">
        <v>0</v>
      </c>
      <c r="L30" s="101">
        <v>0</v>
      </c>
      <c r="M30" s="101">
        <v>0</v>
      </c>
      <c r="N30" s="101">
        <v>0</v>
      </c>
      <c r="O30" s="101">
        <v>1</v>
      </c>
      <c r="P30" s="101">
        <v>0</v>
      </c>
      <c r="Q30" s="101">
        <v>0</v>
      </c>
      <c r="R30" s="101">
        <v>0</v>
      </c>
      <c r="S30" s="101">
        <v>0</v>
      </c>
      <c r="T30" s="101">
        <v>0</v>
      </c>
      <c r="U30" s="101">
        <v>1</v>
      </c>
      <c r="V30" s="101">
        <v>0</v>
      </c>
      <c r="W30" s="101">
        <v>1</v>
      </c>
      <c r="X30" s="101">
        <v>1</v>
      </c>
      <c r="Y30" s="101">
        <v>1</v>
      </c>
      <c r="Z30" s="101">
        <v>0</v>
      </c>
      <c r="AA30" s="101">
        <v>1</v>
      </c>
      <c r="AB30" s="101">
        <v>1</v>
      </c>
      <c r="AC30" s="101">
        <v>0</v>
      </c>
      <c r="AD30" s="101">
        <v>0</v>
      </c>
      <c r="AE30" s="101">
        <v>1</v>
      </c>
      <c r="AF30" s="101">
        <v>1</v>
      </c>
      <c r="AG30" s="101">
        <v>1</v>
      </c>
      <c r="AH30" s="102">
        <v>1</v>
      </c>
      <c r="AI30" s="54"/>
    </row>
    <row r="31" spans="1:35" ht="13.5" thickBot="1" x14ac:dyDescent="0.25">
      <c r="A31" s="51"/>
      <c r="B31" s="53" t="s">
        <v>12</v>
      </c>
      <c r="C31" s="103">
        <v>0</v>
      </c>
      <c r="D31" s="104">
        <v>0</v>
      </c>
      <c r="E31" s="104">
        <v>0</v>
      </c>
      <c r="F31" s="104">
        <v>0</v>
      </c>
      <c r="G31" s="104">
        <v>0</v>
      </c>
      <c r="H31" s="104">
        <v>0</v>
      </c>
      <c r="I31" s="104">
        <v>0</v>
      </c>
      <c r="J31" s="104">
        <v>0</v>
      </c>
      <c r="K31" s="104">
        <v>0</v>
      </c>
      <c r="L31" s="104">
        <v>0</v>
      </c>
      <c r="M31" s="104">
        <v>0</v>
      </c>
      <c r="N31" s="104">
        <v>0</v>
      </c>
      <c r="O31" s="104">
        <v>1</v>
      </c>
      <c r="P31" s="122">
        <v>0</v>
      </c>
      <c r="Q31" s="122">
        <v>0</v>
      </c>
      <c r="R31" s="122">
        <v>0</v>
      </c>
      <c r="S31" s="104">
        <v>0</v>
      </c>
      <c r="T31" s="122">
        <v>0</v>
      </c>
      <c r="U31" s="104">
        <v>1</v>
      </c>
      <c r="V31" s="104">
        <v>0</v>
      </c>
      <c r="W31" s="122">
        <v>1</v>
      </c>
      <c r="X31" s="122">
        <v>1</v>
      </c>
      <c r="Y31" s="104">
        <v>1</v>
      </c>
      <c r="Z31" s="122">
        <v>0</v>
      </c>
      <c r="AA31" s="122">
        <v>1</v>
      </c>
      <c r="AB31" s="122">
        <v>1</v>
      </c>
      <c r="AC31" s="104">
        <v>0</v>
      </c>
      <c r="AD31" s="104">
        <v>0</v>
      </c>
      <c r="AE31" s="122">
        <v>1</v>
      </c>
      <c r="AF31" s="104">
        <v>1</v>
      </c>
      <c r="AG31" s="104">
        <v>1</v>
      </c>
      <c r="AH31" s="123">
        <v>1</v>
      </c>
      <c r="AI31" s="54"/>
    </row>
    <row r="32" spans="1:35" x14ac:dyDescent="0.2">
      <c r="A32" s="51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4"/>
    </row>
    <row r="33" spans="1:38" ht="13.5" thickBot="1" x14ac:dyDescent="0.25">
      <c r="A33" s="51"/>
      <c r="B33" s="53"/>
      <c r="C33" s="7">
        <v>32</v>
      </c>
      <c r="D33" s="7">
        <v>33</v>
      </c>
      <c r="E33" s="7">
        <v>34</v>
      </c>
      <c r="F33" s="7">
        <v>35</v>
      </c>
      <c r="G33" s="7">
        <v>36</v>
      </c>
      <c r="H33" s="7">
        <v>37</v>
      </c>
      <c r="I33" s="7">
        <v>38</v>
      </c>
      <c r="J33" s="7">
        <v>39</v>
      </c>
      <c r="K33" s="7">
        <v>40</v>
      </c>
      <c r="L33" s="7">
        <v>41</v>
      </c>
      <c r="M33" s="7">
        <v>42</v>
      </c>
      <c r="N33" s="7">
        <v>43</v>
      </c>
      <c r="O33" s="7">
        <v>44</v>
      </c>
      <c r="P33" s="7">
        <v>45</v>
      </c>
      <c r="Q33" s="7">
        <v>46</v>
      </c>
      <c r="R33" s="7">
        <v>47</v>
      </c>
      <c r="S33" s="7">
        <v>48</v>
      </c>
      <c r="T33" s="7">
        <v>49</v>
      </c>
      <c r="U33" s="7">
        <v>50</v>
      </c>
      <c r="V33" s="7">
        <v>51</v>
      </c>
      <c r="W33" s="7">
        <v>52</v>
      </c>
      <c r="X33" s="7">
        <v>53</v>
      </c>
      <c r="Y33" s="7">
        <v>54</v>
      </c>
      <c r="Z33" s="7">
        <v>55</v>
      </c>
      <c r="AA33" s="7">
        <v>56</v>
      </c>
      <c r="AB33" s="7">
        <v>57</v>
      </c>
      <c r="AC33" s="7">
        <v>58</v>
      </c>
      <c r="AD33" s="7">
        <v>59</v>
      </c>
      <c r="AE33" s="7">
        <v>60</v>
      </c>
      <c r="AF33" s="7">
        <v>61</v>
      </c>
      <c r="AG33" s="7">
        <v>62</v>
      </c>
      <c r="AH33" s="7">
        <v>63</v>
      </c>
      <c r="AI33" s="54"/>
    </row>
    <row r="34" spans="1:38" ht="13.5" thickBot="1" x14ac:dyDescent="0.25">
      <c r="A34" s="51"/>
      <c r="B34" s="53"/>
      <c r="C34" s="80" t="s">
        <v>13</v>
      </c>
      <c r="D34" s="81" t="s">
        <v>14</v>
      </c>
      <c r="E34" s="81" t="s">
        <v>15</v>
      </c>
      <c r="F34" s="81" t="s">
        <v>16</v>
      </c>
      <c r="G34" s="81" t="s">
        <v>17</v>
      </c>
      <c r="H34" s="81" t="s">
        <v>18</v>
      </c>
      <c r="I34" s="81" t="s">
        <v>19</v>
      </c>
      <c r="J34" s="81" t="s">
        <v>20</v>
      </c>
      <c r="K34" s="81" t="s">
        <v>21</v>
      </c>
      <c r="L34" s="81" t="s">
        <v>22</v>
      </c>
      <c r="M34" s="81" t="s">
        <v>23</v>
      </c>
      <c r="N34" s="81" t="s">
        <v>24</v>
      </c>
      <c r="O34" s="81" t="s">
        <v>25</v>
      </c>
      <c r="P34" s="81" t="s">
        <v>26</v>
      </c>
      <c r="Q34" s="81" t="s">
        <v>27</v>
      </c>
      <c r="R34" s="327" t="s">
        <v>30</v>
      </c>
      <c r="S34" s="327"/>
      <c r="T34" s="327"/>
      <c r="U34" s="327"/>
      <c r="V34" s="327"/>
      <c r="W34" s="327"/>
      <c r="X34" s="327"/>
      <c r="Y34" s="327"/>
      <c r="Z34" s="327"/>
      <c r="AA34" s="327"/>
      <c r="AB34" s="327"/>
      <c r="AC34" s="327"/>
      <c r="AD34" s="327"/>
      <c r="AE34" s="327"/>
      <c r="AF34" s="327"/>
      <c r="AG34" s="67" t="s">
        <v>28</v>
      </c>
      <c r="AH34" s="82" t="s">
        <v>29</v>
      </c>
      <c r="AI34" s="54"/>
    </row>
    <row r="35" spans="1:38" ht="13.5" thickBot="1" x14ac:dyDescent="0.25">
      <c r="A35" s="51"/>
      <c r="B35" s="53"/>
      <c r="C35" s="83">
        <v>0</v>
      </c>
      <c r="D35" s="84">
        <v>0</v>
      </c>
      <c r="E35" s="84">
        <v>0</v>
      </c>
      <c r="F35" s="84">
        <v>0</v>
      </c>
      <c r="G35" s="84">
        <v>0</v>
      </c>
      <c r="H35" s="84">
        <v>0</v>
      </c>
      <c r="I35" s="84">
        <v>0</v>
      </c>
      <c r="J35" s="84">
        <v>1</v>
      </c>
      <c r="K35" s="84">
        <v>0</v>
      </c>
      <c r="L35" s="84">
        <v>0</v>
      </c>
      <c r="M35" s="84">
        <v>0</v>
      </c>
      <c r="N35" s="84">
        <v>0</v>
      </c>
      <c r="O35" s="84">
        <v>0</v>
      </c>
      <c r="P35" s="84">
        <v>0</v>
      </c>
      <c r="Q35" s="84">
        <v>0</v>
      </c>
      <c r="R35" s="84">
        <v>0</v>
      </c>
      <c r="S35" s="84">
        <v>0</v>
      </c>
      <c r="T35" s="84">
        <v>0</v>
      </c>
      <c r="U35" s="84">
        <v>0</v>
      </c>
      <c r="V35" s="84">
        <v>0</v>
      </c>
      <c r="W35" s="84">
        <v>0</v>
      </c>
      <c r="X35" s="84">
        <v>0</v>
      </c>
      <c r="Y35" s="84">
        <v>0</v>
      </c>
      <c r="Z35" s="84">
        <v>0</v>
      </c>
      <c r="AA35" s="84">
        <v>0</v>
      </c>
      <c r="AB35" s="84">
        <v>0</v>
      </c>
      <c r="AC35" s="84">
        <v>0</v>
      </c>
      <c r="AD35" s="84">
        <v>0</v>
      </c>
      <c r="AE35" s="84">
        <v>0</v>
      </c>
      <c r="AF35" s="84">
        <v>0</v>
      </c>
      <c r="AG35" s="84">
        <v>0</v>
      </c>
      <c r="AH35" s="85">
        <v>0</v>
      </c>
      <c r="AI35" s="54"/>
    </row>
    <row r="36" spans="1:38" x14ac:dyDescent="0.2">
      <c r="A36" s="5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4"/>
    </row>
    <row r="37" spans="1:38" x14ac:dyDescent="0.2">
      <c r="A37" s="51"/>
      <c r="B37" s="326" t="s">
        <v>43</v>
      </c>
      <c r="C37" s="326"/>
      <c r="D37" s="326"/>
      <c r="E37" s="91"/>
      <c r="F37" s="323" t="s">
        <v>44</v>
      </c>
      <c r="G37" s="323"/>
      <c r="H37" s="323"/>
      <c r="I37" s="91"/>
      <c r="J37" s="324" t="s">
        <v>45</v>
      </c>
      <c r="K37" s="324"/>
      <c r="L37" s="324"/>
      <c r="M37" s="324"/>
      <c r="N37" s="91"/>
      <c r="O37" s="321" t="s">
        <v>46</v>
      </c>
      <c r="P37" s="321"/>
      <c r="Q37" s="321"/>
      <c r="R37" s="321"/>
      <c r="S37" s="91"/>
      <c r="T37" s="92" t="s">
        <v>49</v>
      </c>
      <c r="U37" s="93" t="s">
        <v>48</v>
      </c>
      <c r="V37" s="68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4"/>
    </row>
    <row r="38" spans="1:38" ht="15" customHeight="1" x14ac:dyDescent="0.25">
      <c r="A38" s="51"/>
      <c r="B38" s="317" t="str">
        <f>"0x"&amp;DEC2HEX(Sheet3!$I$4,8)</f>
        <v>0x00400320</v>
      </c>
      <c r="C38" s="317"/>
      <c r="D38" s="317"/>
      <c r="E38" s="12"/>
      <c r="F38" s="319" t="str">
        <f>"0x"&amp;BIN2HEX(CONCATENATE(C31,D31,E31,F31,G31,H31,I31,J31),2)&amp;BIN2HEX(CONCATENATE(K31,L31,M31,N31,O31,P31,Q31,R31),2)&amp;BIN2HEX(CONCATENATE(S31,T31,U31,V31,W31,X31,Y31,Z31),2)&amp;BIN2HEX(CONCATENATE(AA31,AB31,AC31,AD31,AE31,AF31,AG31,AH31),2)</f>
        <v>0x00082ECF</v>
      </c>
      <c r="G38" s="319"/>
      <c r="H38" s="319"/>
      <c r="I38" s="12"/>
      <c r="J38" s="319" t="str">
        <f>"0b"&amp;C35&amp;D35&amp;E35&amp;F35&amp;G35&amp;H35&amp;I35&amp;J35&amp;K35&amp;L35&amp;M35&amp;N35&amp;O35&amp;P35&amp;Q35</f>
        <v>0b000000010000000</v>
      </c>
      <c r="K38" s="319"/>
      <c r="L38" s="319"/>
      <c r="M38" s="319"/>
      <c r="N38" s="12"/>
      <c r="O38" s="319" t="str">
        <f>"0b"&amp;DEC2BIN(((AF35+AE35*2+AD35*4+AC35*8+AB35*16+AA35*32+Z35*64+Y35*128+X35*256+W35*512+V35*1024+U35*2048+T35*4096+S35*2^13+R35*2^14)/512),6)&amp;DEC2BIN(MOD((AF35+AE35*2+AD35*4+AC35*8+AB35*16+AA35*32+Z35*64+Y35*128+X35*256+W35*512+V35*1024+U35*2048+T35*4096+S35*2^13+R35*2^14),512),9)</f>
        <v>0b000000000000000</v>
      </c>
      <c r="P38" s="319"/>
      <c r="Q38" s="319"/>
      <c r="R38" s="319"/>
      <c r="S38" s="12"/>
      <c r="T38" s="124">
        <v>0</v>
      </c>
      <c r="U38" s="124">
        <f>AH35</f>
        <v>0</v>
      </c>
      <c r="V38" s="71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4"/>
    </row>
    <row r="39" spans="1:38" ht="15" customHeight="1" x14ac:dyDescent="0.25">
      <c r="A39" s="51"/>
      <c r="B39" s="317" t="str">
        <f>"0x"&amp;DEC2HEX(Sheet3!$I$4+8,8)</f>
        <v>0x00400328</v>
      </c>
      <c r="C39" s="317"/>
      <c r="D39" s="317"/>
      <c r="E39" s="15"/>
      <c r="F39" s="319" t="str">
        <f>"0x"&amp;DEC2HEX(2^20-1-HEX2DEC(BIN2HEX(CONCATENATE(O31,P31,Q31,R31),2)&amp;BIN2HEX(CONCATENATE(S31,T31,U31,V31,W31,X31,Y31,Z31),2)&amp;BIN2HEX(CONCATENATE(AA31,AB31,AC31,AD31,AE31,AF31,AG31,AH31),2)),8)</f>
        <v>0x0007D130</v>
      </c>
      <c r="G39" s="319"/>
      <c r="H39" s="319"/>
      <c r="I39" s="15"/>
      <c r="J39" s="317" t="str">
        <f>"0b"&amp;C35&amp;D35&amp;E35&amp;F35&amp;G35&amp;H35&amp;I35&amp;J35&amp;K35&amp;L35&amp;M35&amp;N35&amp;O35&amp;P35&amp;Q35</f>
        <v>0b000000010000000</v>
      </c>
      <c r="K39" s="317"/>
      <c r="L39" s="317"/>
      <c r="M39" s="317"/>
      <c r="N39" s="15"/>
      <c r="O39" s="317" t="str">
        <f>"0b"&amp;DEC2BIN(((AF35+AE35*2+AD35*4+AC35*8+AB35*16+AA35*32+Z35*64+Y35*128+X35*256+W35*512+V35*1024+U35*2048+T35*4096+S35*2^13+R35*2^14)/512),6)&amp;DEC2BIN(MOD((AF35+AE35*2+AD35*4+AC35*8+AB35*16+AA35*32+Z35*64+Y35*128+X35*256+W35*512+V35*1024+U35*2048+T35*4096+S35*2^13+R35*2^14),512),9)</f>
        <v>0b000000000000000</v>
      </c>
      <c r="P39" s="317"/>
      <c r="Q39" s="317"/>
      <c r="R39" s="317"/>
      <c r="S39" s="15"/>
      <c r="T39" s="124">
        <v>0</v>
      </c>
      <c r="U39" s="15">
        <f>AH35</f>
        <v>0</v>
      </c>
      <c r="V39" s="55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4"/>
      <c r="AL39" s="50" t="s">
        <v>311</v>
      </c>
    </row>
    <row r="40" spans="1:38" ht="15" customHeight="1" x14ac:dyDescent="0.25">
      <c r="A40" s="51"/>
      <c r="B40" s="317" t="str">
        <f>"0x"&amp;DEC2HEX(Sheet3!$I$4+16,8)</f>
        <v>0x00400330</v>
      </c>
      <c r="C40" s="317"/>
      <c r="D40" s="317"/>
      <c r="E40" s="15"/>
      <c r="F40" s="319" t="str">
        <f>"0x00"&amp;BIN2HEX(CONCATENATE(AH31,O31,P31,Q31),2)&amp;BIN2HEX(CONCATENATE(R31,S31,T31,U31,V31,W31,X31,Y31),2)&amp;BIN2HEX(CONCATENATE(Z31,AA31,AB31,AC31,AD31,AE31,AF31,AG31),2)</f>
        <v>0x000C1767</v>
      </c>
      <c r="G40" s="319"/>
      <c r="H40" s="319"/>
      <c r="I40" s="15"/>
      <c r="J40" s="317" t="str">
        <f>"0b"&amp;C35&amp;D35&amp;E35&amp;F35&amp;G35&amp;H35&amp;I35&amp;J35&amp;K35&amp;L35&amp;M35&amp;N35&amp;O35&amp;P35&amp;Q35</f>
        <v>0b000000010000000</v>
      </c>
      <c r="K40" s="317"/>
      <c r="L40" s="317"/>
      <c r="M40" s="317"/>
      <c r="N40" s="15"/>
      <c r="O40" s="317" t="str">
        <f>"0b"&amp;DEC2BIN(((AF35+AE35*2+AD35*4+AC35*8+AB35*16+AA35*32+Z35*64+Y35*128+X35*256+W35*512+V35*1024+U35*2048+T35*4096+S35*2^13+R35*2^14)/512),6)&amp;DEC2BIN(MOD((AF35+AE35*2+AD35*4+AC35*8+AB35*16+AA35*32+Z35*64+Y35*128+X35*256+W35*512+V35*1024+U35*2048+T35*4096+S35*2^13+R35*2^14),512),9)</f>
        <v>0b000000000000000</v>
      </c>
      <c r="P40" s="317"/>
      <c r="Q40" s="317"/>
      <c r="R40" s="317"/>
      <c r="S40" s="15"/>
      <c r="T40" s="124">
        <v>0</v>
      </c>
      <c r="U40" s="15">
        <f>AH35</f>
        <v>0</v>
      </c>
      <c r="V40" s="55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4"/>
      <c r="AL40" s="50" t="s">
        <v>310</v>
      </c>
    </row>
    <row r="41" spans="1:38" x14ac:dyDescent="0.2">
      <c r="A41" s="51"/>
      <c r="B41" s="53"/>
      <c r="C41" s="53"/>
      <c r="D41" s="53"/>
      <c r="E41" s="53"/>
      <c r="F41" s="72"/>
      <c r="G41" s="72"/>
      <c r="H41" s="72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4"/>
    </row>
    <row r="42" spans="1:38" x14ac:dyDescent="0.2">
      <c r="A42" s="51"/>
      <c r="B42" s="320" t="s">
        <v>47</v>
      </c>
      <c r="C42" s="320"/>
      <c r="D42" s="320"/>
      <c r="E42" s="68"/>
      <c r="F42" s="70"/>
      <c r="G42" s="70"/>
      <c r="H42" s="70"/>
      <c r="I42" s="68"/>
      <c r="J42" s="68"/>
      <c r="K42" s="68"/>
      <c r="L42" s="68" t="s">
        <v>334</v>
      </c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4"/>
    </row>
    <row r="43" spans="1:38" ht="15" customHeight="1" x14ac:dyDescent="0.25">
      <c r="A43" s="51"/>
      <c r="B43" s="317" t="str">
        <f>"0x"&amp;DEC2HEX(Sheet3!$I$4,8)</f>
        <v>0x00400320</v>
      </c>
      <c r="C43" s="317"/>
      <c r="D43" s="317"/>
      <c r="E43" s="15"/>
      <c r="F43" s="322" t="str">
        <f>F38&amp;BIN2HEX(MID(J38,3,8),2)&amp;BIN2HEX(RIGHT(J38,7)&amp;MID(O38,3,1),2)&amp;BIN2HEX(MID(O38,4,8),2)&amp;BIN2HEX(RIGHT(O38,6)&amp;T38&amp;U38,2)</f>
        <v>0x00082ECF01000000</v>
      </c>
      <c r="G43" s="322"/>
      <c r="H43" s="322"/>
      <c r="I43" s="322"/>
      <c r="J43" s="70"/>
      <c r="K43" s="70"/>
      <c r="L43" s="70"/>
      <c r="M43" s="70"/>
      <c r="N43" s="70"/>
      <c r="O43" s="70"/>
      <c r="P43" s="55"/>
      <c r="Q43" s="55"/>
      <c r="R43" s="69"/>
      <c r="S43" s="69"/>
      <c r="T43" s="69"/>
      <c r="U43" s="69"/>
      <c r="V43" s="69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4"/>
    </row>
    <row r="44" spans="1:38" ht="15" customHeight="1" x14ac:dyDescent="0.25">
      <c r="A44" s="51"/>
      <c r="B44" s="317" t="str">
        <f>"0x"&amp;DEC2HEX(Sheet3!$I$4+8,8)</f>
        <v>0x00400328</v>
      </c>
      <c r="C44" s="317"/>
      <c r="D44" s="317"/>
      <c r="E44" s="128"/>
      <c r="F44" s="322" t="str">
        <f t="shared" ref="F44:F45" si="1">F39&amp;BIN2HEX(MID(J39,3,8),2)&amp;BIN2HEX(RIGHT(J39,7)&amp;MID(O39,3,1),2)&amp;BIN2HEX(MID(O39,4,8),2)&amp;BIN2HEX(RIGHT(O39,6)&amp;T39&amp;U39,2)</f>
        <v>0x0007D13001000000</v>
      </c>
      <c r="G44" s="322"/>
      <c r="H44" s="322"/>
      <c r="I44" s="322"/>
      <c r="J44" s="70"/>
      <c r="K44" s="70"/>
      <c r="L44" s="70"/>
      <c r="M44" s="70"/>
      <c r="N44" s="70"/>
      <c r="O44" s="70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4"/>
    </row>
    <row r="45" spans="1:38" ht="15" customHeight="1" x14ac:dyDescent="0.25">
      <c r="A45" s="51"/>
      <c r="B45" s="317" t="str">
        <f>"0x"&amp;DEC2HEX(Sheet3!$I$4+16,8)</f>
        <v>0x00400330</v>
      </c>
      <c r="C45" s="317"/>
      <c r="D45" s="317"/>
      <c r="E45" s="128"/>
      <c r="F45" s="322" t="str">
        <f t="shared" si="1"/>
        <v>0x000C176701000000</v>
      </c>
      <c r="G45" s="322"/>
      <c r="H45" s="322"/>
      <c r="I45" s="322"/>
      <c r="J45" s="70"/>
      <c r="K45" s="70"/>
      <c r="L45" s="70"/>
      <c r="M45" s="70"/>
      <c r="N45" s="70"/>
      <c r="O45" s="70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4"/>
    </row>
    <row r="46" spans="1:38" x14ac:dyDescent="0.2">
      <c r="A46" s="73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5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6"/>
    </row>
    <row r="47" spans="1:38" x14ac:dyDescent="0.2">
      <c r="A47" s="77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86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9"/>
    </row>
    <row r="48" spans="1:38" x14ac:dyDescent="0.2">
      <c r="A48" s="51"/>
      <c r="B48" s="52" t="s">
        <v>335</v>
      </c>
      <c r="C48" s="53"/>
      <c r="D48" s="53"/>
      <c r="E48" s="53"/>
      <c r="F48" s="53"/>
      <c r="G48" s="53"/>
      <c r="H48" s="53"/>
      <c r="I48" s="90" t="str">
        <f>"0x"&amp;BIN2HEX(CONCATENATE(C53,D53,E53,F53,G53,H53,I53,J53),2)&amp;BIN2HEX(CONCATENATE(K53,L53,M53,N53,O53,P53,Q53,R53),2)&amp;BIN2HEX(CONCATENATE(S53,T53,U53,V53,W53,X53,Y53,Z53),2)&amp;BIN2HEX(CONCATENATE(AA53,AB53,AC53,AD53,AE53,AF53,AG53,AH53),2)&amp;"_"&amp;BIN2HEX(CONCATENATE(C57,D57,E57,F57,G57,H57,I57,J57),2)&amp;BIN2HEX(CONCATENATE(K57,L57,M57,N57,O57,P57,Q57,R57),2)&amp;BIN2HEX(CONCATENATE(S57,T57,U57,V57,W57,X57,Y57,Z57),2)&amp;BIN2HEX(CONCATENATE(AA57,AB57,AC57,AD57,AE57,AF57,AG57,AH57),2)</f>
        <v>0x00003E80_10000280</v>
      </c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4"/>
    </row>
    <row r="49" spans="1:38" ht="13.5" thickBot="1" x14ac:dyDescent="0.25">
      <c r="A49" s="51"/>
      <c r="B49" s="53"/>
      <c r="C49" s="7">
        <v>0</v>
      </c>
      <c r="D49" s="7">
        <v>1</v>
      </c>
      <c r="E49" s="7">
        <v>2</v>
      </c>
      <c r="F49" s="7">
        <v>3</v>
      </c>
      <c r="G49" s="7">
        <v>4</v>
      </c>
      <c r="H49" s="7">
        <v>5</v>
      </c>
      <c r="I49" s="7">
        <v>6</v>
      </c>
      <c r="J49" s="7">
        <v>7</v>
      </c>
      <c r="K49" s="7">
        <v>8</v>
      </c>
      <c r="L49" s="7">
        <v>9</v>
      </c>
      <c r="M49" s="7">
        <v>10</v>
      </c>
      <c r="N49" s="7">
        <v>11</v>
      </c>
      <c r="O49" s="7">
        <v>12</v>
      </c>
      <c r="P49" s="7">
        <v>13</v>
      </c>
      <c r="Q49" s="7">
        <v>14</v>
      </c>
      <c r="R49" s="7">
        <v>15</v>
      </c>
      <c r="S49" s="7">
        <v>16</v>
      </c>
      <c r="T49" s="7">
        <v>17</v>
      </c>
      <c r="U49" s="7">
        <v>18</v>
      </c>
      <c r="V49" s="7">
        <v>19</v>
      </c>
      <c r="W49" s="7">
        <v>20</v>
      </c>
      <c r="X49" s="7">
        <v>21</v>
      </c>
      <c r="Y49" s="7">
        <v>22</v>
      </c>
      <c r="Z49" s="7">
        <v>23</v>
      </c>
      <c r="AA49" s="7">
        <v>24</v>
      </c>
      <c r="AB49" s="7">
        <v>25</v>
      </c>
      <c r="AC49" s="7">
        <v>26</v>
      </c>
      <c r="AD49" s="7">
        <v>27</v>
      </c>
      <c r="AE49" s="7">
        <v>28</v>
      </c>
      <c r="AF49" s="7">
        <v>29</v>
      </c>
      <c r="AG49" s="7">
        <v>30</v>
      </c>
      <c r="AH49" s="7">
        <v>31</v>
      </c>
      <c r="AI49" s="54"/>
    </row>
    <row r="50" spans="1:38" ht="20.25" customHeight="1" x14ac:dyDescent="0.2">
      <c r="A50" s="51"/>
      <c r="B50" s="53" t="s">
        <v>31</v>
      </c>
      <c r="C50" s="299">
        <v>0</v>
      </c>
      <c r="D50" s="315"/>
      <c r="E50" s="309" t="s">
        <v>336</v>
      </c>
      <c r="F50" s="310"/>
      <c r="G50" s="310"/>
      <c r="H50" s="310"/>
      <c r="I50" s="310"/>
      <c r="J50" s="310"/>
      <c r="K50" s="310"/>
      <c r="L50" s="310"/>
      <c r="M50" s="310"/>
      <c r="N50" s="310"/>
      <c r="O50" s="310"/>
      <c r="P50" s="310"/>
      <c r="Q50" s="310"/>
      <c r="R50" s="310"/>
      <c r="S50" s="310"/>
      <c r="T50" s="310"/>
      <c r="U50" s="310"/>
      <c r="V50" s="310"/>
      <c r="W50" s="310"/>
      <c r="X50" s="310"/>
      <c r="Y50" s="310"/>
      <c r="Z50" s="310"/>
      <c r="AA50" s="310"/>
      <c r="AB50" s="310"/>
      <c r="AC50" s="310"/>
      <c r="AD50" s="310"/>
      <c r="AE50" s="310"/>
      <c r="AF50" s="310"/>
      <c r="AG50" s="310"/>
      <c r="AH50" s="311"/>
      <c r="AI50" s="87"/>
    </row>
    <row r="51" spans="1:38" ht="21" customHeight="1" x14ac:dyDescent="0.2">
      <c r="A51" s="51"/>
      <c r="B51" s="53" t="s">
        <v>32</v>
      </c>
      <c r="C51" s="301"/>
      <c r="D51" s="316"/>
      <c r="E51" s="312"/>
      <c r="F51" s="313"/>
      <c r="G51" s="313"/>
      <c r="H51" s="313"/>
      <c r="I51" s="313"/>
      <c r="J51" s="313"/>
      <c r="K51" s="313"/>
      <c r="L51" s="313"/>
      <c r="M51" s="313"/>
      <c r="N51" s="313"/>
      <c r="O51" s="313"/>
      <c r="P51" s="313"/>
      <c r="Q51" s="313"/>
      <c r="R51" s="313"/>
      <c r="S51" s="313"/>
      <c r="T51" s="313"/>
      <c r="U51" s="313"/>
      <c r="V51" s="313"/>
      <c r="W51" s="313"/>
      <c r="X51" s="313"/>
      <c r="Y51" s="313"/>
      <c r="Z51" s="313"/>
      <c r="AA51" s="313"/>
      <c r="AB51" s="313"/>
      <c r="AC51" s="313"/>
      <c r="AD51" s="313"/>
      <c r="AE51" s="313"/>
      <c r="AF51" s="313"/>
      <c r="AG51" s="313"/>
      <c r="AH51" s="314"/>
      <c r="AI51" s="87"/>
    </row>
    <row r="52" spans="1:38" x14ac:dyDescent="0.2">
      <c r="A52" s="51"/>
      <c r="B52" s="53" t="s">
        <v>11</v>
      </c>
      <c r="C52" s="100">
        <v>0</v>
      </c>
      <c r="D52" s="101">
        <v>0</v>
      </c>
      <c r="E52" s="101">
        <v>0</v>
      </c>
      <c r="F52" s="101">
        <v>0</v>
      </c>
      <c r="G52" s="101">
        <v>0</v>
      </c>
      <c r="H52" s="101">
        <v>0</v>
      </c>
      <c r="I52" s="101">
        <v>0</v>
      </c>
      <c r="J52" s="101">
        <v>0</v>
      </c>
      <c r="K52" s="101">
        <v>0</v>
      </c>
      <c r="L52" s="101">
        <v>0</v>
      </c>
      <c r="M52" s="101">
        <v>0</v>
      </c>
      <c r="N52" s="101">
        <v>0</v>
      </c>
      <c r="O52" s="101">
        <v>0</v>
      </c>
      <c r="P52" s="101">
        <v>0</v>
      </c>
      <c r="Q52" s="101">
        <v>0</v>
      </c>
      <c r="R52" s="101">
        <v>0</v>
      </c>
      <c r="S52" s="101">
        <v>0</v>
      </c>
      <c r="T52" s="101">
        <v>0</v>
      </c>
      <c r="U52" s="101">
        <v>1</v>
      </c>
      <c r="V52" s="101">
        <v>1</v>
      </c>
      <c r="W52" s="101">
        <v>1</v>
      </c>
      <c r="X52" s="101">
        <v>1</v>
      </c>
      <c r="Y52" s="101">
        <v>1</v>
      </c>
      <c r="Z52" s="101">
        <v>0</v>
      </c>
      <c r="AA52" s="101">
        <v>1</v>
      </c>
      <c r="AB52" s="101">
        <v>0</v>
      </c>
      <c r="AC52" s="101">
        <v>0</v>
      </c>
      <c r="AD52" s="101">
        <v>0</v>
      </c>
      <c r="AE52" s="101">
        <v>0</v>
      </c>
      <c r="AF52" s="101">
        <v>0</v>
      </c>
      <c r="AG52" s="101">
        <v>0</v>
      </c>
      <c r="AH52" s="102">
        <v>0</v>
      </c>
      <c r="AI52" s="87"/>
    </row>
    <row r="53" spans="1:38" ht="13.5" thickBot="1" x14ac:dyDescent="0.25">
      <c r="A53" s="51"/>
      <c r="B53" s="53" t="s">
        <v>12</v>
      </c>
      <c r="C53" s="103">
        <v>0</v>
      </c>
      <c r="D53" s="104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22">
        <v>0</v>
      </c>
      <c r="P53" s="122">
        <v>0</v>
      </c>
      <c r="Q53" s="122">
        <v>0</v>
      </c>
      <c r="R53" s="122">
        <v>0</v>
      </c>
      <c r="S53" s="122">
        <v>0</v>
      </c>
      <c r="T53" s="122">
        <v>0</v>
      </c>
      <c r="U53" s="122">
        <v>1</v>
      </c>
      <c r="V53" s="122">
        <v>1</v>
      </c>
      <c r="W53" s="122">
        <v>1</v>
      </c>
      <c r="X53" s="122">
        <v>1</v>
      </c>
      <c r="Y53" s="122">
        <v>1</v>
      </c>
      <c r="Z53" s="122">
        <v>0</v>
      </c>
      <c r="AA53" s="122">
        <v>1</v>
      </c>
      <c r="AB53" s="122">
        <v>0</v>
      </c>
      <c r="AC53" s="122">
        <v>0</v>
      </c>
      <c r="AD53" s="122">
        <v>0</v>
      </c>
      <c r="AE53" s="122">
        <v>0</v>
      </c>
      <c r="AF53" s="122">
        <v>0</v>
      </c>
      <c r="AG53" s="122">
        <v>0</v>
      </c>
      <c r="AH53" s="123">
        <v>0</v>
      </c>
      <c r="AI53" s="87"/>
    </row>
    <row r="54" spans="1:38" x14ac:dyDescent="0.2">
      <c r="A54" s="51"/>
      <c r="B54" s="53"/>
      <c r="C54" s="90"/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54"/>
    </row>
    <row r="55" spans="1:38" ht="13.5" thickBot="1" x14ac:dyDescent="0.25">
      <c r="A55" s="51"/>
      <c r="B55" s="53"/>
      <c r="C55" s="7">
        <v>32</v>
      </c>
      <c r="D55" s="7">
        <v>33</v>
      </c>
      <c r="E55" s="7">
        <v>34</v>
      </c>
      <c r="F55" s="7">
        <v>35</v>
      </c>
      <c r="G55" s="7">
        <v>36</v>
      </c>
      <c r="H55" s="7">
        <v>37</v>
      </c>
      <c r="I55" s="7">
        <v>38</v>
      </c>
      <c r="J55" s="7">
        <v>39</v>
      </c>
      <c r="K55" s="7">
        <v>40</v>
      </c>
      <c r="L55" s="7">
        <v>41</v>
      </c>
      <c r="M55" s="7">
        <v>42</v>
      </c>
      <c r="N55" s="7">
        <v>43</v>
      </c>
      <c r="O55" s="7">
        <v>44</v>
      </c>
      <c r="P55" s="7">
        <v>45</v>
      </c>
      <c r="Q55" s="7">
        <v>46</v>
      </c>
      <c r="R55" s="7">
        <v>47</v>
      </c>
      <c r="S55" s="7">
        <v>48</v>
      </c>
      <c r="T55" s="7">
        <v>49</v>
      </c>
      <c r="U55" s="7">
        <v>50</v>
      </c>
      <c r="V55" s="7">
        <v>51</v>
      </c>
      <c r="W55" s="7">
        <v>52</v>
      </c>
      <c r="X55" s="7">
        <v>53</v>
      </c>
      <c r="Y55" s="7">
        <v>54</v>
      </c>
      <c r="Z55" s="7">
        <v>55</v>
      </c>
      <c r="AA55" s="7">
        <v>56</v>
      </c>
      <c r="AB55" s="7">
        <v>57</v>
      </c>
      <c r="AC55" s="7">
        <v>58</v>
      </c>
      <c r="AD55" s="7">
        <v>59</v>
      </c>
      <c r="AE55" s="7">
        <v>60</v>
      </c>
      <c r="AF55" s="7">
        <v>61</v>
      </c>
      <c r="AG55" s="7">
        <v>62</v>
      </c>
      <c r="AH55" s="7">
        <v>63</v>
      </c>
      <c r="AI55" s="54"/>
    </row>
    <row r="56" spans="1:38" ht="13.5" thickBot="1" x14ac:dyDescent="0.25">
      <c r="A56" s="51"/>
      <c r="B56" s="53"/>
      <c r="C56" s="113" t="s">
        <v>13</v>
      </c>
      <c r="D56" s="114" t="s">
        <v>14</v>
      </c>
      <c r="E56" s="114" t="s">
        <v>15</v>
      </c>
      <c r="F56" s="114" t="s">
        <v>16</v>
      </c>
      <c r="G56" s="114" t="s">
        <v>17</v>
      </c>
      <c r="H56" s="114" t="s">
        <v>18</v>
      </c>
      <c r="I56" s="114" t="s">
        <v>19</v>
      </c>
      <c r="J56" s="114" t="s">
        <v>20</v>
      </c>
      <c r="K56" s="114" t="s">
        <v>21</v>
      </c>
      <c r="L56" s="114" t="s">
        <v>22</v>
      </c>
      <c r="M56" s="114" t="s">
        <v>23</v>
      </c>
      <c r="N56" s="114" t="s">
        <v>24</v>
      </c>
      <c r="O56" s="114" t="s">
        <v>25</v>
      </c>
      <c r="P56" s="114" t="s">
        <v>26</v>
      </c>
      <c r="Q56" s="114" t="s">
        <v>27</v>
      </c>
      <c r="R56" s="318" t="s">
        <v>30</v>
      </c>
      <c r="S56" s="318"/>
      <c r="T56" s="318"/>
      <c r="U56" s="318"/>
      <c r="V56" s="318"/>
      <c r="W56" s="318"/>
      <c r="X56" s="318"/>
      <c r="Y56" s="318"/>
      <c r="Z56" s="318"/>
      <c r="AA56" s="318"/>
      <c r="AB56" s="318"/>
      <c r="AC56" s="318"/>
      <c r="AD56" s="318"/>
      <c r="AE56" s="318"/>
      <c r="AF56" s="318"/>
      <c r="AG56" s="108" t="s">
        <v>28</v>
      </c>
      <c r="AH56" s="115" t="s">
        <v>29</v>
      </c>
      <c r="AI56" s="87"/>
    </row>
    <row r="57" spans="1:38" ht="13.5" thickBot="1" x14ac:dyDescent="0.25">
      <c r="A57" s="51"/>
      <c r="B57" s="53"/>
      <c r="C57" s="116">
        <v>0</v>
      </c>
      <c r="D57" s="117">
        <v>0</v>
      </c>
      <c r="E57" s="117">
        <v>0</v>
      </c>
      <c r="F57" s="117">
        <v>1</v>
      </c>
      <c r="G57" s="117">
        <v>0</v>
      </c>
      <c r="H57" s="117">
        <v>0</v>
      </c>
      <c r="I57" s="117">
        <v>0</v>
      </c>
      <c r="J57" s="117">
        <v>0</v>
      </c>
      <c r="K57" s="117">
        <v>0</v>
      </c>
      <c r="L57" s="117">
        <v>0</v>
      </c>
      <c r="M57" s="117">
        <v>0</v>
      </c>
      <c r="N57" s="117">
        <v>0</v>
      </c>
      <c r="O57" s="117">
        <v>0</v>
      </c>
      <c r="P57" s="117">
        <v>0</v>
      </c>
      <c r="Q57" s="117">
        <v>0</v>
      </c>
      <c r="R57" s="117">
        <v>0</v>
      </c>
      <c r="S57" s="117">
        <v>0</v>
      </c>
      <c r="T57" s="117">
        <v>0</v>
      </c>
      <c r="U57" s="117">
        <v>0</v>
      </c>
      <c r="V57" s="117">
        <v>0</v>
      </c>
      <c r="W57" s="117">
        <v>0</v>
      </c>
      <c r="X57" s="117">
        <v>0</v>
      </c>
      <c r="Y57" s="117">
        <v>1</v>
      </c>
      <c r="Z57" s="117">
        <v>0</v>
      </c>
      <c r="AA57" s="117">
        <v>1</v>
      </c>
      <c r="AB57" s="117">
        <v>0</v>
      </c>
      <c r="AC57" s="117">
        <v>0</v>
      </c>
      <c r="AD57" s="117">
        <v>0</v>
      </c>
      <c r="AE57" s="117">
        <v>0</v>
      </c>
      <c r="AF57" s="117">
        <v>0</v>
      </c>
      <c r="AG57" s="117">
        <v>0</v>
      </c>
      <c r="AH57" s="118">
        <v>0</v>
      </c>
      <c r="AI57" s="87"/>
    </row>
    <row r="58" spans="1:38" x14ac:dyDescent="0.2">
      <c r="A58" s="51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4"/>
    </row>
    <row r="59" spans="1:38" x14ac:dyDescent="0.2">
      <c r="A59" s="51"/>
      <c r="B59" s="326" t="s">
        <v>43</v>
      </c>
      <c r="C59" s="326"/>
      <c r="D59" s="326"/>
      <c r="E59" s="209"/>
      <c r="F59" s="323" t="s">
        <v>44</v>
      </c>
      <c r="G59" s="323"/>
      <c r="H59" s="323"/>
      <c r="I59" s="209"/>
      <c r="J59" s="324" t="s">
        <v>45</v>
      </c>
      <c r="K59" s="324"/>
      <c r="L59" s="324"/>
      <c r="M59" s="324"/>
      <c r="N59" s="209"/>
      <c r="O59" s="321" t="s">
        <v>46</v>
      </c>
      <c r="P59" s="321"/>
      <c r="Q59" s="321"/>
      <c r="R59" s="321"/>
      <c r="S59" s="209"/>
      <c r="T59" s="92" t="s">
        <v>49</v>
      </c>
      <c r="U59" s="93" t="s">
        <v>48</v>
      </c>
      <c r="V59" s="68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4"/>
    </row>
    <row r="60" spans="1:38" ht="15" customHeight="1" x14ac:dyDescent="0.25">
      <c r="A60" s="51"/>
      <c r="B60" s="317" t="str">
        <f>"0x"&amp;DEC2HEX(Sheet3!$I$4,8)</f>
        <v>0x00400320</v>
      </c>
      <c r="C60" s="317"/>
      <c r="D60" s="317"/>
      <c r="E60" s="12"/>
      <c r="F60" s="319" t="str">
        <f>"0x"&amp;BIN2HEX(CONCATENATE(C53,D53,E53,F53,G53,H53,I53,J53),2)&amp;BIN2HEX(CONCATENATE(K53,L53,M53,N53,O53,P53,Q53,R53),2)&amp;BIN2HEX(CONCATENATE(S53,T53,U53,V53,W53,X53,Y53,Z53),2)&amp;BIN2HEX(CONCATENATE(AA53,AB53,AC53,AD53,AE53,AF53,AG53,AH53),2)</f>
        <v>0x00003E80</v>
      </c>
      <c r="G60" s="319"/>
      <c r="H60" s="319"/>
      <c r="I60" s="12"/>
      <c r="J60" s="319" t="str">
        <f>"0b"&amp;C57&amp;D57&amp;E57&amp;F57&amp;G57&amp;H57&amp;I57&amp;J57&amp;K57&amp;L57&amp;M57&amp;N57&amp;O57&amp;P57&amp;Q57</f>
        <v>0b000100000000000</v>
      </c>
      <c r="K60" s="319"/>
      <c r="L60" s="319"/>
      <c r="M60" s="319"/>
      <c r="N60" s="12"/>
      <c r="O60" s="319" t="str">
        <f>"0b"&amp;DEC2BIN(((1+AF57+AE57*2+AD57*4+AC57*8+AB57*16+AA57*32+Z57*64+Y57*128+X57*256+W57*512+V57*1024+U57*2048+T57*4096+S57*2^13+R57*2^14)/512),6)&amp;DEC2BIN(MOD((1+AF57+AE57*2+AD57*4+AC57*8+AB57*16+AA57*32+Z57*64+Y57*128+X57*256+W57*512+V57*1024+U57*2048+T57*4096+S57*2^13+R57*2^14),512),9)</f>
        <v>0b000000010100001</v>
      </c>
      <c r="P60" s="319"/>
      <c r="Q60" s="319"/>
      <c r="R60" s="319"/>
      <c r="S60" s="12"/>
      <c r="T60" s="211">
        <f>IF(ISODD(SUM(R53:AH53)),1,0)</f>
        <v>0</v>
      </c>
      <c r="U60" s="211">
        <f>AH57</f>
        <v>0</v>
      </c>
      <c r="V60" s="71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4"/>
    </row>
    <row r="61" spans="1:38" ht="15" customHeight="1" x14ac:dyDescent="0.25">
      <c r="A61" s="51"/>
      <c r="B61" s="317" t="str">
        <f>"0x"&amp;DEC2HEX(Sheet3!$I$4+8,8)</f>
        <v>0x00400328</v>
      </c>
      <c r="C61" s="317"/>
      <c r="D61" s="317"/>
      <c r="E61" s="15"/>
      <c r="F61" s="319" t="str">
        <f>"0x"&amp;DEC2HEX(2^30-1-HEX2DEC(BIN2HEX(CONCATENATE(E53,F53,G53,H53,I53,J53),2)&amp;BIN2HEX(CONCATENATE(K53,L53,M53,N53,O53,P53,Q53,R53),2)&amp;BIN2HEX(CONCATENATE(S53,T53,U53,V53,W53,X53,Y53,Z53),2)&amp;BIN2HEX(CONCATENATE(AA53,AB53,AC53,AD53,AE53,AF53,AG53,AH53),2)),8)</f>
        <v>0x3FFFC17F</v>
      </c>
      <c r="G61" s="319"/>
      <c r="H61" s="319"/>
      <c r="I61" s="15"/>
      <c r="J61" s="317" t="str">
        <f>"0b"&amp;C57&amp;D57&amp;E57&amp;F57&amp;G57&amp;H57&amp;I57&amp;J57&amp;K57&amp;L57&amp;M57&amp;N57&amp;O57&amp;P57&amp;Q57</f>
        <v>0b000100000000000</v>
      </c>
      <c r="K61" s="317"/>
      <c r="L61" s="317"/>
      <c r="M61" s="317"/>
      <c r="N61" s="15"/>
      <c r="O61" s="317" t="str">
        <f>"0b"&amp;DEC2BIN(((2+AF57+AE57*2+AD57*4+AC57*8+AB57*16+AA57*32+Z57*64+Y57*128+X57*256+W57*512+V57*1024+U57*2048+T57*4096+S57*2^13+R57*2^14)/512),6)&amp;DEC2BIN(MOD((2+AF57+AE57*2+AD57*4+AC57*8+AB57*16+AA57*32+Z57*64+Y57*128+X57*256+W57*512+V57*1024+U57*2048+T57*4096+S57*2^13+R57*2^14),512),9)</f>
        <v>0b000000010100010</v>
      </c>
      <c r="P61" s="317"/>
      <c r="Q61" s="317"/>
      <c r="R61" s="317"/>
      <c r="S61" s="15"/>
      <c r="T61" s="211">
        <f>IF(ISODD(17-SUM(R53:AH53)),1,0)</f>
        <v>1</v>
      </c>
      <c r="U61" s="15">
        <f>AH57</f>
        <v>0</v>
      </c>
      <c r="V61" s="55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4"/>
      <c r="AL61" s="50" t="s">
        <v>337</v>
      </c>
    </row>
    <row r="62" spans="1:38" ht="15" customHeight="1" x14ac:dyDescent="0.25">
      <c r="A62" s="51"/>
      <c r="B62" s="317" t="str">
        <f>"0x"&amp;DEC2HEX(Sheet3!$I$4+16,8)</f>
        <v>0x00400330</v>
      </c>
      <c r="C62" s="317"/>
      <c r="D62" s="317"/>
      <c r="E62" s="15"/>
      <c r="F62" s="319" t="str">
        <f>"0x"&amp;BIN2HEX(CONCATENATE(AH53,E53,F53,G53,H53,I53),2)&amp;BIN2HEX(CONCATENATE(J53,K53,L53,M53,N53,O53,P53,Q53),2)&amp;BIN2HEX(CONCATENATE(R53,S53,T53,U53,V53,W53,X53,Y53),2)&amp;BIN2HEX(CONCATENATE(Z53,AA53,AB53,AC53,AD53,AE53,AF53,AG53),2)</f>
        <v>0x00001F40</v>
      </c>
      <c r="G62" s="319"/>
      <c r="H62" s="319"/>
      <c r="I62" s="15"/>
      <c r="J62" s="317" t="str">
        <f>"0b"&amp;C57&amp;D57&amp;E57&amp;F57&amp;G57&amp;H57&amp;I57&amp;J57&amp;K57&amp;L57&amp;M57&amp;N57&amp;O57&amp;P57&amp;Q57</f>
        <v>0b000100000000000</v>
      </c>
      <c r="K62" s="317"/>
      <c r="L62" s="317"/>
      <c r="M62" s="317"/>
      <c r="N62" s="15"/>
      <c r="O62" s="317" t="str">
        <f>"0b"&amp;DEC2BIN(((4+AF57+AE57*2+AD57*4+AC57*8+AB57*16+AA57*32+Z57*64+Y57*128+X57*256+W57*512+V57*1024+U57*2048+T57*4096+S57*2^13+R57*2^14)/512),6)&amp;DEC2BIN(MOD((4+AF57+AE57*2+AD57*4+AC57*8+AB57*16+AA57*32+Z57*64+Y57*128+X57*256+W57*512+V57*1024+U57*2048+T57*4096+S57*2^13+R57*2^14),512),9)</f>
        <v>0b000000010100100</v>
      </c>
      <c r="P62" s="317"/>
      <c r="Q62" s="317"/>
      <c r="R62" s="317"/>
      <c r="S62" s="15"/>
      <c r="T62" s="211">
        <f>IF(ISODD(SUM(R53:AH53)),1,0)</f>
        <v>0</v>
      </c>
      <c r="U62" s="15">
        <f>AH57</f>
        <v>0</v>
      </c>
      <c r="V62" s="55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4"/>
      <c r="AL62" s="50" t="s">
        <v>338</v>
      </c>
    </row>
    <row r="63" spans="1:38" x14ac:dyDescent="0.2">
      <c r="A63" s="51"/>
      <c r="B63" s="53"/>
      <c r="C63" s="53"/>
      <c r="D63" s="53"/>
      <c r="E63" s="53"/>
      <c r="F63" s="72"/>
      <c r="G63" s="72"/>
      <c r="H63" s="72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4"/>
    </row>
    <row r="64" spans="1:38" ht="15" x14ac:dyDescent="0.25">
      <c r="A64" s="51"/>
      <c r="B64" s="320" t="s">
        <v>47</v>
      </c>
      <c r="C64" s="320"/>
      <c r="D64" s="320"/>
      <c r="E64" s="68"/>
      <c r="F64" s="53"/>
      <c r="G64" s="53"/>
      <c r="H64" s="53"/>
      <c r="I64" s="68"/>
      <c r="J64" s="68"/>
      <c r="K64" s="68"/>
      <c r="L64" s="213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4"/>
    </row>
    <row r="65" spans="1:43" ht="15" customHeight="1" x14ac:dyDescent="0.25">
      <c r="A65" s="51"/>
      <c r="B65" s="317" t="str">
        <f>"0x"&amp;DEC2HEX(Sheet3!$I$4,8)</f>
        <v>0x00400320</v>
      </c>
      <c r="C65" s="317"/>
      <c r="D65" s="317"/>
      <c r="E65" s="15"/>
      <c r="F65" s="322" t="str">
        <f>F60&amp;BIN2HEX(MID(J60,3,8),2)&amp;BIN2HEX(RIGHT(J60,7)&amp;MID(O60,3,1),2)&amp;BIN2HEX(MID(O60,4,8),2)&amp;BIN2HEX(RIGHT(O60,6)&amp;T60&amp;U60,2)</f>
        <v>0x00003E8010000284</v>
      </c>
      <c r="G65" s="322"/>
      <c r="H65" s="322"/>
      <c r="I65" s="322"/>
      <c r="J65" s="53"/>
      <c r="K65" s="53"/>
      <c r="L65" s="53"/>
      <c r="M65" s="53"/>
      <c r="N65" s="53"/>
      <c r="O65" s="53"/>
      <c r="P65" s="55"/>
      <c r="Q65" s="55"/>
      <c r="R65" s="69"/>
      <c r="S65" s="69"/>
      <c r="T65" s="69"/>
      <c r="U65" s="69"/>
      <c r="V65" s="69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4"/>
    </row>
    <row r="66" spans="1:43" ht="15" customHeight="1" x14ac:dyDescent="0.25">
      <c r="A66" s="51"/>
      <c r="B66" s="317" t="str">
        <f>"0x"&amp;DEC2HEX(Sheet3!$I$4+8,8)</f>
        <v>0x00400328</v>
      </c>
      <c r="C66" s="317"/>
      <c r="D66" s="317"/>
      <c r="E66" s="128"/>
      <c r="F66" s="322" t="str">
        <f t="shared" ref="F66:F67" si="2">F61&amp;BIN2HEX(MID(J61,3,8),2)&amp;BIN2HEX(RIGHT(J61,7)&amp;MID(O61,3,1),2)&amp;BIN2HEX(MID(O61,4,8),2)&amp;BIN2HEX(RIGHT(O61,6)&amp;T61&amp;U61,2)</f>
        <v>0x3FFFC17F1000028A</v>
      </c>
      <c r="G66" s="322"/>
      <c r="H66" s="322"/>
      <c r="I66" s="322"/>
      <c r="J66" s="53"/>
      <c r="K66" s="53"/>
      <c r="L66" s="212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4"/>
    </row>
    <row r="67" spans="1:43" ht="15" customHeight="1" x14ac:dyDescent="0.25">
      <c r="A67" s="51"/>
      <c r="B67" s="317" t="str">
        <f>"0x"&amp;DEC2HEX(Sheet3!$I$4+16,8)</f>
        <v>0x00400330</v>
      </c>
      <c r="C67" s="317"/>
      <c r="D67" s="317"/>
      <c r="E67" s="128"/>
      <c r="F67" s="322" t="str">
        <f t="shared" si="2"/>
        <v>0x00001F4010000290</v>
      </c>
      <c r="G67" s="322"/>
      <c r="H67" s="322"/>
      <c r="I67" s="322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4"/>
    </row>
    <row r="68" spans="1:43" x14ac:dyDescent="0.2">
      <c r="A68" s="73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5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6"/>
    </row>
    <row r="69" spans="1:43" x14ac:dyDescent="0.2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</row>
    <row r="70" spans="1:43" x14ac:dyDescent="0.2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</row>
    <row r="71" spans="1:43" x14ac:dyDescent="0.2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</row>
    <row r="72" spans="1:43" x14ac:dyDescent="0.2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</row>
    <row r="73" spans="1:43" ht="69.75" customHeight="1" x14ac:dyDescent="0.2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</row>
    <row r="74" spans="1:43" x14ac:dyDescent="0.2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</row>
    <row r="75" spans="1:43" x14ac:dyDescent="0.2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</row>
    <row r="76" spans="1:43" x14ac:dyDescent="0.2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</row>
    <row r="77" spans="1:43" x14ac:dyDescent="0.2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</row>
    <row r="78" spans="1:43" x14ac:dyDescent="0.2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</row>
    <row r="79" spans="1:43" x14ac:dyDescent="0.2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</row>
    <row r="80" spans="1:43" x14ac:dyDescent="0.2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</row>
    <row r="81" spans="1:43" x14ac:dyDescent="0.2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</row>
    <row r="82" spans="1:43" ht="15" customHeight="1" x14ac:dyDescent="0.2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</row>
    <row r="83" spans="1:43" ht="15" customHeight="1" x14ac:dyDescent="0.2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</row>
    <row r="84" spans="1:43" ht="15" customHeight="1" x14ac:dyDescent="0.2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</row>
    <row r="85" spans="1:43" x14ac:dyDescent="0.2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</row>
    <row r="86" spans="1:43" ht="15" customHeight="1" x14ac:dyDescent="0.2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</row>
    <row r="87" spans="1:43" ht="15" customHeight="1" x14ac:dyDescent="0.2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</row>
    <row r="88" spans="1:43" ht="15" customHeight="1" x14ac:dyDescent="0.2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</row>
    <row r="89" spans="1:43" ht="15" customHeight="1" x14ac:dyDescent="0.2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</row>
    <row r="90" spans="1:43" x14ac:dyDescent="0.2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</row>
    <row r="91" spans="1:43" x14ac:dyDescent="0.2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</row>
    <row r="92" spans="1:43" x14ac:dyDescent="0.2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</row>
    <row r="93" spans="1:43" x14ac:dyDescent="0.2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</row>
    <row r="94" spans="1:43" ht="37.5" customHeight="1" x14ac:dyDescent="0.2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</row>
    <row r="95" spans="1:43" ht="42" customHeight="1" x14ac:dyDescent="0.2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</row>
    <row r="96" spans="1:43" x14ac:dyDescent="0.2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</row>
    <row r="97" spans="1:43" x14ac:dyDescent="0.2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</row>
    <row r="98" spans="1:43" x14ac:dyDescent="0.2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</row>
    <row r="99" spans="1:43" x14ac:dyDescent="0.2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</row>
    <row r="100" spans="1:43" x14ac:dyDescent="0.2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</row>
    <row r="101" spans="1:43" x14ac:dyDescent="0.2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</row>
    <row r="102" spans="1:43" x14ac:dyDescent="0.2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</row>
    <row r="103" spans="1:43" x14ac:dyDescent="0.2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</row>
    <row r="104" spans="1:43" ht="13.5" customHeight="1" x14ac:dyDescent="0.2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</row>
    <row r="105" spans="1:43" ht="13.5" customHeight="1" x14ac:dyDescent="0.2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</row>
    <row r="106" spans="1:43" ht="13.5" customHeight="1" x14ac:dyDescent="0.2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</row>
    <row r="107" spans="1:43" x14ac:dyDescent="0.2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</row>
    <row r="108" spans="1:43" ht="15" customHeight="1" x14ac:dyDescent="0.2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</row>
    <row r="109" spans="1:43" ht="13.5" customHeight="1" x14ac:dyDescent="0.2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</row>
    <row r="110" spans="1:43" ht="13.5" customHeight="1" x14ac:dyDescent="0.2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</row>
    <row r="111" spans="1:43" ht="13.5" customHeight="1" x14ac:dyDescent="0.2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</row>
    <row r="112" spans="1:43" x14ac:dyDescent="0.2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</row>
    <row r="113" spans="1:43" x14ac:dyDescent="0.2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</row>
    <row r="114" spans="1:43" x14ac:dyDescent="0.2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</row>
    <row r="115" spans="1:43" x14ac:dyDescent="0.2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</row>
    <row r="116" spans="1:43" ht="15" customHeight="1" x14ac:dyDescent="0.2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</row>
    <row r="117" spans="1:43" x14ac:dyDescent="0.2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</row>
    <row r="118" spans="1:43" x14ac:dyDescent="0.2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</row>
    <row r="119" spans="1:43" x14ac:dyDescent="0.2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</row>
    <row r="120" spans="1:43" x14ac:dyDescent="0.2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</row>
    <row r="121" spans="1:43" x14ac:dyDescent="0.2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</row>
    <row r="122" spans="1:43" x14ac:dyDescent="0.2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</row>
    <row r="123" spans="1:43" x14ac:dyDescent="0.2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</row>
    <row r="124" spans="1:43" x14ac:dyDescent="0.2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</row>
    <row r="125" spans="1:43" x14ac:dyDescent="0.2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</row>
    <row r="126" spans="1:43" ht="13.5" customHeight="1" x14ac:dyDescent="0.2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</row>
    <row r="127" spans="1:43" ht="13.5" customHeight="1" x14ac:dyDescent="0.2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</row>
    <row r="128" spans="1:43" ht="13.5" customHeight="1" x14ac:dyDescent="0.2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</row>
    <row r="129" spans="1:43" x14ac:dyDescent="0.2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</row>
    <row r="130" spans="1:43" x14ac:dyDescent="0.2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</row>
    <row r="131" spans="1:43" ht="13.5" customHeight="1" x14ac:dyDescent="0.2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</row>
    <row r="132" spans="1:43" ht="13.5" customHeight="1" x14ac:dyDescent="0.2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</row>
    <row r="133" spans="1:43" ht="13.5" customHeight="1" x14ac:dyDescent="0.2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</row>
    <row r="134" spans="1:43" x14ac:dyDescent="0.2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</row>
    <row r="135" spans="1:43" x14ac:dyDescent="0.2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</row>
    <row r="136" spans="1:43" x14ac:dyDescent="0.2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</row>
    <row r="137" spans="1:43" x14ac:dyDescent="0.2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</row>
    <row r="138" spans="1:43" x14ac:dyDescent="0.2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</row>
    <row r="139" spans="1:43" x14ac:dyDescent="0.2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</row>
    <row r="140" spans="1:43" x14ac:dyDescent="0.2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</row>
    <row r="141" spans="1:43" x14ac:dyDescent="0.2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</row>
    <row r="142" spans="1:43" x14ac:dyDescent="0.2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</row>
    <row r="143" spans="1:43" x14ac:dyDescent="0.2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</row>
    <row r="144" spans="1:43" x14ac:dyDescent="0.2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</row>
    <row r="145" spans="1:43" x14ac:dyDescent="0.2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</row>
    <row r="146" spans="1:43" x14ac:dyDescent="0.2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</row>
    <row r="147" spans="1:43" x14ac:dyDescent="0.2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</row>
    <row r="148" spans="1:43" ht="13.5" customHeight="1" x14ac:dyDescent="0.2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</row>
    <row r="149" spans="1:43" ht="13.5" customHeight="1" x14ac:dyDescent="0.2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</row>
    <row r="150" spans="1:43" ht="13.5" customHeight="1" x14ac:dyDescent="0.2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</row>
    <row r="151" spans="1:43" x14ac:dyDescent="0.2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</row>
    <row r="152" spans="1:43" x14ac:dyDescent="0.2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</row>
    <row r="153" spans="1:43" ht="13.5" customHeight="1" x14ac:dyDescent="0.2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</row>
    <row r="154" spans="1:43" ht="13.5" customHeight="1" x14ac:dyDescent="0.2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</row>
    <row r="155" spans="1:43" ht="13.5" customHeight="1" x14ac:dyDescent="0.2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</row>
    <row r="156" spans="1:43" x14ac:dyDescent="0.2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</row>
    <row r="157" spans="1:43" x14ac:dyDescent="0.2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</row>
    <row r="158" spans="1:43" x14ac:dyDescent="0.2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</row>
    <row r="159" spans="1:43" x14ac:dyDescent="0.2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</row>
    <row r="160" spans="1:43" ht="31.5" customHeight="1" x14ac:dyDescent="0.2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</row>
    <row r="161" spans="1:43" ht="28.5" customHeight="1" x14ac:dyDescent="0.2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</row>
    <row r="162" spans="1:43" x14ac:dyDescent="0.2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</row>
    <row r="163" spans="1:43" x14ac:dyDescent="0.2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</row>
    <row r="164" spans="1:43" x14ac:dyDescent="0.2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</row>
    <row r="165" spans="1:43" x14ac:dyDescent="0.2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</row>
    <row r="166" spans="1:43" x14ac:dyDescent="0.2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</row>
    <row r="167" spans="1:43" x14ac:dyDescent="0.2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</row>
    <row r="168" spans="1:43" x14ac:dyDescent="0.2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</row>
    <row r="169" spans="1:43" x14ac:dyDescent="0.2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</row>
    <row r="170" spans="1:43" ht="13.5" customHeight="1" x14ac:dyDescent="0.2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</row>
    <row r="171" spans="1:43" ht="13.5" customHeight="1" x14ac:dyDescent="0.2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</row>
    <row r="172" spans="1:43" ht="13.5" customHeight="1" x14ac:dyDescent="0.2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</row>
    <row r="173" spans="1:43" x14ac:dyDescent="0.2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</row>
    <row r="174" spans="1:43" x14ac:dyDescent="0.2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</row>
    <row r="175" spans="1:43" ht="13.5" customHeight="1" x14ac:dyDescent="0.2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</row>
    <row r="176" spans="1:43" ht="13.5" customHeight="1" x14ac:dyDescent="0.2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</row>
    <row r="177" spans="1:43" ht="13.5" customHeight="1" x14ac:dyDescent="0.2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</row>
    <row r="178" spans="1:43" x14ac:dyDescent="0.2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</row>
    <row r="179" spans="1:43" x14ac:dyDescent="0.2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</row>
    <row r="180" spans="1:43" x14ac:dyDescent="0.2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</row>
    <row r="181" spans="1:43" x14ac:dyDescent="0.2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</row>
    <row r="182" spans="1:43" ht="34.5" customHeight="1" x14ac:dyDescent="0.2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</row>
    <row r="183" spans="1:43" ht="27.75" customHeight="1" x14ac:dyDescent="0.2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</row>
    <row r="184" spans="1:43" x14ac:dyDescent="0.2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</row>
    <row r="185" spans="1:43" x14ac:dyDescent="0.2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</row>
    <row r="186" spans="1:43" x14ac:dyDescent="0.2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</row>
    <row r="187" spans="1:43" x14ac:dyDescent="0.2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</row>
    <row r="188" spans="1:43" x14ac:dyDescent="0.2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</row>
    <row r="189" spans="1:43" x14ac:dyDescent="0.2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</row>
    <row r="190" spans="1:43" x14ac:dyDescent="0.2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</row>
    <row r="191" spans="1:43" x14ac:dyDescent="0.2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</row>
    <row r="192" spans="1:43" ht="13.5" customHeight="1" x14ac:dyDescent="0.2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</row>
    <row r="193" spans="1:43" ht="13.5" customHeight="1" x14ac:dyDescent="0.2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</row>
    <row r="194" spans="1:43" ht="13.5" customHeight="1" x14ac:dyDescent="0.2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</row>
    <row r="195" spans="1:43" x14ac:dyDescent="0.2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</row>
    <row r="196" spans="1:43" x14ac:dyDescent="0.2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</row>
    <row r="197" spans="1:43" ht="13.5" customHeight="1" x14ac:dyDescent="0.2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</row>
    <row r="198" spans="1:43" ht="13.5" customHeight="1" x14ac:dyDescent="0.2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</row>
    <row r="199" spans="1:43" ht="13.5" customHeight="1" x14ac:dyDescent="0.2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</row>
    <row r="200" spans="1:43" x14ac:dyDescent="0.2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</row>
    <row r="201" spans="1:43" x14ac:dyDescent="0.2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</row>
    <row r="202" spans="1:43" x14ac:dyDescent="0.2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</row>
    <row r="203" spans="1:43" x14ac:dyDescent="0.2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</row>
    <row r="204" spans="1:43" ht="35.25" customHeight="1" x14ac:dyDescent="0.2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</row>
    <row r="205" spans="1:43" ht="30" customHeight="1" x14ac:dyDescent="0.2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</row>
    <row r="206" spans="1:43" x14ac:dyDescent="0.2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</row>
    <row r="207" spans="1:43" x14ac:dyDescent="0.2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</row>
    <row r="208" spans="1:43" x14ac:dyDescent="0.2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</row>
    <row r="209" spans="1:43" x14ac:dyDescent="0.2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</row>
    <row r="210" spans="1:43" x14ac:dyDescent="0.2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</row>
    <row r="211" spans="1:43" x14ac:dyDescent="0.2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</row>
    <row r="212" spans="1:43" x14ac:dyDescent="0.2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</row>
    <row r="213" spans="1:43" x14ac:dyDescent="0.2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</row>
    <row r="214" spans="1:43" ht="13.5" customHeight="1" x14ac:dyDescent="0.2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</row>
    <row r="215" spans="1:43" ht="13.5" customHeight="1" x14ac:dyDescent="0.2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</row>
    <row r="216" spans="1:43" ht="13.5" customHeight="1" x14ac:dyDescent="0.2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</row>
    <row r="217" spans="1:43" x14ac:dyDescent="0.2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</row>
    <row r="218" spans="1:43" x14ac:dyDescent="0.2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</row>
    <row r="219" spans="1:43" ht="13.5" customHeight="1" x14ac:dyDescent="0.2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</row>
    <row r="220" spans="1:43" ht="13.5" customHeight="1" x14ac:dyDescent="0.2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</row>
    <row r="221" spans="1:43" ht="13.5" customHeight="1" x14ac:dyDescent="0.2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</row>
    <row r="222" spans="1:43" x14ac:dyDescent="0.2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</row>
    <row r="223" spans="1:43" x14ac:dyDescent="0.2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</row>
    <row r="224" spans="1:43" x14ac:dyDescent="0.2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</row>
    <row r="225" spans="1:43" x14ac:dyDescent="0.2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</row>
    <row r="226" spans="1:43" ht="12.75" customHeight="1" x14ac:dyDescent="0.2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</row>
    <row r="227" spans="1:43" x14ac:dyDescent="0.2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</row>
    <row r="228" spans="1:43" x14ac:dyDescent="0.2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</row>
    <row r="229" spans="1:43" x14ac:dyDescent="0.2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</row>
    <row r="230" spans="1:43" x14ac:dyDescent="0.2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</row>
    <row r="231" spans="1:43" x14ac:dyDescent="0.2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</row>
    <row r="232" spans="1:43" x14ac:dyDescent="0.2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</row>
    <row r="233" spans="1:43" x14ac:dyDescent="0.2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</row>
    <row r="234" spans="1:43" x14ac:dyDescent="0.2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</row>
    <row r="235" spans="1:43" x14ac:dyDescent="0.2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</row>
    <row r="236" spans="1:43" ht="13.5" customHeight="1" x14ac:dyDescent="0.2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</row>
    <row r="237" spans="1:43" ht="13.5" customHeight="1" x14ac:dyDescent="0.2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</row>
    <row r="238" spans="1:43" ht="13.5" customHeight="1" x14ac:dyDescent="0.2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</row>
    <row r="239" spans="1:43" x14ac:dyDescent="0.2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</row>
    <row r="240" spans="1:43" x14ac:dyDescent="0.2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</row>
    <row r="241" spans="1:43" ht="13.5" customHeight="1" x14ac:dyDescent="0.2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</row>
    <row r="242" spans="1:43" ht="13.5" customHeight="1" x14ac:dyDescent="0.2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</row>
    <row r="243" spans="1:43" ht="13.5" customHeight="1" x14ac:dyDescent="0.2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</row>
    <row r="244" spans="1:43" x14ac:dyDescent="0.2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</row>
    <row r="245" spans="1:43" x14ac:dyDescent="0.2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</row>
    <row r="246" spans="1:43" x14ac:dyDescent="0.2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</row>
    <row r="247" spans="1:43" x14ac:dyDescent="0.2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</row>
    <row r="248" spans="1:43" x14ac:dyDescent="0.2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</row>
    <row r="249" spans="1:43" x14ac:dyDescent="0.2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</row>
    <row r="250" spans="1:43" x14ac:dyDescent="0.2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</row>
    <row r="251" spans="1:43" x14ac:dyDescent="0.2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</row>
    <row r="252" spans="1:43" x14ac:dyDescent="0.2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</row>
    <row r="253" spans="1:43" x14ac:dyDescent="0.2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</row>
    <row r="254" spans="1:43" x14ac:dyDescent="0.2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</row>
    <row r="255" spans="1:43" x14ac:dyDescent="0.2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</row>
    <row r="256" spans="1:43" x14ac:dyDescent="0.2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</row>
    <row r="257" spans="1:43" x14ac:dyDescent="0.2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</row>
    <row r="258" spans="1:43" ht="13.5" customHeight="1" x14ac:dyDescent="0.2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</row>
    <row r="259" spans="1:43" ht="13.5" customHeight="1" x14ac:dyDescent="0.2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</row>
    <row r="260" spans="1:43" ht="13.5" customHeight="1" x14ac:dyDescent="0.2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</row>
    <row r="261" spans="1:43" x14ac:dyDescent="0.2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</row>
    <row r="262" spans="1:43" x14ac:dyDescent="0.2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</row>
    <row r="263" spans="1:43" ht="13.5" customHeight="1" x14ac:dyDescent="0.2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</row>
    <row r="264" spans="1:43" ht="13.5" customHeight="1" x14ac:dyDescent="0.2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</row>
    <row r="265" spans="1:43" ht="13.5" customHeight="1" x14ac:dyDescent="0.2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</row>
    <row r="266" spans="1:43" x14ac:dyDescent="0.2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</row>
    <row r="267" spans="1:43" x14ac:dyDescent="0.2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</row>
    <row r="268" spans="1:43" x14ac:dyDescent="0.2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</row>
    <row r="269" spans="1:43" x14ac:dyDescent="0.2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</row>
    <row r="270" spans="1:43" x14ac:dyDescent="0.2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</row>
    <row r="271" spans="1:43" x14ac:dyDescent="0.2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</row>
    <row r="272" spans="1:43" x14ac:dyDescent="0.2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</row>
    <row r="273" spans="1:43" x14ac:dyDescent="0.2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</row>
    <row r="274" spans="1:43" x14ac:dyDescent="0.2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</row>
    <row r="275" spans="1:43" x14ac:dyDescent="0.2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</row>
    <row r="276" spans="1:43" x14ac:dyDescent="0.2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</row>
    <row r="277" spans="1:43" x14ac:dyDescent="0.2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</row>
    <row r="278" spans="1:43" x14ac:dyDescent="0.2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</row>
    <row r="279" spans="1:43" x14ac:dyDescent="0.2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</row>
    <row r="280" spans="1:43" ht="13.5" customHeight="1" x14ac:dyDescent="0.2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</row>
    <row r="281" spans="1:43" ht="13.5" customHeight="1" x14ac:dyDescent="0.2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</row>
    <row r="282" spans="1:43" ht="13.5" customHeight="1" x14ac:dyDescent="0.2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</row>
    <row r="283" spans="1:43" x14ac:dyDescent="0.2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</row>
    <row r="284" spans="1:43" x14ac:dyDescent="0.2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</row>
    <row r="285" spans="1:43" ht="13.5" customHeight="1" x14ac:dyDescent="0.2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</row>
    <row r="286" spans="1:43" ht="13.5" customHeight="1" x14ac:dyDescent="0.2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</row>
    <row r="287" spans="1:43" ht="13.5" customHeight="1" x14ac:dyDescent="0.2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</row>
    <row r="288" spans="1:43" x14ac:dyDescent="0.2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</row>
  </sheetData>
  <sheetProtection algorithmName="SHA-512" hashValue="L1k9mf1mCg3UuQMCmvixkwdAknpWALqXix1AEhJS9+c3ICi2U2RayM9yJbXjVuYp21xYoVrvRxCDz3PkAVuXvA==" saltValue="OKLaoO7z1ZL9Umkk0lF6+Q==" spinCount="100000" sheet="1" objects="1" scenarios="1"/>
  <mergeCells count="88">
    <mergeCell ref="F66:I66"/>
    <mergeCell ref="F67:I67"/>
    <mergeCell ref="F61:H61"/>
    <mergeCell ref="F62:H62"/>
    <mergeCell ref="F60:H60"/>
    <mergeCell ref="O40:R40"/>
    <mergeCell ref="F40:H40"/>
    <mergeCell ref="F39:H39"/>
    <mergeCell ref="J39:M39"/>
    <mergeCell ref="B40:D40"/>
    <mergeCell ref="F22:I22"/>
    <mergeCell ref="F23:I23"/>
    <mergeCell ref="B59:D59"/>
    <mergeCell ref="F44:I44"/>
    <mergeCell ref="F45:I45"/>
    <mergeCell ref="F37:H37"/>
    <mergeCell ref="F38:H38"/>
    <mergeCell ref="B43:D43"/>
    <mergeCell ref="R34:AF34"/>
    <mergeCell ref="O38:R38"/>
    <mergeCell ref="O39:R39"/>
    <mergeCell ref="B38:D38"/>
    <mergeCell ref="B39:D39"/>
    <mergeCell ref="B37:D37"/>
    <mergeCell ref="J37:M37"/>
    <mergeCell ref="J38:M38"/>
    <mergeCell ref="O37:R37"/>
    <mergeCell ref="B23:D23"/>
    <mergeCell ref="F15:H15"/>
    <mergeCell ref="B22:D22"/>
    <mergeCell ref="J15:M15"/>
    <mergeCell ref="O15:R15"/>
    <mergeCell ref="O18:R18"/>
    <mergeCell ref="J18:M18"/>
    <mergeCell ref="F18:H18"/>
    <mergeCell ref="F16:H16"/>
    <mergeCell ref="J16:M16"/>
    <mergeCell ref="F17:H17"/>
    <mergeCell ref="O16:R16"/>
    <mergeCell ref="O17:R17"/>
    <mergeCell ref="J17:M17"/>
    <mergeCell ref="B20:D20"/>
    <mergeCell ref="B15:D15"/>
    <mergeCell ref="R12:AF12"/>
    <mergeCell ref="B16:D16"/>
    <mergeCell ref="B17:D17"/>
    <mergeCell ref="B18:D18"/>
    <mergeCell ref="B21:D21"/>
    <mergeCell ref="F21:I21"/>
    <mergeCell ref="B65:D65"/>
    <mergeCell ref="B66:D66"/>
    <mergeCell ref="B67:D67"/>
    <mergeCell ref="P28:P29"/>
    <mergeCell ref="Q28:Q29"/>
    <mergeCell ref="B42:D42"/>
    <mergeCell ref="B45:D45"/>
    <mergeCell ref="B44:D44"/>
    <mergeCell ref="O59:R59"/>
    <mergeCell ref="J40:M40"/>
    <mergeCell ref="F43:I43"/>
    <mergeCell ref="F59:H59"/>
    <mergeCell ref="J59:M59"/>
    <mergeCell ref="B64:D64"/>
    <mergeCell ref="F65:I65"/>
    <mergeCell ref="O60:R60"/>
    <mergeCell ref="E50:AH51"/>
    <mergeCell ref="C50:D50"/>
    <mergeCell ref="C51:D51"/>
    <mergeCell ref="B61:D61"/>
    <mergeCell ref="B62:D62"/>
    <mergeCell ref="R56:AF56"/>
    <mergeCell ref="J61:M61"/>
    <mergeCell ref="O61:R61"/>
    <mergeCell ref="J60:M60"/>
    <mergeCell ref="O62:R62"/>
    <mergeCell ref="J62:M62"/>
    <mergeCell ref="B60:D60"/>
    <mergeCell ref="AE28:AE29"/>
    <mergeCell ref="AH28:AH29"/>
    <mergeCell ref="Z28:Z29"/>
    <mergeCell ref="T28:T29"/>
    <mergeCell ref="W28:W29"/>
    <mergeCell ref="X28:X29"/>
    <mergeCell ref="C28:N28"/>
    <mergeCell ref="C29:N29"/>
    <mergeCell ref="R28:R29"/>
    <mergeCell ref="AA28:AA29"/>
    <mergeCell ref="AB28:AB29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3:AI2312"/>
  <sheetViews>
    <sheetView topLeftCell="A361" zoomScaleNormal="100" workbookViewId="0">
      <selection activeCell="L26" sqref="L26"/>
    </sheetView>
  </sheetViews>
  <sheetFormatPr defaultColWidth="5.7109375" defaultRowHeight="15" x14ac:dyDescent="0.25"/>
  <sheetData>
    <row r="3" spans="1:35" x14ac:dyDescent="0.25">
      <c r="A3" s="24"/>
      <c r="B3" s="28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6"/>
    </row>
    <row r="4" spans="1:35" x14ac:dyDescent="0.25">
      <c r="A4" s="3"/>
      <c r="B4" s="4" t="s">
        <v>53</v>
      </c>
      <c r="C4" s="5"/>
      <c r="D4" s="5"/>
      <c r="E4" s="5"/>
      <c r="F4" s="5"/>
      <c r="G4" s="5"/>
      <c r="H4" s="5"/>
      <c r="I4" s="5" t="str">
        <f>"0x"&amp;BIN2HEX(CONCATENATE(C9,D9,E9,F9,G9,H9,I9,J9),2)&amp;BIN2HEX(CONCATENATE(K9,L9,M9,N9,O9,P9,Q9,R9),2)&amp;BIN2HEX(CONCATENATE(S9,T9,U9,V9,W9,X9,Y9,Z9),2)&amp;BIN2HEX(CONCATENATE(AA9,AB9,AC9,AD9,AE9,AF9,AG9,AH9),2)&amp;"_"&amp;BIN2HEX(CONCATENATE(C13,D13,E13,F13,G13,H13,I13,J13),2)&amp;BIN2HEX(CONCATENATE(K13,L13,M13,N13,O13,P13,Q13,R13),2)&amp;BIN2HEX(CONCATENATE(S13,T13,U13,V13,W13,X13,Y13,Z13),2)&amp;BIN2HEX(CONCATENATE(AA13,AB13,AC13,AD13,AE13,AF13,AG13,AH13),2)</f>
        <v>0x00000000_00080000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6"/>
    </row>
    <row r="5" spans="1:35" ht="15.75" thickBot="1" x14ac:dyDescent="0.3">
      <c r="A5" s="3"/>
      <c r="B5" s="5"/>
      <c r="C5" s="7">
        <v>0</v>
      </c>
      <c r="D5" s="7">
        <v>1</v>
      </c>
      <c r="E5" s="7">
        <v>2</v>
      </c>
      <c r="F5" s="7">
        <v>3</v>
      </c>
      <c r="G5" s="7">
        <v>4</v>
      </c>
      <c r="H5" s="7">
        <v>5</v>
      </c>
      <c r="I5" s="7">
        <v>6</v>
      </c>
      <c r="J5" s="7">
        <v>7</v>
      </c>
      <c r="K5" s="7">
        <v>8</v>
      </c>
      <c r="L5" s="7">
        <v>9</v>
      </c>
      <c r="M5" s="7">
        <v>10</v>
      </c>
      <c r="N5" s="7">
        <v>11</v>
      </c>
      <c r="O5" s="7">
        <v>12</v>
      </c>
      <c r="P5" s="7">
        <v>13</v>
      </c>
      <c r="Q5" s="7">
        <v>14</v>
      </c>
      <c r="R5" s="7">
        <v>15</v>
      </c>
      <c r="S5" s="7">
        <v>16</v>
      </c>
      <c r="T5" s="7">
        <v>17</v>
      </c>
      <c r="U5" s="7">
        <v>18</v>
      </c>
      <c r="V5" s="7">
        <v>19</v>
      </c>
      <c r="W5" s="7">
        <v>20</v>
      </c>
      <c r="X5" s="7">
        <v>21</v>
      </c>
      <c r="Y5" s="7">
        <v>22</v>
      </c>
      <c r="Z5" s="7">
        <v>23</v>
      </c>
      <c r="AA5" s="7">
        <v>24</v>
      </c>
      <c r="AB5" s="7">
        <v>25</v>
      </c>
      <c r="AC5" s="7">
        <v>26</v>
      </c>
      <c r="AD5" s="7">
        <v>27</v>
      </c>
      <c r="AE5" s="7">
        <v>28</v>
      </c>
      <c r="AF5" s="7">
        <v>29</v>
      </c>
      <c r="AG5" s="7">
        <v>30</v>
      </c>
      <c r="AH5" s="7">
        <v>31</v>
      </c>
      <c r="AI5" s="6"/>
    </row>
    <row r="6" spans="1:35" x14ac:dyDescent="0.25">
      <c r="A6" s="3"/>
      <c r="B6" s="5" t="s">
        <v>31</v>
      </c>
      <c r="C6" s="153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7"/>
      <c r="AI6" s="6"/>
    </row>
    <row r="7" spans="1:35" x14ac:dyDescent="0.25">
      <c r="A7" s="3"/>
      <c r="B7" s="5" t="s">
        <v>32</v>
      </c>
      <c r="C7" s="158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60"/>
      <c r="AI7" s="6"/>
    </row>
    <row r="8" spans="1:35" x14ac:dyDescent="0.25">
      <c r="A8" s="3"/>
      <c r="B8" s="5" t="s">
        <v>11</v>
      </c>
      <c r="C8" s="56">
        <v>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v>0</v>
      </c>
      <c r="Q8" s="57">
        <v>0</v>
      </c>
      <c r="R8" s="57">
        <v>0</v>
      </c>
      <c r="S8" s="57">
        <v>0</v>
      </c>
      <c r="T8" s="57">
        <v>0</v>
      </c>
      <c r="U8" s="57">
        <v>0</v>
      </c>
      <c r="V8" s="57">
        <v>0</v>
      </c>
      <c r="W8" s="57">
        <v>0</v>
      </c>
      <c r="X8" s="57">
        <v>0</v>
      </c>
      <c r="Y8" s="57">
        <v>0</v>
      </c>
      <c r="Z8" s="57">
        <v>0</v>
      </c>
      <c r="AA8" s="57">
        <v>0</v>
      </c>
      <c r="AB8" s="57">
        <v>0</v>
      </c>
      <c r="AC8" s="57">
        <v>0</v>
      </c>
      <c r="AD8" s="57">
        <v>0</v>
      </c>
      <c r="AE8" s="57">
        <v>0</v>
      </c>
      <c r="AF8" s="57">
        <v>0</v>
      </c>
      <c r="AG8" s="57">
        <v>0</v>
      </c>
      <c r="AH8" s="58">
        <v>0</v>
      </c>
      <c r="AI8" s="6"/>
    </row>
    <row r="9" spans="1:35" ht="15.75" thickBot="1" x14ac:dyDescent="0.3">
      <c r="A9" s="3"/>
      <c r="B9" s="5" t="s">
        <v>12</v>
      </c>
      <c r="C9" s="61">
        <v>0</v>
      </c>
      <c r="D9" s="62">
        <v>0</v>
      </c>
      <c r="E9" s="62">
        <v>0</v>
      </c>
      <c r="F9" s="62">
        <v>0</v>
      </c>
      <c r="G9" s="62">
        <v>0</v>
      </c>
      <c r="H9" s="62">
        <v>0</v>
      </c>
      <c r="I9" s="62">
        <v>0</v>
      </c>
      <c r="J9" s="62">
        <v>0</v>
      </c>
      <c r="K9" s="62">
        <v>0</v>
      </c>
      <c r="L9" s="62">
        <v>0</v>
      </c>
      <c r="M9" s="62">
        <v>0</v>
      </c>
      <c r="N9" s="62">
        <v>0</v>
      </c>
      <c r="O9" s="62">
        <v>0</v>
      </c>
      <c r="P9" s="62">
        <v>0</v>
      </c>
      <c r="Q9" s="62">
        <v>0</v>
      </c>
      <c r="R9" s="62">
        <v>0</v>
      </c>
      <c r="S9" s="62">
        <v>0</v>
      </c>
      <c r="T9" s="62">
        <v>0</v>
      </c>
      <c r="U9" s="62">
        <v>0</v>
      </c>
      <c r="V9" s="62">
        <v>0</v>
      </c>
      <c r="W9" s="62">
        <v>0</v>
      </c>
      <c r="X9" s="62">
        <v>0</v>
      </c>
      <c r="Y9" s="62">
        <v>0</v>
      </c>
      <c r="Z9" s="62">
        <v>0</v>
      </c>
      <c r="AA9" s="62">
        <v>0</v>
      </c>
      <c r="AB9" s="62">
        <v>0</v>
      </c>
      <c r="AC9" s="62">
        <v>0</v>
      </c>
      <c r="AD9" s="62">
        <v>0</v>
      </c>
      <c r="AE9" s="62">
        <v>0</v>
      </c>
      <c r="AF9" s="62">
        <v>0</v>
      </c>
      <c r="AG9" s="62">
        <v>0</v>
      </c>
      <c r="AH9" s="146">
        <v>0</v>
      </c>
      <c r="AI9" s="6"/>
    </row>
    <row r="10" spans="1:35" x14ac:dyDescent="0.25">
      <c r="A10" s="3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6"/>
    </row>
    <row r="11" spans="1:35" ht="15.75" thickBot="1" x14ac:dyDescent="0.3">
      <c r="A11" s="3"/>
      <c r="B11" s="5"/>
      <c r="C11" s="7">
        <v>32</v>
      </c>
      <c r="D11" s="7">
        <v>33</v>
      </c>
      <c r="E11" s="7">
        <v>34</v>
      </c>
      <c r="F11" s="7">
        <v>35</v>
      </c>
      <c r="G11" s="7">
        <v>36</v>
      </c>
      <c r="H11" s="7">
        <v>37</v>
      </c>
      <c r="I11" s="7">
        <v>38</v>
      </c>
      <c r="J11" s="7">
        <v>39</v>
      </c>
      <c r="K11" s="7">
        <v>40</v>
      </c>
      <c r="L11" s="7">
        <v>41</v>
      </c>
      <c r="M11" s="7">
        <v>42</v>
      </c>
      <c r="N11" s="7">
        <v>43</v>
      </c>
      <c r="O11" s="7">
        <v>44</v>
      </c>
      <c r="P11" s="7">
        <v>45</v>
      </c>
      <c r="Q11" s="7">
        <v>46</v>
      </c>
      <c r="R11" s="7">
        <v>47</v>
      </c>
      <c r="S11" s="7">
        <v>48</v>
      </c>
      <c r="T11" s="7">
        <v>49</v>
      </c>
      <c r="U11" s="7">
        <v>50</v>
      </c>
      <c r="V11" s="7">
        <v>51</v>
      </c>
      <c r="W11" s="7">
        <v>52</v>
      </c>
      <c r="X11" s="7">
        <v>53</v>
      </c>
      <c r="Y11" s="7">
        <v>54</v>
      </c>
      <c r="Z11" s="7">
        <v>55</v>
      </c>
      <c r="AA11" s="7">
        <v>56</v>
      </c>
      <c r="AB11" s="7">
        <v>57</v>
      </c>
      <c r="AC11" s="7">
        <v>58</v>
      </c>
      <c r="AD11" s="7">
        <v>59</v>
      </c>
      <c r="AE11" s="7">
        <v>60</v>
      </c>
      <c r="AF11" s="7">
        <v>61</v>
      </c>
      <c r="AG11" s="7">
        <v>62</v>
      </c>
      <c r="AH11" s="7">
        <v>63</v>
      </c>
      <c r="AI11" s="6"/>
    </row>
    <row r="12" spans="1:35" ht="15.75" thickBot="1" x14ac:dyDescent="0.3">
      <c r="A12" s="3"/>
      <c r="B12" s="5"/>
      <c r="C12" s="147" t="s">
        <v>13</v>
      </c>
      <c r="D12" s="148" t="s">
        <v>14</v>
      </c>
      <c r="E12" s="148" t="s">
        <v>15</v>
      </c>
      <c r="F12" s="148" t="s">
        <v>16</v>
      </c>
      <c r="G12" s="148" t="s">
        <v>17</v>
      </c>
      <c r="H12" s="148" t="s">
        <v>18</v>
      </c>
      <c r="I12" s="148" t="s">
        <v>19</v>
      </c>
      <c r="J12" s="148" t="s">
        <v>20</v>
      </c>
      <c r="K12" s="148" t="s">
        <v>21</v>
      </c>
      <c r="L12" s="148" t="s">
        <v>22</v>
      </c>
      <c r="M12" s="148" t="s">
        <v>23</v>
      </c>
      <c r="N12" s="148" t="s">
        <v>24</v>
      </c>
      <c r="O12" s="148" t="s">
        <v>25</v>
      </c>
      <c r="P12" s="148" t="s">
        <v>26</v>
      </c>
      <c r="Q12" s="148" t="s">
        <v>27</v>
      </c>
      <c r="R12" s="362" t="s">
        <v>30</v>
      </c>
      <c r="S12" s="362"/>
      <c r="T12" s="362"/>
      <c r="U12" s="362"/>
      <c r="V12" s="362"/>
      <c r="W12" s="362"/>
      <c r="X12" s="362"/>
      <c r="Y12" s="362"/>
      <c r="Z12" s="362"/>
      <c r="AA12" s="362"/>
      <c r="AB12" s="362"/>
      <c r="AC12" s="362"/>
      <c r="AD12" s="362"/>
      <c r="AE12" s="362"/>
      <c r="AF12" s="362"/>
      <c r="AG12" s="67" t="s">
        <v>28</v>
      </c>
      <c r="AH12" s="149" t="s">
        <v>29</v>
      </c>
      <c r="AI12" s="6"/>
    </row>
    <row r="13" spans="1:35" ht="15.75" thickBot="1" x14ac:dyDescent="0.3">
      <c r="A13" s="3"/>
      <c r="B13" s="5"/>
      <c r="C13" s="150">
        <v>0</v>
      </c>
      <c r="D13" s="151">
        <v>0</v>
      </c>
      <c r="E13" s="151">
        <v>0</v>
      </c>
      <c r="F13" s="151">
        <v>0</v>
      </c>
      <c r="G13" s="151">
        <v>0</v>
      </c>
      <c r="H13" s="151">
        <v>0</v>
      </c>
      <c r="I13" s="151">
        <v>0</v>
      </c>
      <c r="J13" s="151">
        <v>0</v>
      </c>
      <c r="K13" s="151">
        <v>0</v>
      </c>
      <c r="L13" s="151">
        <v>0</v>
      </c>
      <c r="M13" s="151">
        <v>0</v>
      </c>
      <c r="N13" s="151">
        <v>0</v>
      </c>
      <c r="O13" s="151">
        <v>1</v>
      </c>
      <c r="P13" s="151">
        <v>0</v>
      </c>
      <c r="Q13" s="151">
        <v>0</v>
      </c>
      <c r="R13" s="151">
        <v>0</v>
      </c>
      <c r="S13" s="151">
        <v>0</v>
      </c>
      <c r="T13" s="151">
        <v>0</v>
      </c>
      <c r="U13" s="151">
        <v>0</v>
      </c>
      <c r="V13" s="151">
        <v>0</v>
      </c>
      <c r="W13" s="151">
        <v>0</v>
      </c>
      <c r="X13" s="151">
        <v>0</v>
      </c>
      <c r="Y13" s="151">
        <v>0</v>
      </c>
      <c r="Z13" s="151">
        <v>0</v>
      </c>
      <c r="AA13" s="151">
        <v>0</v>
      </c>
      <c r="AB13" s="151">
        <v>0</v>
      </c>
      <c r="AC13" s="151">
        <v>0</v>
      </c>
      <c r="AD13" s="151">
        <v>0</v>
      </c>
      <c r="AE13" s="151">
        <v>0</v>
      </c>
      <c r="AF13" s="151">
        <v>0</v>
      </c>
      <c r="AG13" s="151">
        <v>0</v>
      </c>
      <c r="AH13" s="152">
        <v>0</v>
      </c>
      <c r="AI13" s="6"/>
    </row>
    <row r="14" spans="1:35" x14ac:dyDescent="0.25">
      <c r="A14" s="3"/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6"/>
    </row>
    <row r="15" spans="1:35" x14ac:dyDescent="0.25">
      <c r="A15" s="3"/>
      <c r="B15" s="8" t="s">
        <v>43</v>
      </c>
      <c r="C15" s="9"/>
      <c r="D15" s="9"/>
      <c r="E15" s="9"/>
      <c r="F15" s="363" t="s">
        <v>44</v>
      </c>
      <c r="G15" s="363"/>
      <c r="H15" s="363"/>
      <c r="I15" s="9"/>
      <c r="J15" s="364" t="s">
        <v>45</v>
      </c>
      <c r="K15" s="364"/>
      <c r="L15" s="364"/>
      <c r="M15" s="364"/>
      <c r="N15" s="9"/>
      <c r="O15" s="365" t="s">
        <v>46</v>
      </c>
      <c r="P15" s="365"/>
      <c r="Q15" s="365"/>
      <c r="R15" s="365"/>
      <c r="S15" s="9"/>
      <c r="T15" s="1" t="s">
        <v>49</v>
      </c>
      <c r="U15" s="10" t="s">
        <v>48</v>
      </c>
      <c r="V15" s="5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6"/>
    </row>
    <row r="16" spans="1:35" x14ac:dyDescent="0.25">
      <c r="A16" s="3"/>
      <c r="B16" s="317" t="str">
        <f>"0x"&amp;DEC2HEX(Sheet3!$I$4,8)</f>
        <v>0x00400320</v>
      </c>
      <c r="C16" s="317"/>
      <c r="D16" s="317"/>
      <c r="E16" s="12"/>
      <c r="F16" s="319" t="str">
        <f>"0x"&amp;BIN2HEX(CONCATENATE(C9,D9,E9,F9,G9,H9,I9,J9),2)&amp;BIN2HEX(CONCATENATE(K9,L9,M9,N9,O9,P9,Q9,R9),2)&amp;BIN2HEX(CONCATENATE(S9,T9,U9,V9,W9,X9,Y9,Z9),2)&amp;BIN2HEX(CONCATENATE(AA9,AB9,AC9,AD9,AE9,AF9,AG9,AH9),2)</f>
        <v>0x00000000</v>
      </c>
      <c r="G16" s="319"/>
      <c r="H16" s="319"/>
      <c r="I16" s="12"/>
      <c r="J16" s="319" t="str">
        <f>"0b"&amp;C13&amp;D13&amp;E13&amp;F13&amp;G13&amp;H13&amp;I13&amp;J13&amp;K13&amp;L13&amp;M13&amp;N13&amp;O13&amp;P13&amp;Q13</f>
        <v>0b000000000000100</v>
      </c>
      <c r="K16" s="319"/>
      <c r="L16" s="319"/>
      <c r="M16" s="319"/>
      <c r="N16" s="12"/>
      <c r="O16" s="319" t="str">
        <f>"0b"&amp;DEC2BIN(((AF13+AE13*2+AD13*4+AC13*8+AB13*16+AA13*32+Z13*64+Y13*128+X13*256+W13*512+V13*1024+U13*2048+T13*4096+S13*2^13+R13*2^14)/512),6)&amp;DEC2BIN(MOD((AF13+AE13*2+AD13*4+AC13*8+AB13*16+AA13*32+Z13*64+Y13*128+X13*256+W13*512+V13*1024+U13*2048+T13*4096+S13*2^13+R13*2^14),512),9)</f>
        <v>0b000000000000000</v>
      </c>
      <c r="P16" s="319"/>
      <c r="Q16" s="319"/>
      <c r="R16" s="319"/>
      <c r="S16" s="12"/>
      <c r="T16" s="13">
        <v>0</v>
      </c>
      <c r="U16" s="13">
        <f>AH13</f>
        <v>0</v>
      </c>
      <c r="V16" s="5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6"/>
    </row>
    <row r="17" spans="1:35" x14ac:dyDescent="0.25">
      <c r="A17" s="3"/>
      <c r="B17" s="317"/>
      <c r="C17" s="317"/>
      <c r="D17" s="317"/>
      <c r="E17" s="15"/>
      <c r="F17" s="319"/>
      <c r="G17" s="319"/>
      <c r="H17" s="319"/>
      <c r="I17" s="15"/>
      <c r="J17" s="317"/>
      <c r="K17" s="317"/>
      <c r="L17" s="317"/>
      <c r="M17" s="317"/>
      <c r="N17" s="15"/>
      <c r="O17" s="317"/>
      <c r="P17" s="317"/>
      <c r="Q17" s="317"/>
      <c r="R17" s="317"/>
      <c r="S17" s="15"/>
      <c r="T17" s="13"/>
      <c r="U17" s="15"/>
      <c r="V17" s="5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6"/>
    </row>
    <row r="18" spans="1:35" x14ac:dyDescent="0.25">
      <c r="A18" s="3"/>
      <c r="B18" s="317"/>
      <c r="C18" s="317"/>
      <c r="D18" s="317"/>
      <c r="E18" s="15"/>
      <c r="F18" s="319"/>
      <c r="G18" s="319"/>
      <c r="H18" s="319"/>
      <c r="I18" s="15"/>
      <c r="J18" s="317"/>
      <c r="K18" s="317"/>
      <c r="L18" s="317"/>
      <c r="M18" s="317"/>
      <c r="N18" s="15"/>
      <c r="O18" s="317"/>
      <c r="P18" s="317"/>
      <c r="Q18" s="317"/>
      <c r="R18" s="317"/>
      <c r="S18" s="15"/>
      <c r="T18" s="13"/>
      <c r="U18" s="15"/>
      <c r="V18" s="5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6"/>
    </row>
    <row r="19" spans="1:35" x14ac:dyDescent="0.25">
      <c r="A19" s="3"/>
      <c r="B19" s="5"/>
      <c r="C19" s="5"/>
      <c r="D19" s="5"/>
      <c r="E19" s="5"/>
      <c r="F19" s="17"/>
      <c r="G19" s="17"/>
      <c r="H19" s="17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6"/>
    </row>
    <row r="20" spans="1:35" x14ac:dyDescent="0.25">
      <c r="A20" s="3"/>
      <c r="B20" s="5" t="s">
        <v>47</v>
      </c>
      <c r="C20" s="18"/>
      <c r="D20" s="18"/>
      <c r="E20" s="18"/>
      <c r="F20" s="5"/>
      <c r="G20" s="5"/>
      <c r="H20" s="5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6"/>
    </row>
    <row r="21" spans="1:35" x14ac:dyDescent="0.25">
      <c r="A21" s="3"/>
      <c r="B21" s="317" t="str">
        <f>"0x"&amp;DEC2HEX(Sheet3!$I$4,8)</f>
        <v>0x00400320</v>
      </c>
      <c r="C21" s="317"/>
      <c r="D21" s="317"/>
      <c r="E21" s="16"/>
      <c r="F21" s="322" t="str">
        <f>F16&amp;BIN2HEX(MID(J16,3,8),2)&amp;BIN2HEX(RIGHT(J16,7)&amp;MID(O16,3,1),2)&amp;BIN2HEX(MID(O16,4,8),2)&amp;BIN2HEX(RIGHT(O16,6)&amp;T16&amp;U16,2)</f>
        <v>0x0000000000080000</v>
      </c>
      <c r="G21" s="322"/>
      <c r="H21" s="322"/>
      <c r="I21" s="322"/>
      <c r="J21" s="5"/>
      <c r="K21" s="5"/>
      <c r="L21" s="5"/>
      <c r="M21" s="5"/>
      <c r="N21" s="5"/>
      <c r="O21" s="5"/>
      <c r="P21" s="16"/>
      <c r="Q21" s="1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5"/>
      <c r="AH21" s="5"/>
      <c r="AI21" s="6"/>
    </row>
    <row r="22" spans="1:35" x14ac:dyDescent="0.25">
      <c r="A22" s="3"/>
      <c r="B22" s="317"/>
      <c r="C22" s="317"/>
      <c r="D22" s="317"/>
      <c r="E22" s="5"/>
      <c r="F22" s="322"/>
      <c r="G22" s="322"/>
      <c r="H22" s="322"/>
      <c r="I22" s="322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6"/>
    </row>
    <row r="23" spans="1:35" x14ac:dyDescent="0.25">
      <c r="A23" s="3"/>
      <c r="B23" s="317"/>
      <c r="C23" s="317"/>
      <c r="D23" s="317"/>
      <c r="E23" s="5"/>
      <c r="F23" s="322"/>
      <c r="G23" s="322"/>
      <c r="H23" s="322"/>
      <c r="I23" s="322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6"/>
    </row>
    <row r="24" spans="1:35" x14ac:dyDescent="0.2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2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3"/>
    </row>
    <row r="25" spans="1:35" x14ac:dyDescent="0.25">
      <c r="A25" s="24"/>
      <c r="B25" s="28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6"/>
    </row>
    <row r="26" spans="1:35" x14ac:dyDescent="0.25">
      <c r="A26" s="3"/>
      <c r="B26" s="4" t="s">
        <v>208</v>
      </c>
      <c r="C26" s="5"/>
      <c r="D26" s="5"/>
      <c r="E26" s="5"/>
      <c r="F26" s="5"/>
      <c r="G26" s="5"/>
      <c r="H26" s="5"/>
      <c r="I26" s="5" t="str">
        <f>"0x"&amp;BIN2HEX(CONCATENATE(C31,D31,E31,F31,G31,H31,I31,J31),2)&amp;BIN2HEX(CONCATENATE(K31,L31,M31,N31,O31,P31,Q31,R31),2)&amp;BIN2HEX(CONCATENATE(S31,T31,U31,V31,W31,X31,Y31,Z31),2)&amp;BIN2HEX(CONCATENATE(AA31,AB31,AC31,AD31,AE31,AF31,AG31,AH31),2)&amp;"_"&amp;BIN2HEX(CONCATENATE(C35,D35,E35,F35,G35,H35,I35,J35),2)&amp;BIN2HEX(CONCATENATE(K35,L35,M35,N35,O35,P35,Q35,R35),2)&amp;BIN2HEX(CONCATENATE(S35,T35,U35,V35,W35,X35,Y35,Z35),2)&amp;BIN2HEX(CONCATENATE(AA35,AB35,AC35,AD35,AE35,AF35,AG35,AH35),2)</f>
        <v>0x00000000_00080008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6"/>
    </row>
    <row r="27" spans="1:35" ht="15.75" thickBot="1" x14ac:dyDescent="0.3">
      <c r="A27" s="3"/>
      <c r="B27" s="5"/>
      <c r="C27" s="7">
        <v>0</v>
      </c>
      <c r="D27" s="7">
        <v>1</v>
      </c>
      <c r="E27" s="7">
        <v>2</v>
      </c>
      <c r="F27" s="7">
        <v>3</v>
      </c>
      <c r="G27" s="7">
        <v>4</v>
      </c>
      <c r="H27" s="7">
        <v>5</v>
      </c>
      <c r="I27" s="7">
        <v>6</v>
      </c>
      <c r="J27" s="7">
        <v>7</v>
      </c>
      <c r="K27" s="7">
        <v>8</v>
      </c>
      <c r="L27" s="7">
        <v>9</v>
      </c>
      <c r="M27" s="7">
        <v>10</v>
      </c>
      <c r="N27" s="7">
        <v>11</v>
      </c>
      <c r="O27" s="7">
        <v>12</v>
      </c>
      <c r="P27" s="7">
        <v>13</v>
      </c>
      <c r="Q27" s="7">
        <v>14</v>
      </c>
      <c r="R27" s="7">
        <v>15</v>
      </c>
      <c r="S27" s="7">
        <v>16</v>
      </c>
      <c r="T27" s="7">
        <v>17</v>
      </c>
      <c r="U27" s="7">
        <v>18</v>
      </c>
      <c r="V27" s="7">
        <v>19</v>
      </c>
      <c r="W27" s="7">
        <v>20</v>
      </c>
      <c r="X27" s="7">
        <v>21</v>
      </c>
      <c r="Y27" s="7">
        <v>22</v>
      </c>
      <c r="Z27" s="7">
        <v>23</v>
      </c>
      <c r="AA27" s="7">
        <v>24</v>
      </c>
      <c r="AB27" s="7">
        <v>25</v>
      </c>
      <c r="AC27" s="7">
        <v>26</v>
      </c>
      <c r="AD27" s="7">
        <v>27</v>
      </c>
      <c r="AE27" s="7">
        <v>28</v>
      </c>
      <c r="AF27" s="7">
        <v>29</v>
      </c>
      <c r="AG27" s="7">
        <v>30</v>
      </c>
      <c r="AH27" s="7">
        <v>31</v>
      </c>
      <c r="AI27" s="6"/>
    </row>
    <row r="28" spans="1:35" x14ac:dyDescent="0.25">
      <c r="A28" s="3"/>
      <c r="B28" s="5" t="s">
        <v>31</v>
      </c>
      <c r="C28" s="366" t="s">
        <v>56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367"/>
      <c r="O28" s="367"/>
      <c r="P28" s="367"/>
      <c r="Q28" s="367"/>
      <c r="R28" s="367"/>
      <c r="S28" s="367"/>
      <c r="T28" s="367"/>
      <c r="U28" s="367"/>
      <c r="V28" s="367"/>
      <c r="W28" s="367"/>
      <c r="X28" s="367"/>
      <c r="Y28" s="367"/>
      <c r="Z28" s="367"/>
      <c r="AA28" s="367"/>
      <c r="AB28" s="367"/>
      <c r="AC28" s="367"/>
      <c r="AD28" s="367"/>
      <c r="AE28" s="367"/>
      <c r="AF28" s="367"/>
      <c r="AG28" s="367"/>
      <c r="AH28" s="368"/>
      <c r="AI28" s="6"/>
    </row>
    <row r="29" spans="1:35" x14ac:dyDescent="0.25">
      <c r="A29" s="3"/>
      <c r="B29" s="5" t="s">
        <v>32</v>
      </c>
      <c r="C29" s="369" t="s">
        <v>209</v>
      </c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0"/>
      <c r="AH29" s="371"/>
      <c r="AI29" s="6"/>
    </row>
    <row r="30" spans="1:35" x14ac:dyDescent="0.25">
      <c r="A30" s="3"/>
      <c r="B30" s="5" t="s">
        <v>11</v>
      </c>
      <c r="C30" s="56">
        <v>0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v>0</v>
      </c>
      <c r="Q30" s="57">
        <v>0</v>
      </c>
      <c r="R30" s="57">
        <v>0</v>
      </c>
      <c r="S30" s="57">
        <v>0</v>
      </c>
      <c r="T30" s="57">
        <v>0</v>
      </c>
      <c r="U30" s="57">
        <v>0</v>
      </c>
      <c r="V30" s="57">
        <v>0</v>
      </c>
      <c r="W30" s="57">
        <v>0</v>
      </c>
      <c r="X30" s="57">
        <v>0</v>
      </c>
      <c r="Y30" s="57">
        <v>0</v>
      </c>
      <c r="Z30" s="57">
        <v>0</v>
      </c>
      <c r="AA30" s="57">
        <v>0</v>
      </c>
      <c r="AB30" s="57">
        <v>0</v>
      </c>
      <c r="AC30" s="57">
        <v>0</v>
      </c>
      <c r="AD30" s="57">
        <v>0</v>
      </c>
      <c r="AE30" s="57">
        <v>0</v>
      </c>
      <c r="AF30" s="57">
        <v>0</v>
      </c>
      <c r="AG30" s="57">
        <v>0</v>
      </c>
      <c r="AH30" s="58">
        <v>0</v>
      </c>
      <c r="AI30" s="6"/>
    </row>
    <row r="31" spans="1:35" ht="15.75" thickBot="1" x14ac:dyDescent="0.3">
      <c r="A31" s="3"/>
      <c r="B31" s="5" t="s">
        <v>12</v>
      </c>
      <c r="C31" s="61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2">
        <v>0</v>
      </c>
      <c r="Q31" s="62">
        <v>0</v>
      </c>
      <c r="R31" s="62">
        <v>0</v>
      </c>
      <c r="S31" s="62">
        <v>0</v>
      </c>
      <c r="T31" s="62">
        <v>0</v>
      </c>
      <c r="U31" s="62">
        <v>0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62">
        <v>0</v>
      </c>
      <c r="AB31" s="62">
        <v>0</v>
      </c>
      <c r="AC31" s="62">
        <v>0</v>
      </c>
      <c r="AD31" s="62">
        <v>0</v>
      </c>
      <c r="AE31" s="62">
        <v>0</v>
      </c>
      <c r="AF31" s="62">
        <v>0</v>
      </c>
      <c r="AG31" s="62">
        <v>0</v>
      </c>
      <c r="AH31" s="146">
        <v>0</v>
      </c>
      <c r="AI31" s="6"/>
    </row>
    <row r="32" spans="1:35" x14ac:dyDescent="0.25">
      <c r="A32" s="3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6"/>
    </row>
    <row r="33" spans="1:35" ht="15.75" thickBot="1" x14ac:dyDescent="0.3">
      <c r="A33" s="3"/>
      <c r="B33" s="5"/>
      <c r="C33" s="7">
        <v>32</v>
      </c>
      <c r="D33" s="7">
        <v>33</v>
      </c>
      <c r="E33" s="7">
        <v>34</v>
      </c>
      <c r="F33" s="7">
        <v>35</v>
      </c>
      <c r="G33" s="7">
        <v>36</v>
      </c>
      <c r="H33" s="7">
        <v>37</v>
      </c>
      <c r="I33" s="7">
        <v>38</v>
      </c>
      <c r="J33" s="7">
        <v>39</v>
      </c>
      <c r="K33" s="7">
        <v>40</v>
      </c>
      <c r="L33" s="7">
        <v>41</v>
      </c>
      <c r="M33" s="7">
        <v>42</v>
      </c>
      <c r="N33" s="7">
        <v>43</v>
      </c>
      <c r="O33" s="7">
        <v>44</v>
      </c>
      <c r="P33" s="7">
        <v>45</v>
      </c>
      <c r="Q33" s="7">
        <v>46</v>
      </c>
      <c r="R33" s="7">
        <v>47</v>
      </c>
      <c r="S33" s="7">
        <v>48</v>
      </c>
      <c r="T33" s="7">
        <v>49</v>
      </c>
      <c r="U33" s="7">
        <v>50</v>
      </c>
      <c r="V33" s="7">
        <v>51</v>
      </c>
      <c r="W33" s="7">
        <v>52</v>
      </c>
      <c r="X33" s="7">
        <v>53</v>
      </c>
      <c r="Y33" s="7">
        <v>54</v>
      </c>
      <c r="Z33" s="7">
        <v>55</v>
      </c>
      <c r="AA33" s="7">
        <v>56</v>
      </c>
      <c r="AB33" s="7">
        <v>57</v>
      </c>
      <c r="AC33" s="7">
        <v>58</v>
      </c>
      <c r="AD33" s="7">
        <v>59</v>
      </c>
      <c r="AE33" s="7">
        <v>60</v>
      </c>
      <c r="AF33" s="7">
        <v>61</v>
      </c>
      <c r="AG33" s="7">
        <v>62</v>
      </c>
      <c r="AH33" s="7">
        <v>63</v>
      </c>
      <c r="AI33" s="6"/>
    </row>
    <row r="34" spans="1:35" ht="15.75" thickBot="1" x14ac:dyDescent="0.3">
      <c r="A34" s="3"/>
      <c r="B34" s="5"/>
      <c r="C34" s="147" t="s">
        <v>13</v>
      </c>
      <c r="D34" s="148" t="s">
        <v>14</v>
      </c>
      <c r="E34" s="148" t="s">
        <v>15</v>
      </c>
      <c r="F34" s="148" t="s">
        <v>16</v>
      </c>
      <c r="G34" s="148" t="s">
        <v>17</v>
      </c>
      <c r="H34" s="148" t="s">
        <v>18</v>
      </c>
      <c r="I34" s="148" t="s">
        <v>19</v>
      </c>
      <c r="J34" s="148" t="s">
        <v>20</v>
      </c>
      <c r="K34" s="148" t="s">
        <v>21</v>
      </c>
      <c r="L34" s="148" t="s">
        <v>22</v>
      </c>
      <c r="M34" s="148" t="s">
        <v>23</v>
      </c>
      <c r="N34" s="148" t="s">
        <v>24</v>
      </c>
      <c r="O34" s="148" t="s">
        <v>25</v>
      </c>
      <c r="P34" s="148" t="s">
        <v>26</v>
      </c>
      <c r="Q34" s="148" t="s">
        <v>27</v>
      </c>
      <c r="R34" s="362" t="s">
        <v>30</v>
      </c>
      <c r="S34" s="362"/>
      <c r="T34" s="362"/>
      <c r="U34" s="362"/>
      <c r="V34" s="362"/>
      <c r="W34" s="362"/>
      <c r="X34" s="362"/>
      <c r="Y34" s="362"/>
      <c r="Z34" s="362"/>
      <c r="AA34" s="362"/>
      <c r="AB34" s="362"/>
      <c r="AC34" s="362"/>
      <c r="AD34" s="362"/>
      <c r="AE34" s="362"/>
      <c r="AF34" s="362"/>
      <c r="AG34" s="67" t="s">
        <v>28</v>
      </c>
      <c r="AH34" s="149" t="s">
        <v>29</v>
      </c>
      <c r="AI34" s="6"/>
    </row>
    <row r="35" spans="1:35" ht="15.75" thickBot="1" x14ac:dyDescent="0.3">
      <c r="A35" s="3"/>
      <c r="B35" s="5"/>
      <c r="C35" s="150">
        <v>0</v>
      </c>
      <c r="D35" s="151">
        <v>0</v>
      </c>
      <c r="E35" s="151">
        <v>0</v>
      </c>
      <c r="F35" s="151">
        <v>0</v>
      </c>
      <c r="G35" s="151">
        <v>0</v>
      </c>
      <c r="H35" s="151">
        <v>0</v>
      </c>
      <c r="I35" s="151">
        <v>0</v>
      </c>
      <c r="J35" s="151">
        <v>0</v>
      </c>
      <c r="K35" s="151">
        <v>0</v>
      </c>
      <c r="L35" s="151">
        <v>0</v>
      </c>
      <c r="M35" s="151">
        <v>0</v>
      </c>
      <c r="N35" s="151">
        <v>0</v>
      </c>
      <c r="O35" s="151">
        <v>1</v>
      </c>
      <c r="P35" s="151">
        <v>0</v>
      </c>
      <c r="Q35" s="151">
        <v>0</v>
      </c>
      <c r="R35" s="151">
        <v>0</v>
      </c>
      <c r="S35" s="151">
        <v>0</v>
      </c>
      <c r="T35" s="151">
        <v>0</v>
      </c>
      <c r="U35" s="151">
        <v>0</v>
      </c>
      <c r="V35" s="151">
        <v>0</v>
      </c>
      <c r="W35" s="151">
        <v>0</v>
      </c>
      <c r="X35" s="151">
        <v>0</v>
      </c>
      <c r="Y35" s="151">
        <v>0</v>
      </c>
      <c r="Z35" s="151">
        <v>0</v>
      </c>
      <c r="AA35" s="151">
        <v>0</v>
      </c>
      <c r="AB35" s="151">
        <v>0</v>
      </c>
      <c r="AC35" s="151">
        <v>0</v>
      </c>
      <c r="AD35" s="151">
        <v>0</v>
      </c>
      <c r="AE35" s="151">
        <v>1</v>
      </c>
      <c r="AF35" s="151">
        <v>0</v>
      </c>
      <c r="AG35" s="151">
        <v>0</v>
      </c>
      <c r="AH35" s="152">
        <v>0</v>
      </c>
      <c r="AI35" s="6"/>
    </row>
    <row r="36" spans="1:35" x14ac:dyDescent="0.25">
      <c r="A36" s="3"/>
      <c r="B36" s="4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6"/>
    </row>
    <row r="37" spans="1:35" x14ac:dyDescent="0.25">
      <c r="A37" s="3"/>
      <c r="B37" s="8" t="s">
        <v>43</v>
      </c>
      <c r="C37" s="9"/>
      <c r="D37" s="9"/>
      <c r="E37" s="9"/>
      <c r="F37" s="363" t="s">
        <v>44</v>
      </c>
      <c r="G37" s="363"/>
      <c r="H37" s="363"/>
      <c r="I37" s="9"/>
      <c r="J37" s="364" t="s">
        <v>45</v>
      </c>
      <c r="K37" s="364"/>
      <c r="L37" s="364"/>
      <c r="M37" s="364"/>
      <c r="N37" s="9"/>
      <c r="O37" s="365" t="s">
        <v>46</v>
      </c>
      <c r="P37" s="365"/>
      <c r="Q37" s="365"/>
      <c r="R37" s="365"/>
      <c r="S37" s="9"/>
      <c r="T37" s="1" t="s">
        <v>49</v>
      </c>
      <c r="U37" s="10" t="s">
        <v>48</v>
      </c>
      <c r="V37" s="5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6"/>
    </row>
    <row r="38" spans="1:35" x14ac:dyDescent="0.25">
      <c r="A38" s="3"/>
      <c r="B38" s="317" t="str">
        <f>"0x"&amp;DEC2HEX(Sheet3!$I$4,8)</f>
        <v>0x00400320</v>
      </c>
      <c r="C38" s="317"/>
      <c r="D38" s="317"/>
      <c r="E38" s="12"/>
      <c r="F38" s="319" t="s">
        <v>54</v>
      </c>
      <c r="G38" s="319"/>
      <c r="H38" s="319"/>
      <c r="I38" s="12"/>
      <c r="J38" s="319" t="str">
        <f>"0b"&amp;C35&amp;D35&amp;E35&amp;F35&amp;G35&amp;H35&amp;I35&amp;J35&amp;K35&amp;L35&amp;M35&amp;N35&amp;O35&amp;P35&amp;Q35</f>
        <v>0b000000000000100</v>
      </c>
      <c r="K38" s="319"/>
      <c r="L38" s="319"/>
      <c r="M38" s="319"/>
      <c r="N38" s="12"/>
      <c r="O38" s="319" t="str">
        <f>"0b"&amp;DEC2BIN(((AF35+AE35*2+AD35*4+AC35*8+AB35*16+AA35*32+Z35*64+Y35*128+X35*256+W35*512+V35*1024+U35*2048+T35*4096+S35*2^13+R35*2^14)/512),6)&amp;DEC2BIN(MOD((AF35+AE35*2+AD35*4+AC35*8+AB35*16+AA35*32+Z35*64+Y35*128+X35*256+W35*512+V35*1024+U35*2048+T35*4096+S35*2^13+R35*2^14),512),9)</f>
        <v>0b000000000000010</v>
      </c>
      <c r="P38" s="319"/>
      <c r="Q38" s="319"/>
      <c r="R38" s="319"/>
      <c r="S38" s="12"/>
      <c r="T38" s="13">
        <v>0</v>
      </c>
      <c r="U38" s="13">
        <f>AH35</f>
        <v>0</v>
      </c>
      <c r="V38" s="5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6"/>
    </row>
    <row r="39" spans="1:35" x14ac:dyDescent="0.25">
      <c r="A39" s="3"/>
      <c r="B39" s="317" t="str">
        <f>"0x"&amp;DEC2HEX(Sheet3!$I$4+8,8)</f>
        <v>0x00400328</v>
      </c>
      <c r="C39" s="317"/>
      <c r="D39" s="317"/>
      <c r="E39" s="15"/>
      <c r="F39" s="319" t="s">
        <v>55</v>
      </c>
      <c r="G39" s="319"/>
      <c r="H39" s="319"/>
      <c r="I39" s="15"/>
      <c r="J39" s="317" t="str">
        <f>"0b"&amp;C35&amp;D35&amp;E35&amp;F35&amp;G35&amp;H35&amp;I35&amp;J35&amp;K35&amp;L35&amp;M35&amp;N35&amp;O35&amp;P35&amp;Q35</f>
        <v>0b000000000000100</v>
      </c>
      <c r="K39" s="317"/>
      <c r="L39" s="317"/>
      <c r="M39" s="317"/>
      <c r="N39" s="15"/>
      <c r="O39" s="317" t="str">
        <f>"0b"&amp;DEC2BIN(((AF35+AE35*2+AD35*4+AC35*8+AB35*16+AA35*32+Z35*64+Y35*128+X35*256+W35*512+V35*1024+U35*2048+T35*4096+S35*2^13+R35*2^14)/512),6)&amp;DEC2BIN(MOD((AF35+AE35*2+AD35*4+AC35*8+AB35*16+AA35*32+Z35*64+Y35*128+X35*256+W35*512+V35*1024+U35*2048+T35*4096+S35*2^13+R35*2^14),512),9)</f>
        <v>0b000000000000010</v>
      </c>
      <c r="P39" s="317"/>
      <c r="Q39" s="317"/>
      <c r="R39" s="317"/>
      <c r="S39" s="15"/>
      <c r="T39" s="13">
        <v>0</v>
      </c>
      <c r="U39" s="15">
        <f>AH35</f>
        <v>0</v>
      </c>
      <c r="V39" s="5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6"/>
    </row>
    <row r="40" spans="1:35" x14ac:dyDescent="0.25">
      <c r="A40" s="3"/>
      <c r="B40" s="317"/>
      <c r="C40" s="317"/>
      <c r="D40" s="317"/>
      <c r="E40" s="15"/>
      <c r="F40" s="319"/>
      <c r="G40" s="319"/>
      <c r="H40" s="319"/>
      <c r="I40" s="15"/>
      <c r="J40" s="317"/>
      <c r="K40" s="317"/>
      <c r="L40" s="317"/>
      <c r="M40" s="317"/>
      <c r="N40" s="15"/>
      <c r="O40" s="317"/>
      <c r="P40" s="317"/>
      <c r="Q40" s="317"/>
      <c r="R40" s="317"/>
      <c r="S40" s="15"/>
      <c r="T40" s="13"/>
      <c r="U40" s="15"/>
      <c r="V40" s="5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6"/>
    </row>
    <row r="41" spans="1:35" x14ac:dyDescent="0.25">
      <c r="A41" s="3"/>
      <c r="B41" s="5"/>
      <c r="C41" s="5"/>
      <c r="D41" s="5"/>
      <c r="E41" s="5"/>
      <c r="F41" s="17"/>
      <c r="G41" s="17"/>
      <c r="H41" s="17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6"/>
    </row>
    <row r="42" spans="1:35" x14ac:dyDescent="0.25">
      <c r="A42" s="3"/>
      <c r="B42" s="5" t="s">
        <v>47</v>
      </c>
      <c r="C42" s="18"/>
      <c r="D42" s="18"/>
      <c r="E42" s="18"/>
      <c r="F42" s="5"/>
      <c r="G42" s="5"/>
      <c r="H42" s="5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6"/>
    </row>
    <row r="43" spans="1:35" x14ac:dyDescent="0.25">
      <c r="A43" s="3"/>
      <c r="B43" s="317" t="str">
        <f>"0x"&amp;DEC2HEX(Sheet3!$I$4,8)</f>
        <v>0x00400320</v>
      </c>
      <c r="C43" s="317"/>
      <c r="D43" s="317"/>
      <c r="E43" s="16"/>
      <c r="F43" s="322" t="str">
        <f>F38&amp;BIN2HEX(MID(J38,3,8),2)&amp;BIN2HEX(RIGHT(J38,7)&amp;MID(O38,3,1),2)&amp;BIN2HEX(MID(O38,4,8),2)&amp;BIN2HEX(RIGHT(O38,6)&amp;T38&amp;U38,2)</f>
        <v>0xD3FEA98B00080008</v>
      </c>
      <c r="G43" s="322"/>
      <c r="H43" s="322"/>
      <c r="I43" s="322"/>
      <c r="J43" s="5"/>
      <c r="K43" s="5"/>
      <c r="L43" s="5"/>
      <c r="M43" s="5"/>
      <c r="N43" s="5"/>
      <c r="O43" s="5"/>
      <c r="P43" s="16"/>
      <c r="Q43" s="16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5"/>
      <c r="AH43" s="5"/>
      <c r="AI43" s="6"/>
    </row>
    <row r="44" spans="1:35" x14ac:dyDescent="0.25">
      <c r="A44" s="3"/>
      <c r="B44" s="317" t="str">
        <f>"0x"&amp;DEC2HEX(Sheet3!$I$4+8,8)</f>
        <v>0x00400328</v>
      </c>
      <c r="C44" s="317"/>
      <c r="D44" s="317"/>
      <c r="E44" s="5"/>
      <c r="F44" s="322" t="str">
        <f t="shared" ref="F44" si="0">F39&amp;BIN2HEX(MID(J39,3,8),2)&amp;BIN2HEX(RIGHT(J39,7)&amp;MID(O39,3,1),2)&amp;BIN2HEX(MID(O39,4,8),2)&amp;BIN2HEX(RIGHT(O39,6)&amp;T39&amp;U39,2)</f>
        <v>0x2C01567400080008</v>
      </c>
      <c r="G44" s="322"/>
      <c r="H44" s="322"/>
      <c r="I44" s="322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6"/>
    </row>
    <row r="45" spans="1:35" x14ac:dyDescent="0.25">
      <c r="A45" s="3"/>
      <c r="B45" s="317"/>
      <c r="C45" s="317"/>
      <c r="D45" s="317"/>
      <c r="E45" s="5"/>
      <c r="F45" s="322"/>
      <c r="G45" s="322"/>
      <c r="H45" s="322"/>
      <c r="I45" s="322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6"/>
    </row>
    <row r="46" spans="1:35" x14ac:dyDescent="0.25">
      <c r="A46" s="2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2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3"/>
    </row>
    <row r="47" spans="1:35" x14ac:dyDescent="0.25">
      <c r="A47" s="24"/>
      <c r="B47" s="28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6"/>
    </row>
    <row r="48" spans="1:35" x14ac:dyDescent="0.25">
      <c r="A48" s="3"/>
      <c r="B48" s="4" t="s">
        <v>211</v>
      </c>
      <c r="C48" s="5"/>
      <c r="D48" s="5"/>
      <c r="E48" s="5"/>
      <c r="F48" s="5"/>
      <c r="G48" s="5"/>
      <c r="H48" s="5"/>
      <c r="I48" s="5" t="str">
        <f>"0x"&amp;BIN2HEX(CONCATENATE(C53,D53,E53,F53,G53,H53,I53,J53),2)&amp;BIN2HEX(CONCATENATE(K53,L53,M53,N53,O53,P53,Q53,R53),2)&amp;BIN2HEX(CONCATENATE(S53,T53,U53,V53,W53,X53,Y53,Z53),2)&amp;BIN2HEX(CONCATENATE(AA53,AB53,AC53,AD53,AE53,AF53,AG53,AH53),2)&amp;"_"&amp;BIN2HEX(CONCATENATE(C57,D57,E57,F57,G57,H57,I57,J57),2)&amp;BIN2HEX(CONCATENATE(K57,L57,M57,N57,O57,P57,Q57,R57),2)&amp;BIN2HEX(CONCATENATE(S57,T57,U57,V57,W57,X57,Y57,Z57),2)&amp;BIN2HEX(CONCATENATE(AA57,AB57,AC57,AD57,AE57,AF57,AG57,AH57),2)</f>
        <v>0x00000000_00080008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6"/>
    </row>
    <row r="49" spans="1:35" ht="15.75" thickBot="1" x14ac:dyDescent="0.3">
      <c r="A49" s="3"/>
      <c r="B49" s="5"/>
      <c r="C49" s="7">
        <v>0</v>
      </c>
      <c r="D49" s="7">
        <v>1</v>
      </c>
      <c r="E49" s="7">
        <v>2</v>
      </c>
      <c r="F49" s="7">
        <v>3</v>
      </c>
      <c r="G49" s="7">
        <v>4</v>
      </c>
      <c r="H49" s="7">
        <v>5</v>
      </c>
      <c r="I49" s="7">
        <v>6</v>
      </c>
      <c r="J49" s="7">
        <v>7</v>
      </c>
      <c r="K49" s="7">
        <v>8</v>
      </c>
      <c r="L49" s="7">
        <v>9</v>
      </c>
      <c r="M49" s="7">
        <v>10</v>
      </c>
      <c r="N49" s="7">
        <v>11</v>
      </c>
      <c r="O49" s="7">
        <v>12</v>
      </c>
      <c r="P49" s="7">
        <v>13</v>
      </c>
      <c r="Q49" s="7">
        <v>14</v>
      </c>
      <c r="R49" s="7">
        <v>15</v>
      </c>
      <c r="S49" s="7">
        <v>16</v>
      </c>
      <c r="T49" s="7">
        <v>17</v>
      </c>
      <c r="U49" s="7">
        <v>18</v>
      </c>
      <c r="V49" s="7">
        <v>19</v>
      </c>
      <c r="W49" s="7">
        <v>20</v>
      </c>
      <c r="X49" s="7">
        <v>21</v>
      </c>
      <c r="Y49" s="7">
        <v>22</v>
      </c>
      <c r="Z49" s="7">
        <v>23</v>
      </c>
      <c r="AA49" s="7">
        <v>24</v>
      </c>
      <c r="AB49" s="7">
        <v>25</v>
      </c>
      <c r="AC49" s="7">
        <v>26</v>
      </c>
      <c r="AD49" s="7">
        <v>27</v>
      </c>
      <c r="AE49" s="7">
        <v>28</v>
      </c>
      <c r="AF49" s="7">
        <v>29</v>
      </c>
      <c r="AG49" s="7">
        <v>30</v>
      </c>
      <c r="AH49" s="7">
        <v>31</v>
      </c>
      <c r="AI49" s="6"/>
    </row>
    <row r="50" spans="1:35" ht="15" customHeight="1" x14ac:dyDescent="0.25">
      <c r="A50" s="3"/>
      <c r="B50" s="5" t="s">
        <v>31</v>
      </c>
      <c r="C50" s="366" t="s">
        <v>56</v>
      </c>
      <c r="D50" s="367"/>
      <c r="E50" s="367"/>
      <c r="F50" s="367"/>
      <c r="G50" s="367"/>
      <c r="H50" s="367"/>
      <c r="I50" s="367"/>
      <c r="J50" s="367"/>
      <c r="K50" s="367"/>
      <c r="L50" s="367"/>
      <c r="M50" s="367"/>
      <c r="N50" s="367"/>
      <c r="O50" s="367"/>
      <c r="P50" s="367"/>
      <c r="Q50" s="367"/>
      <c r="R50" s="367"/>
      <c r="S50" s="367"/>
      <c r="T50" s="367"/>
      <c r="U50" s="367"/>
      <c r="V50" s="367"/>
      <c r="W50" s="367"/>
      <c r="X50" s="367"/>
      <c r="Y50" s="367"/>
      <c r="Z50" s="367"/>
      <c r="AA50" s="367"/>
      <c r="AB50" s="367"/>
      <c r="AC50" s="367"/>
      <c r="AD50" s="367"/>
      <c r="AE50" s="367"/>
      <c r="AF50" s="367"/>
      <c r="AG50" s="367"/>
      <c r="AH50" s="368"/>
      <c r="AI50" s="6"/>
    </row>
    <row r="51" spans="1:35" x14ac:dyDescent="0.25">
      <c r="A51" s="3"/>
      <c r="B51" s="5" t="s">
        <v>32</v>
      </c>
      <c r="C51" s="369" t="s">
        <v>210</v>
      </c>
      <c r="D51" s="370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0"/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0"/>
      <c r="AH51" s="371"/>
      <c r="AI51" s="6"/>
    </row>
    <row r="52" spans="1:35" x14ac:dyDescent="0.25">
      <c r="A52" s="3"/>
      <c r="B52" s="5" t="s">
        <v>11</v>
      </c>
      <c r="C52" s="56">
        <v>0</v>
      </c>
      <c r="D52" s="57">
        <v>0</v>
      </c>
      <c r="E52" s="57">
        <v>0</v>
      </c>
      <c r="F52" s="57">
        <v>0</v>
      </c>
      <c r="G52" s="57">
        <v>0</v>
      </c>
      <c r="H52" s="57">
        <v>0</v>
      </c>
      <c r="I52" s="57">
        <v>0</v>
      </c>
      <c r="J52" s="57">
        <v>0</v>
      </c>
      <c r="K52" s="57">
        <v>0</v>
      </c>
      <c r="L52" s="57">
        <v>0</v>
      </c>
      <c r="M52" s="57">
        <v>0</v>
      </c>
      <c r="N52" s="57">
        <v>0</v>
      </c>
      <c r="O52" s="57">
        <v>0</v>
      </c>
      <c r="P52" s="57">
        <v>0</v>
      </c>
      <c r="Q52" s="57">
        <v>0</v>
      </c>
      <c r="R52" s="57">
        <v>0</v>
      </c>
      <c r="S52" s="57">
        <v>0</v>
      </c>
      <c r="T52" s="57">
        <v>0</v>
      </c>
      <c r="U52" s="57">
        <v>0</v>
      </c>
      <c r="V52" s="57">
        <v>0</v>
      </c>
      <c r="W52" s="57">
        <v>0</v>
      </c>
      <c r="X52" s="57">
        <v>0</v>
      </c>
      <c r="Y52" s="57">
        <v>0</v>
      </c>
      <c r="Z52" s="57">
        <v>0</v>
      </c>
      <c r="AA52" s="57">
        <v>0</v>
      </c>
      <c r="AB52" s="57">
        <v>0</v>
      </c>
      <c r="AC52" s="57">
        <v>0</v>
      </c>
      <c r="AD52" s="57">
        <v>0</v>
      </c>
      <c r="AE52" s="57">
        <v>0</v>
      </c>
      <c r="AF52" s="57">
        <v>0</v>
      </c>
      <c r="AG52" s="57">
        <v>0</v>
      </c>
      <c r="AH52" s="58">
        <v>0</v>
      </c>
      <c r="AI52" s="6"/>
    </row>
    <row r="53" spans="1:35" ht="15.75" thickBot="1" x14ac:dyDescent="0.3">
      <c r="A53" s="3"/>
      <c r="B53" s="5" t="s">
        <v>12</v>
      </c>
      <c r="C53" s="61">
        <v>0</v>
      </c>
      <c r="D53" s="62">
        <v>0</v>
      </c>
      <c r="E53" s="62">
        <v>0</v>
      </c>
      <c r="F53" s="62">
        <v>0</v>
      </c>
      <c r="G53" s="62">
        <v>0</v>
      </c>
      <c r="H53" s="62">
        <v>0</v>
      </c>
      <c r="I53" s="62">
        <v>0</v>
      </c>
      <c r="J53" s="62">
        <v>0</v>
      </c>
      <c r="K53" s="62">
        <v>0</v>
      </c>
      <c r="L53" s="62">
        <v>0</v>
      </c>
      <c r="M53" s="62">
        <v>0</v>
      </c>
      <c r="N53" s="62">
        <v>0</v>
      </c>
      <c r="O53" s="62">
        <v>0</v>
      </c>
      <c r="P53" s="62">
        <v>0</v>
      </c>
      <c r="Q53" s="62">
        <v>0</v>
      </c>
      <c r="R53" s="62">
        <v>0</v>
      </c>
      <c r="S53" s="62">
        <v>0</v>
      </c>
      <c r="T53" s="62">
        <v>0</v>
      </c>
      <c r="U53" s="62">
        <v>0</v>
      </c>
      <c r="V53" s="62">
        <v>0</v>
      </c>
      <c r="W53" s="62">
        <v>0</v>
      </c>
      <c r="X53" s="62">
        <v>0</v>
      </c>
      <c r="Y53" s="62">
        <v>0</v>
      </c>
      <c r="Z53" s="62">
        <v>0</v>
      </c>
      <c r="AA53" s="62">
        <v>0</v>
      </c>
      <c r="AB53" s="62">
        <v>0</v>
      </c>
      <c r="AC53" s="62">
        <v>0</v>
      </c>
      <c r="AD53" s="62">
        <v>0</v>
      </c>
      <c r="AE53" s="62">
        <v>0</v>
      </c>
      <c r="AF53" s="62">
        <v>0</v>
      </c>
      <c r="AG53" s="62">
        <v>0</v>
      </c>
      <c r="AH53" s="146">
        <v>0</v>
      </c>
      <c r="AI53" s="6"/>
    </row>
    <row r="54" spans="1:35" x14ac:dyDescent="0.25">
      <c r="A54" s="3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6"/>
    </row>
    <row r="55" spans="1:35" ht="15.75" thickBot="1" x14ac:dyDescent="0.3">
      <c r="A55" s="3"/>
      <c r="B55" s="5"/>
      <c r="C55" s="7">
        <v>32</v>
      </c>
      <c r="D55" s="7">
        <v>33</v>
      </c>
      <c r="E55" s="7">
        <v>34</v>
      </c>
      <c r="F55" s="7">
        <v>35</v>
      </c>
      <c r="G55" s="7">
        <v>36</v>
      </c>
      <c r="H55" s="7">
        <v>37</v>
      </c>
      <c r="I55" s="7">
        <v>38</v>
      </c>
      <c r="J55" s="7">
        <v>39</v>
      </c>
      <c r="K55" s="7">
        <v>40</v>
      </c>
      <c r="L55" s="7">
        <v>41</v>
      </c>
      <c r="M55" s="7">
        <v>42</v>
      </c>
      <c r="N55" s="7">
        <v>43</v>
      </c>
      <c r="O55" s="7">
        <v>44</v>
      </c>
      <c r="P55" s="7">
        <v>45</v>
      </c>
      <c r="Q55" s="7">
        <v>46</v>
      </c>
      <c r="R55" s="7">
        <v>47</v>
      </c>
      <c r="S55" s="7">
        <v>48</v>
      </c>
      <c r="T55" s="7">
        <v>49</v>
      </c>
      <c r="U55" s="7">
        <v>50</v>
      </c>
      <c r="V55" s="7">
        <v>51</v>
      </c>
      <c r="W55" s="7">
        <v>52</v>
      </c>
      <c r="X55" s="7">
        <v>53</v>
      </c>
      <c r="Y55" s="7">
        <v>54</v>
      </c>
      <c r="Z55" s="7">
        <v>55</v>
      </c>
      <c r="AA55" s="7">
        <v>56</v>
      </c>
      <c r="AB55" s="7">
        <v>57</v>
      </c>
      <c r="AC55" s="7">
        <v>58</v>
      </c>
      <c r="AD55" s="7">
        <v>59</v>
      </c>
      <c r="AE55" s="7">
        <v>60</v>
      </c>
      <c r="AF55" s="7">
        <v>61</v>
      </c>
      <c r="AG55" s="7">
        <v>62</v>
      </c>
      <c r="AH55" s="7">
        <v>63</v>
      </c>
      <c r="AI55" s="6"/>
    </row>
    <row r="56" spans="1:35" ht="15.75" thickBot="1" x14ac:dyDescent="0.3">
      <c r="A56" s="3"/>
      <c r="B56" s="5"/>
      <c r="C56" s="147" t="s">
        <v>13</v>
      </c>
      <c r="D56" s="148" t="s">
        <v>14</v>
      </c>
      <c r="E56" s="148" t="s">
        <v>15</v>
      </c>
      <c r="F56" s="148" t="s">
        <v>16</v>
      </c>
      <c r="G56" s="148" t="s">
        <v>17</v>
      </c>
      <c r="H56" s="148" t="s">
        <v>18</v>
      </c>
      <c r="I56" s="148" t="s">
        <v>19</v>
      </c>
      <c r="J56" s="148" t="s">
        <v>20</v>
      </c>
      <c r="K56" s="148" t="s">
        <v>21</v>
      </c>
      <c r="L56" s="148" t="s">
        <v>22</v>
      </c>
      <c r="M56" s="148" t="s">
        <v>23</v>
      </c>
      <c r="N56" s="148" t="s">
        <v>24</v>
      </c>
      <c r="O56" s="148" t="s">
        <v>25</v>
      </c>
      <c r="P56" s="148" t="s">
        <v>26</v>
      </c>
      <c r="Q56" s="148" t="s">
        <v>27</v>
      </c>
      <c r="R56" s="362" t="s">
        <v>30</v>
      </c>
      <c r="S56" s="362"/>
      <c r="T56" s="362"/>
      <c r="U56" s="362"/>
      <c r="V56" s="362"/>
      <c r="W56" s="362"/>
      <c r="X56" s="362"/>
      <c r="Y56" s="362"/>
      <c r="Z56" s="362"/>
      <c r="AA56" s="362"/>
      <c r="AB56" s="362"/>
      <c r="AC56" s="362"/>
      <c r="AD56" s="362"/>
      <c r="AE56" s="362"/>
      <c r="AF56" s="362"/>
      <c r="AG56" s="67" t="s">
        <v>28</v>
      </c>
      <c r="AH56" s="149" t="s">
        <v>29</v>
      </c>
      <c r="AI56" s="6"/>
    </row>
    <row r="57" spans="1:35" ht="15.75" thickBot="1" x14ac:dyDescent="0.3">
      <c r="A57" s="3"/>
      <c r="B57" s="5"/>
      <c r="C57" s="150">
        <v>0</v>
      </c>
      <c r="D57" s="151">
        <v>0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1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1</v>
      </c>
      <c r="AF57" s="151">
        <v>0</v>
      </c>
      <c r="AG57" s="151">
        <v>0</v>
      </c>
      <c r="AH57" s="152">
        <v>0</v>
      </c>
      <c r="AI57" s="6"/>
    </row>
    <row r="58" spans="1:35" x14ac:dyDescent="0.25">
      <c r="A58" s="3"/>
      <c r="B58" s="4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6"/>
    </row>
    <row r="59" spans="1:35" x14ac:dyDescent="0.25">
      <c r="A59" s="3"/>
      <c r="B59" s="8" t="s">
        <v>43</v>
      </c>
      <c r="C59" s="9"/>
      <c r="D59" s="9"/>
      <c r="E59" s="9"/>
      <c r="F59" s="363" t="s">
        <v>44</v>
      </c>
      <c r="G59" s="363"/>
      <c r="H59" s="363"/>
      <c r="I59" s="9"/>
      <c r="J59" s="364" t="s">
        <v>45</v>
      </c>
      <c r="K59" s="364"/>
      <c r="L59" s="364"/>
      <c r="M59" s="364"/>
      <c r="N59" s="9"/>
      <c r="O59" s="365" t="s">
        <v>46</v>
      </c>
      <c r="P59" s="365"/>
      <c r="Q59" s="365"/>
      <c r="R59" s="365"/>
      <c r="S59" s="9"/>
      <c r="T59" s="1" t="s">
        <v>49</v>
      </c>
      <c r="U59" s="10" t="s">
        <v>48</v>
      </c>
      <c r="V59" s="5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6"/>
    </row>
    <row r="60" spans="1:35" ht="15" customHeight="1" x14ac:dyDescent="0.25">
      <c r="A60" s="3"/>
      <c r="B60" s="317" t="str">
        <f>"0x"&amp;DEC2HEX(Sheet3!$I$4,8)</f>
        <v>0x00400320</v>
      </c>
      <c r="C60" s="317"/>
      <c r="D60" s="317"/>
      <c r="E60" s="15"/>
      <c r="F60" s="319" t="s">
        <v>55</v>
      </c>
      <c r="G60" s="319"/>
      <c r="H60" s="319"/>
      <c r="I60" s="15"/>
      <c r="J60" s="317" t="str">
        <f>"0b"&amp;C57&amp;D57&amp;E57&amp;F57&amp;G57&amp;H57&amp;I57&amp;J57&amp;K57&amp;L57&amp;M57&amp;N57&amp;O57&amp;P57&amp;Q57</f>
        <v>0b000000000000100</v>
      </c>
      <c r="K60" s="317"/>
      <c r="L60" s="317"/>
      <c r="M60" s="317"/>
      <c r="N60" s="15"/>
      <c r="O60" s="317" t="str">
        <f>"0b"&amp;DEC2BIN(((AF57+AE57*2+AD57*4+AC57*8+AB57*16+AA57*32+Z57*64+Y57*128+X57*256+W57*512+V57*1024+U57*2048+T57*4096+S57*2^13+R57*2^14)/512),6)&amp;DEC2BIN(MOD((AF57+AE57*2+AD57*4+AC57*8+AB57*16+AA57*32+Z57*64+Y57*128+X57*256+W57*512+V57*1024+U57*2048+T57*4096+S57*2^13+R57*2^14),512),9)</f>
        <v>0b000000000000010</v>
      </c>
      <c r="P60" s="317"/>
      <c r="Q60" s="317"/>
      <c r="R60" s="317"/>
      <c r="S60" s="15"/>
      <c r="T60" s="13">
        <v>0</v>
      </c>
      <c r="U60" s="15">
        <f>AH57</f>
        <v>0</v>
      </c>
      <c r="V60" s="5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6"/>
    </row>
    <row r="61" spans="1:35" x14ac:dyDescent="0.25">
      <c r="A61" s="3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5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6"/>
    </row>
    <row r="62" spans="1:35" x14ac:dyDescent="0.25">
      <c r="A62" s="3"/>
      <c r="B62" s="317"/>
      <c r="C62" s="317"/>
      <c r="D62" s="317"/>
      <c r="E62" s="15"/>
      <c r="F62" s="319"/>
      <c r="G62" s="319"/>
      <c r="H62" s="319"/>
      <c r="I62" s="15"/>
      <c r="J62" s="317"/>
      <c r="K62" s="317"/>
      <c r="L62" s="317"/>
      <c r="M62" s="317"/>
      <c r="N62" s="15"/>
      <c r="O62" s="317"/>
      <c r="P62" s="317"/>
      <c r="Q62" s="317"/>
      <c r="R62" s="317"/>
      <c r="S62" s="15"/>
      <c r="T62" s="13"/>
      <c r="U62" s="15"/>
      <c r="V62" s="5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6"/>
    </row>
    <row r="63" spans="1:35" x14ac:dyDescent="0.25">
      <c r="A63" s="3"/>
      <c r="B63" s="5"/>
      <c r="C63" s="5"/>
      <c r="D63" s="5"/>
      <c r="E63" s="5"/>
      <c r="F63" s="17"/>
      <c r="G63" s="17"/>
      <c r="H63" s="17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6"/>
    </row>
    <row r="64" spans="1:35" x14ac:dyDescent="0.25">
      <c r="A64" s="3"/>
      <c r="B64" s="5" t="s">
        <v>47</v>
      </c>
      <c r="C64" s="18"/>
      <c r="D64" s="18"/>
      <c r="E64" s="18"/>
      <c r="F64" s="5"/>
      <c r="G64" s="5"/>
      <c r="H64" s="5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6"/>
    </row>
    <row r="65" spans="1:35" ht="15" customHeight="1" x14ac:dyDescent="0.25">
      <c r="A65" s="3"/>
      <c r="B65" s="317" t="str">
        <f>"0x"&amp;DEC2HEX(Sheet3!$I$4,8)</f>
        <v>0x00400320</v>
      </c>
      <c r="C65" s="317"/>
      <c r="D65" s="317"/>
      <c r="E65" s="5"/>
      <c r="F65" s="322" t="str">
        <f>F60&amp;BIN2HEX(MID(J60,3,8),2)&amp;BIN2HEX(RIGHT(J60,7)&amp;MID(O60,3,1),2)&amp;BIN2HEX(MID(O60,4,8),2)&amp;BIN2HEX(RIGHT(O60,6)&amp;T60&amp;U60,2)</f>
        <v>0x2C01567400080008</v>
      </c>
      <c r="G65" s="322"/>
      <c r="H65" s="322"/>
      <c r="I65" s="322"/>
      <c r="J65" s="5"/>
      <c r="K65" s="5"/>
      <c r="L65" s="5"/>
      <c r="M65" s="5"/>
      <c r="N65" s="5"/>
      <c r="O65" s="5"/>
      <c r="P65" s="16"/>
      <c r="Q65" s="16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5"/>
      <c r="AH65" s="5"/>
      <c r="AI65" s="6"/>
    </row>
    <row r="66" spans="1:35" x14ac:dyDescent="0.25">
      <c r="A66" s="3"/>
      <c r="B66" s="11"/>
      <c r="C66" s="11"/>
      <c r="D66" s="11"/>
      <c r="E66" s="11"/>
      <c r="F66" s="11"/>
      <c r="G66" s="11"/>
      <c r="H66" s="11"/>
      <c r="I66" s="11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6"/>
    </row>
    <row r="67" spans="1:35" x14ac:dyDescent="0.25">
      <c r="A67" s="3"/>
      <c r="B67" s="317"/>
      <c r="C67" s="317"/>
      <c r="D67" s="317"/>
      <c r="E67" s="5"/>
      <c r="F67" s="322"/>
      <c r="G67" s="322"/>
      <c r="H67" s="322"/>
      <c r="I67" s="322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6"/>
    </row>
    <row r="68" spans="1:35" x14ac:dyDescent="0.25">
      <c r="A68" s="20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2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3"/>
    </row>
    <row r="69" spans="1:35" x14ac:dyDescent="0.25">
      <c r="A69" s="24"/>
      <c r="B69" s="28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6"/>
    </row>
    <row r="70" spans="1:35" x14ac:dyDescent="0.25">
      <c r="A70" s="3"/>
      <c r="B70" s="4" t="s">
        <v>57</v>
      </c>
      <c r="C70" s="5"/>
      <c r="D70" s="5"/>
      <c r="E70" s="5"/>
      <c r="F70" s="5"/>
      <c r="G70" s="5"/>
      <c r="H70" s="5"/>
      <c r="I70" s="5" t="str">
        <f>"0x"&amp;BIN2HEX(CONCATENATE(C75,D75,E75,F75,G75,H75,I75,J75),2)&amp;BIN2HEX(CONCATENATE(K75,L75,M75,N75,O75,P75,Q75,R75),2)&amp;BIN2HEX(CONCATENATE(S75,T75,U75,V75,W75,X75,Y75,Z75),2)&amp;BIN2HEX(CONCATENATE(AA75,AB75,AC75,AD75,AE75,AF75,AG75,AH75),2)&amp;"_"&amp;BIN2HEX(CONCATENATE(C79,D79,E79,F79,G79,H79,I79,J79),2)&amp;BIN2HEX(CONCATENATE(K79,L79,M79,N79,O79,P79,Q79,R79),2)&amp;BIN2HEX(CONCATENATE(S79,T79,U79,V79,W79,X79,Y79,Z79),2)&amp;BIN2HEX(CONCATENATE(AA79,AB79,AC79,AD79,AE79,AF79,AG79,AH79),2)</f>
        <v>0x00000000_00080000</v>
      </c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6"/>
    </row>
    <row r="71" spans="1:35" ht="15.75" thickBot="1" x14ac:dyDescent="0.3">
      <c r="A71" s="3"/>
      <c r="B71" s="5"/>
      <c r="C71" s="7">
        <v>0</v>
      </c>
      <c r="D71" s="7">
        <v>1</v>
      </c>
      <c r="E71" s="7">
        <v>2</v>
      </c>
      <c r="F71" s="7">
        <v>3</v>
      </c>
      <c r="G71" s="7">
        <v>4</v>
      </c>
      <c r="H71" s="7">
        <v>5</v>
      </c>
      <c r="I71" s="7">
        <v>6</v>
      </c>
      <c r="J71" s="7">
        <v>7</v>
      </c>
      <c r="K71" s="7">
        <v>8</v>
      </c>
      <c r="L71" s="7">
        <v>9</v>
      </c>
      <c r="M71" s="7">
        <v>10</v>
      </c>
      <c r="N71" s="7">
        <v>11</v>
      </c>
      <c r="O71" s="7">
        <v>12</v>
      </c>
      <c r="P71" s="7">
        <v>13</v>
      </c>
      <c r="Q71" s="7">
        <v>14</v>
      </c>
      <c r="R71" s="7">
        <v>15</v>
      </c>
      <c r="S71" s="7">
        <v>16</v>
      </c>
      <c r="T71" s="7">
        <v>17</v>
      </c>
      <c r="U71" s="7">
        <v>18</v>
      </c>
      <c r="V71" s="7">
        <v>19</v>
      </c>
      <c r="W71" s="7">
        <v>20</v>
      </c>
      <c r="X71" s="7">
        <v>21</v>
      </c>
      <c r="Y71" s="7">
        <v>22</v>
      </c>
      <c r="Z71" s="7">
        <v>23</v>
      </c>
      <c r="AA71" s="7">
        <v>24</v>
      </c>
      <c r="AB71" s="7">
        <v>25</v>
      </c>
      <c r="AC71" s="7">
        <v>26</v>
      </c>
      <c r="AD71" s="7">
        <v>27</v>
      </c>
      <c r="AE71" s="7">
        <v>28</v>
      </c>
      <c r="AF71" s="7">
        <v>29</v>
      </c>
      <c r="AG71" s="7">
        <v>30</v>
      </c>
      <c r="AH71" s="7">
        <v>31</v>
      </c>
      <c r="AI71" s="6"/>
    </row>
    <row r="72" spans="1:35" ht="15" customHeight="1" x14ac:dyDescent="0.25">
      <c r="A72" s="3"/>
      <c r="B72" s="5" t="s">
        <v>31</v>
      </c>
      <c r="C72" s="354">
        <v>0</v>
      </c>
      <c r="D72" s="331"/>
      <c r="E72" s="331"/>
      <c r="F72" s="331"/>
      <c r="G72" s="331"/>
      <c r="H72" s="331"/>
      <c r="I72" s="331"/>
      <c r="J72" s="331"/>
      <c r="K72" s="331"/>
      <c r="L72" s="331"/>
      <c r="M72" s="331"/>
      <c r="N72" s="331"/>
      <c r="O72" s="331"/>
      <c r="P72" s="331"/>
      <c r="Q72" s="331"/>
      <c r="R72" s="331"/>
      <c r="S72" s="331"/>
      <c r="T72" s="331"/>
      <c r="U72" s="331"/>
      <c r="V72" s="331"/>
      <c r="W72" s="332"/>
      <c r="X72" s="345" t="s">
        <v>59</v>
      </c>
      <c r="Y72" s="345" t="s">
        <v>60</v>
      </c>
      <c r="Z72" s="345" t="s">
        <v>61</v>
      </c>
      <c r="AA72" s="336">
        <v>0</v>
      </c>
      <c r="AB72" s="337"/>
      <c r="AC72" s="337"/>
      <c r="AD72" s="337"/>
      <c r="AE72" s="337"/>
      <c r="AF72" s="337"/>
      <c r="AG72" s="350"/>
      <c r="AH72" s="347" t="s">
        <v>58</v>
      </c>
      <c r="AI72" s="6"/>
    </row>
    <row r="73" spans="1:35" x14ac:dyDescent="0.25">
      <c r="A73" s="3"/>
      <c r="B73" s="5" t="s">
        <v>32</v>
      </c>
      <c r="C73" s="358"/>
      <c r="D73" s="340"/>
      <c r="E73" s="340"/>
      <c r="F73" s="340"/>
      <c r="G73" s="340"/>
      <c r="H73" s="340"/>
      <c r="I73" s="340"/>
      <c r="J73" s="340"/>
      <c r="K73" s="340"/>
      <c r="L73" s="340"/>
      <c r="M73" s="340"/>
      <c r="N73" s="340"/>
      <c r="O73" s="340"/>
      <c r="P73" s="340"/>
      <c r="Q73" s="340"/>
      <c r="R73" s="340"/>
      <c r="S73" s="340"/>
      <c r="T73" s="340"/>
      <c r="U73" s="340"/>
      <c r="V73" s="340"/>
      <c r="W73" s="359"/>
      <c r="X73" s="346"/>
      <c r="Y73" s="346"/>
      <c r="Z73" s="346"/>
      <c r="AA73" s="339"/>
      <c r="AB73" s="340"/>
      <c r="AC73" s="340"/>
      <c r="AD73" s="340"/>
      <c r="AE73" s="340"/>
      <c r="AF73" s="340"/>
      <c r="AG73" s="359"/>
      <c r="AH73" s="348"/>
      <c r="AI73" s="6"/>
    </row>
    <row r="74" spans="1:35" x14ac:dyDescent="0.25">
      <c r="A74" s="3"/>
      <c r="B74" s="5" t="s">
        <v>11</v>
      </c>
      <c r="C74" s="56">
        <v>0</v>
      </c>
      <c r="D74" s="57">
        <v>0</v>
      </c>
      <c r="E74" s="57">
        <v>0</v>
      </c>
      <c r="F74" s="57">
        <v>0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v>0</v>
      </c>
      <c r="Q74" s="57">
        <v>0</v>
      </c>
      <c r="R74" s="57">
        <v>0</v>
      </c>
      <c r="S74" s="57">
        <v>0</v>
      </c>
      <c r="T74" s="57">
        <v>0</v>
      </c>
      <c r="U74" s="57">
        <v>0</v>
      </c>
      <c r="V74" s="57">
        <v>0</v>
      </c>
      <c r="W74" s="57">
        <v>0</v>
      </c>
      <c r="X74" s="57">
        <v>0</v>
      </c>
      <c r="Y74" s="57">
        <v>0</v>
      </c>
      <c r="Z74" s="57">
        <v>0</v>
      </c>
      <c r="AA74" s="57">
        <v>0</v>
      </c>
      <c r="AB74" s="57">
        <v>0</v>
      </c>
      <c r="AC74" s="57">
        <v>0</v>
      </c>
      <c r="AD74" s="57">
        <v>0</v>
      </c>
      <c r="AE74" s="57">
        <v>0</v>
      </c>
      <c r="AF74" s="57">
        <v>0</v>
      </c>
      <c r="AG74" s="57">
        <v>0</v>
      </c>
      <c r="AH74" s="58">
        <v>0</v>
      </c>
      <c r="AI74" s="6"/>
    </row>
    <row r="75" spans="1:35" ht="15.75" thickBot="1" x14ac:dyDescent="0.3">
      <c r="A75" s="3"/>
      <c r="B75" s="5" t="s">
        <v>12</v>
      </c>
      <c r="C75" s="61">
        <v>0</v>
      </c>
      <c r="D75" s="62">
        <v>0</v>
      </c>
      <c r="E75" s="62">
        <v>0</v>
      </c>
      <c r="F75" s="62">
        <v>0</v>
      </c>
      <c r="G75" s="62">
        <v>0</v>
      </c>
      <c r="H75" s="62">
        <v>0</v>
      </c>
      <c r="I75" s="62">
        <v>0</v>
      </c>
      <c r="J75" s="62">
        <v>0</v>
      </c>
      <c r="K75" s="62">
        <v>0</v>
      </c>
      <c r="L75" s="62">
        <v>0</v>
      </c>
      <c r="M75" s="62">
        <v>0</v>
      </c>
      <c r="N75" s="62">
        <v>0</v>
      </c>
      <c r="O75" s="62">
        <v>0</v>
      </c>
      <c r="P75" s="62">
        <v>0</v>
      </c>
      <c r="Q75" s="62">
        <v>0</v>
      </c>
      <c r="R75" s="62">
        <v>0</v>
      </c>
      <c r="S75" s="62">
        <v>0</v>
      </c>
      <c r="T75" s="62">
        <v>0</v>
      </c>
      <c r="U75" s="62">
        <v>0</v>
      </c>
      <c r="V75" s="62">
        <v>0</v>
      </c>
      <c r="W75" s="161">
        <v>0</v>
      </c>
      <c r="X75" s="88">
        <v>0</v>
      </c>
      <c r="Y75" s="88">
        <v>0</v>
      </c>
      <c r="Z75" s="88">
        <v>0</v>
      </c>
      <c r="AA75" s="62">
        <v>0</v>
      </c>
      <c r="AB75" s="62">
        <v>0</v>
      </c>
      <c r="AC75" s="62">
        <v>0</v>
      </c>
      <c r="AD75" s="62">
        <v>0</v>
      </c>
      <c r="AE75" s="62">
        <v>0</v>
      </c>
      <c r="AF75" s="62">
        <v>0</v>
      </c>
      <c r="AG75" s="62">
        <v>0</v>
      </c>
      <c r="AH75" s="89">
        <v>0</v>
      </c>
      <c r="AI75" s="6"/>
    </row>
    <row r="76" spans="1:35" x14ac:dyDescent="0.25">
      <c r="A76" s="3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6"/>
    </row>
    <row r="77" spans="1:35" ht="15.75" thickBot="1" x14ac:dyDescent="0.3">
      <c r="A77" s="3"/>
      <c r="B77" s="5"/>
      <c r="C77" s="7">
        <v>32</v>
      </c>
      <c r="D77" s="7">
        <v>33</v>
      </c>
      <c r="E77" s="7">
        <v>34</v>
      </c>
      <c r="F77" s="7">
        <v>35</v>
      </c>
      <c r="G77" s="7">
        <v>36</v>
      </c>
      <c r="H77" s="7">
        <v>37</v>
      </c>
      <c r="I77" s="7">
        <v>38</v>
      </c>
      <c r="J77" s="7">
        <v>39</v>
      </c>
      <c r="K77" s="7">
        <v>40</v>
      </c>
      <c r="L77" s="7">
        <v>41</v>
      </c>
      <c r="M77" s="7">
        <v>42</v>
      </c>
      <c r="N77" s="7">
        <v>43</v>
      </c>
      <c r="O77" s="7">
        <v>44</v>
      </c>
      <c r="P77" s="7">
        <v>45</v>
      </c>
      <c r="Q77" s="7">
        <v>46</v>
      </c>
      <c r="R77" s="7">
        <v>47</v>
      </c>
      <c r="S77" s="7">
        <v>48</v>
      </c>
      <c r="T77" s="7">
        <v>49</v>
      </c>
      <c r="U77" s="7">
        <v>50</v>
      </c>
      <c r="V77" s="7">
        <v>51</v>
      </c>
      <c r="W77" s="7">
        <v>52</v>
      </c>
      <c r="X77" s="7">
        <v>53</v>
      </c>
      <c r="Y77" s="7">
        <v>54</v>
      </c>
      <c r="Z77" s="7">
        <v>55</v>
      </c>
      <c r="AA77" s="7">
        <v>56</v>
      </c>
      <c r="AB77" s="7">
        <v>57</v>
      </c>
      <c r="AC77" s="7">
        <v>58</v>
      </c>
      <c r="AD77" s="7">
        <v>59</v>
      </c>
      <c r="AE77" s="7">
        <v>60</v>
      </c>
      <c r="AF77" s="7">
        <v>61</v>
      </c>
      <c r="AG77" s="7">
        <v>62</v>
      </c>
      <c r="AH77" s="7">
        <v>63</v>
      </c>
      <c r="AI77" s="6"/>
    </row>
    <row r="78" spans="1:35" ht="15.75" thickBot="1" x14ac:dyDescent="0.3">
      <c r="A78" s="3"/>
      <c r="B78" s="5"/>
      <c r="C78" s="147" t="s">
        <v>13</v>
      </c>
      <c r="D78" s="148" t="s">
        <v>14</v>
      </c>
      <c r="E78" s="148" t="s">
        <v>15</v>
      </c>
      <c r="F78" s="148" t="s">
        <v>16</v>
      </c>
      <c r="G78" s="148" t="s">
        <v>17</v>
      </c>
      <c r="H78" s="148" t="s">
        <v>18</v>
      </c>
      <c r="I78" s="148" t="s">
        <v>19</v>
      </c>
      <c r="J78" s="148" t="s">
        <v>20</v>
      </c>
      <c r="K78" s="148" t="s">
        <v>21</v>
      </c>
      <c r="L78" s="148" t="s">
        <v>22</v>
      </c>
      <c r="M78" s="148" t="s">
        <v>23</v>
      </c>
      <c r="N78" s="148" t="s">
        <v>24</v>
      </c>
      <c r="O78" s="148" t="s">
        <v>25</v>
      </c>
      <c r="P78" s="148" t="s">
        <v>26</v>
      </c>
      <c r="Q78" s="148" t="s">
        <v>27</v>
      </c>
      <c r="R78" s="362" t="s">
        <v>30</v>
      </c>
      <c r="S78" s="362"/>
      <c r="T78" s="362"/>
      <c r="U78" s="362"/>
      <c r="V78" s="362"/>
      <c r="W78" s="362"/>
      <c r="X78" s="362"/>
      <c r="Y78" s="362"/>
      <c r="Z78" s="362"/>
      <c r="AA78" s="362"/>
      <c r="AB78" s="362"/>
      <c r="AC78" s="362"/>
      <c r="AD78" s="362"/>
      <c r="AE78" s="362"/>
      <c r="AF78" s="362"/>
      <c r="AG78" s="67" t="s">
        <v>28</v>
      </c>
      <c r="AH78" s="149" t="s">
        <v>29</v>
      </c>
      <c r="AI78" s="6"/>
    </row>
    <row r="79" spans="1:35" ht="15.75" thickBot="1" x14ac:dyDescent="0.3">
      <c r="A79" s="3"/>
      <c r="B79" s="5"/>
      <c r="C79" s="150">
        <v>0</v>
      </c>
      <c r="D79" s="151">
        <v>0</v>
      </c>
      <c r="E79" s="151">
        <v>0</v>
      </c>
      <c r="F79" s="151">
        <v>0</v>
      </c>
      <c r="G79" s="151">
        <v>0</v>
      </c>
      <c r="H79" s="151">
        <v>0</v>
      </c>
      <c r="I79" s="151">
        <v>0</v>
      </c>
      <c r="J79" s="151">
        <v>0</v>
      </c>
      <c r="K79" s="151">
        <v>0</v>
      </c>
      <c r="L79" s="151">
        <v>0</v>
      </c>
      <c r="M79" s="151">
        <v>0</v>
      </c>
      <c r="N79" s="151">
        <v>0</v>
      </c>
      <c r="O79" s="151">
        <v>1</v>
      </c>
      <c r="P79" s="151">
        <v>0</v>
      </c>
      <c r="Q79" s="151">
        <v>0</v>
      </c>
      <c r="R79" s="151">
        <v>0</v>
      </c>
      <c r="S79" s="151">
        <v>0</v>
      </c>
      <c r="T79" s="151">
        <v>0</v>
      </c>
      <c r="U79" s="151">
        <v>0</v>
      </c>
      <c r="V79" s="151">
        <v>0</v>
      </c>
      <c r="W79" s="151">
        <v>0</v>
      </c>
      <c r="X79" s="151">
        <v>0</v>
      </c>
      <c r="Y79" s="151">
        <v>0</v>
      </c>
      <c r="Z79" s="151">
        <v>0</v>
      </c>
      <c r="AA79" s="151">
        <v>0</v>
      </c>
      <c r="AB79" s="151">
        <v>0</v>
      </c>
      <c r="AC79" s="151">
        <v>0</v>
      </c>
      <c r="AD79" s="151">
        <v>0</v>
      </c>
      <c r="AE79" s="151">
        <v>0</v>
      </c>
      <c r="AF79" s="151">
        <v>0</v>
      </c>
      <c r="AG79" s="151">
        <v>0</v>
      </c>
      <c r="AH79" s="152">
        <v>0</v>
      </c>
      <c r="AI79" s="6"/>
    </row>
    <row r="80" spans="1:35" x14ac:dyDescent="0.25">
      <c r="A80" s="3"/>
      <c r="B80" s="4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6"/>
    </row>
    <row r="81" spans="1:35" x14ac:dyDescent="0.25">
      <c r="A81" s="3"/>
      <c r="B81" s="8" t="s">
        <v>43</v>
      </c>
      <c r="C81" s="9"/>
      <c r="D81" s="9"/>
      <c r="E81" s="9"/>
      <c r="F81" s="363" t="s">
        <v>44</v>
      </c>
      <c r="G81" s="363"/>
      <c r="H81" s="363"/>
      <c r="I81" s="9"/>
      <c r="J81" s="364" t="s">
        <v>45</v>
      </c>
      <c r="K81" s="364"/>
      <c r="L81" s="364"/>
      <c r="M81" s="364"/>
      <c r="N81" s="9"/>
      <c r="O81" s="365" t="s">
        <v>46</v>
      </c>
      <c r="P81" s="365"/>
      <c r="Q81" s="365"/>
      <c r="R81" s="365"/>
      <c r="S81" s="9"/>
      <c r="T81" s="1" t="s">
        <v>49</v>
      </c>
      <c r="U81" s="10" t="s">
        <v>48</v>
      </c>
      <c r="V81" s="5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6"/>
    </row>
    <row r="82" spans="1:35" ht="15" customHeight="1" x14ac:dyDescent="0.25">
      <c r="A82" s="3"/>
      <c r="B82" s="317" t="str">
        <f>"0x"&amp;DEC2HEX(Sheet3!$I$4,8)</f>
        <v>0x00400320</v>
      </c>
      <c r="C82" s="317"/>
      <c r="D82" s="317"/>
      <c r="E82" s="12"/>
      <c r="F82" s="319" t="str">
        <f>"0x"&amp;BIN2HEX(CONCATENATE(C75,D75,E75,F75,G75,H75,I75,J75),2)&amp;BIN2HEX(CONCATENATE(K75,L75,M75,N75,O75,P75,Q75,R75),2)&amp;BIN2HEX(CONCATENATE(S75,T75,U75,V75,W75,X75,Y75,Z75),2)&amp;BIN2HEX(CONCATENATE(AA75,AB75,AC75,AD75,AE75,AF75,AG75,AH75),2)</f>
        <v>0x00000000</v>
      </c>
      <c r="G82" s="319"/>
      <c r="H82" s="319"/>
      <c r="I82" s="12"/>
      <c r="J82" s="319" t="str">
        <f>"0b"&amp;C79&amp;D79&amp;E79&amp;F79&amp;G79&amp;H79&amp;I79&amp;J79&amp;K79&amp;L79&amp;M79&amp;N79&amp;O79&amp;P79&amp;Q79</f>
        <v>0b000000000000100</v>
      </c>
      <c r="K82" s="319"/>
      <c r="L82" s="319"/>
      <c r="M82" s="319"/>
      <c r="N82" s="12"/>
      <c r="O82" s="319" t="str">
        <f>"0b"&amp;DEC2BIN(((AF79+AE79*2+AD79*4+AC79*8+AB79*16+AA79*32+Z79*64+Y79*128+X79*256+W79*512+V79*1024+U79*2048+T79*4096+S79*2^13+R79*2^14)/512),6)&amp;DEC2BIN(MOD((AF79+AE79*2+AD79*4+AC79*8+AB79*16+AA79*32+Z79*64+Y79*128+X79*256+W79*512+V79*1024+U79*2048+T79*4096+S79*2^13+R79*2^14),512),9)</f>
        <v>0b000000000000000</v>
      </c>
      <c r="P82" s="319"/>
      <c r="Q82" s="319"/>
      <c r="R82" s="319"/>
      <c r="S82" s="12"/>
      <c r="T82" s="13">
        <v>0</v>
      </c>
      <c r="U82" s="13">
        <f>AH79</f>
        <v>0</v>
      </c>
      <c r="V82" s="5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6"/>
    </row>
    <row r="83" spans="1:35" x14ac:dyDescent="0.25">
      <c r="A83" s="3"/>
      <c r="B83" s="317"/>
      <c r="C83" s="317"/>
      <c r="D83" s="317"/>
      <c r="E83" s="15"/>
      <c r="F83" s="319"/>
      <c r="G83" s="319"/>
      <c r="H83" s="319"/>
      <c r="I83" s="15"/>
      <c r="J83" s="317"/>
      <c r="K83" s="317"/>
      <c r="L83" s="317"/>
      <c r="M83" s="317"/>
      <c r="N83" s="15"/>
      <c r="O83" s="317"/>
      <c r="P83" s="317"/>
      <c r="Q83" s="317"/>
      <c r="R83" s="317"/>
      <c r="S83" s="15"/>
      <c r="T83" s="13"/>
      <c r="U83" s="15"/>
      <c r="V83" s="5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6"/>
    </row>
    <row r="84" spans="1:35" x14ac:dyDescent="0.25">
      <c r="A84" s="3"/>
      <c r="B84" s="317"/>
      <c r="C84" s="317"/>
      <c r="D84" s="317"/>
      <c r="E84" s="15"/>
      <c r="F84" s="319"/>
      <c r="G84" s="319"/>
      <c r="H84" s="319"/>
      <c r="I84" s="15"/>
      <c r="J84" s="317"/>
      <c r="K84" s="317"/>
      <c r="L84" s="317"/>
      <c r="M84" s="317"/>
      <c r="N84" s="15"/>
      <c r="O84" s="317"/>
      <c r="P84" s="317"/>
      <c r="Q84" s="317"/>
      <c r="R84" s="317"/>
      <c r="S84" s="15"/>
      <c r="T84" s="13"/>
      <c r="U84" s="15"/>
      <c r="V84" s="5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6"/>
    </row>
    <row r="85" spans="1:35" x14ac:dyDescent="0.25">
      <c r="A85" s="3"/>
      <c r="B85" s="5"/>
      <c r="C85" s="5"/>
      <c r="D85" s="5"/>
      <c r="E85" s="5"/>
      <c r="F85" s="17"/>
      <c r="G85" s="17"/>
      <c r="H85" s="17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6"/>
    </row>
    <row r="86" spans="1:35" x14ac:dyDescent="0.25">
      <c r="A86" s="3"/>
      <c r="B86" s="5" t="s">
        <v>47</v>
      </c>
      <c r="C86" s="18"/>
      <c r="D86" s="18"/>
      <c r="E86" s="18"/>
      <c r="F86" s="5"/>
      <c r="G86" s="5"/>
      <c r="H86" s="5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6"/>
    </row>
    <row r="87" spans="1:35" ht="15" customHeight="1" x14ac:dyDescent="0.25">
      <c r="A87" s="3"/>
      <c r="B87" s="317" t="str">
        <f>"0x"&amp;DEC2HEX(Sheet3!$I$4,8)</f>
        <v>0x00400320</v>
      </c>
      <c r="C87" s="317"/>
      <c r="D87" s="317"/>
      <c r="E87" s="16"/>
      <c r="F87" s="322" t="str">
        <f>F82&amp;BIN2HEX(MID(J82,3,8),2)&amp;BIN2HEX(RIGHT(J82,7)&amp;MID(O82,3,1),2)&amp;BIN2HEX(MID(O82,4,8),2)&amp;BIN2HEX(RIGHT(O82,6)&amp;T82&amp;U82,2)</f>
        <v>0x0000000000080000</v>
      </c>
      <c r="G87" s="322"/>
      <c r="H87" s="322"/>
      <c r="I87" s="322"/>
      <c r="J87" s="5"/>
      <c r="K87" s="5"/>
      <c r="L87" s="5"/>
      <c r="M87" s="5"/>
      <c r="N87" s="5"/>
      <c r="O87" s="5"/>
      <c r="P87" s="16"/>
      <c r="Q87" s="16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5"/>
      <c r="AH87" s="5"/>
      <c r="AI87" s="6"/>
    </row>
    <row r="88" spans="1:35" x14ac:dyDescent="0.25">
      <c r="A88" s="3"/>
      <c r="B88" s="317"/>
      <c r="C88" s="317"/>
      <c r="D88" s="317"/>
      <c r="E88" s="5"/>
      <c r="F88" s="322"/>
      <c r="G88" s="322"/>
      <c r="H88" s="322"/>
      <c r="I88" s="322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6"/>
    </row>
    <row r="89" spans="1:35" x14ac:dyDescent="0.25">
      <c r="A89" s="3"/>
      <c r="B89" s="317"/>
      <c r="C89" s="317"/>
      <c r="D89" s="317"/>
      <c r="E89" s="5"/>
      <c r="F89" s="322"/>
      <c r="G89" s="322"/>
      <c r="H89" s="322"/>
      <c r="I89" s="322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6"/>
    </row>
    <row r="90" spans="1:35" x14ac:dyDescent="0.25">
      <c r="A90" s="20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2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3"/>
    </row>
    <row r="91" spans="1:35" x14ac:dyDescent="0.25">
      <c r="A91" s="24"/>
      <c r="B91" s="28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6"/>
    </row>
    <row r="92" spans="1:35" x14ac:dyDescent="0.25">
      <c r="A92" s="3"/>
      <c r="B92" s="4" t="s">
        <v>62</v>
      </c>
      <c r="C92" s="5"/>
      <c r="D92" s="5"/>
      <c r="E92" s="5"/>
      <c r="F92" s="5"/>
      <c r="G92" s="5"/>
      <c r="H92" s="5"/>
      <c r="I92" s="5" t="str">
        <f>"0x"&amp;BIN2HEX(CONCATENATE(C97,D97,E97,F97,G97,H97,I97,J97),2)&amp;BIN2HEX(CONCATENATE(K97,L97,M97,N97,O97,P97,Q97,R97),2)&amp;BIN2HEX(CONCATENATE(S97,T97,U97,V97,W97,X97,Y97,Z97),2)&amp;BIN2HEX(CONCATENATE(AA97,AB97,AC97,AD97,AE97,AF97,AG97,AH97),2)&amp;"_"&amp;BIN2HEX(CONCATENATE(C101,D101,E101,F101,G101,H101,I101,J101),2)&amp;BIN2HEX(CONCATENATE(K101,L101,M101,N101,O101,P101,Q101,R101),2)&amp;BIN2HEX(CONCATENATE(S101,T101,U101,V101,W101,X101,Y101,Z101),2)&amp;BIN2HEX(CONCATENATE(AA101,AB101,AC101,AD101,AE101,AF101,AG101,AH101),2)</f>
        <v>0x00000000_0008000C</v>
      </c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6"/>
    </row>
    <row r="93" spans="1:35" ht="15.75" thickBot="1" x14ac:dyDescent="0.3">
      <c r="A93" s="3"/>
      <c r="B93" s="5"/>
      <c r="C93" s="7">
        <v>0</v>
      </c>
      <c r="D93" s="7">
        <v>1</v>
      </c>
      <c r="E93" s="7">
        <v>2</v>
      </c>
      <c r="F93" s="7">
        <v>3</v>
      </c>
      <c r="G93" s="7">
        <v>4</v>
      </c>
      <c r="H93" s="7">
        <v>5</v>
      </c>
      <c r="I93" s="7">
        <v>6</v>
      </c>
      <c r="J93" s="7">
        <v>7</v>
      </c>
      <c r="K93" s="7">
        <v>8</v>
      </c>
      <c r="L93" s="7">
        <v>9</v>
      </c>
      <c r="M93" s="7">
        <v>10</v>
      </c>
      <c r="N93" s="7">
        <v>11</v>
      </c>
      <c r="O93" s="7">
        <v>12</v>
      </c>
      <c r="P93" s="7">
        <v>13</v>
      </c>
      <c r="Q93" s="7">
        <v>14</v>
      </c>
      <c r="R93" s="7">
        <v>15</v>
      </c>
      <c r="S93" s="7">
        <v>16</v>
      </c>
      <c r="T93" s="7">
        <v>17</v>
      </c>
      <c r="U93" s="7">
        <v>18</v>
      </c>
      <c r="V93" s="7">
        <v>19</v>
      </c>
      <c r="W93" s="7">
        <v>20</v>
      </c>
      <c r="X93" s="7">
        <v>21</v>
      </c>
      <c r="Y93" s="7">
        <v>22</v>
      </c>
      <c r="Z93" s="7">
        <v>23</v>
      </c>
      <c r="AA93" s="7">
        <v>24</v>
      </c>
      <c r="AB93" s="7">
        <v>25</v>
      </c>
      <c r="AC93" s="7">
        <v>26</v>
      </c>
      <c r="AD93" s="7">
        <v>27</v>
      </c>
      <c r="AE93" s="7">
        <v>28</v>
      </c>
      <c r="AF93" s="7">
        <v>29</v>
      </c>
      <c r="AG93" s="7">
        <v>30</v>
      </c>
      <c r="AH93" s="7">
        <v>31</v>
      </c>
      <c r="AI93" s="6"/>
    </row>
    <row r="94" spans="1:35" ht="17.25" customHeight="1" x14ac:dyDescent="0.25">
      <c r="A94" s="3"/>
      <c r="B94" s="5" t="s">
        <v>31</v>
      </c>
      <c r="C94" s="153">
        <v>0</v>
      </c>
      <c r="D94" s="330" t="s">
        <v>63</v>
      </c>
      <c r="E94" s="331"/>
      <c r="F94" s="331"/>
      <c r="G94" s="331"/>
      <c r="H94" s="331"/>
      <c r="I94" s="331"/>
      <c r="J94" s="332"/>
      <c r="K94" s="330" t="s">
        <v>400</v>
      </c>
      <c r="L94" s="331"/>
      <c r="M94" s="331"/>
      <c r="N94" s="331"/>
      <c r="O94" s="331"/>
      <c r="P94" s="331"/>
      <c r="Q94" s="332"/>
      <c r="R94" s="337"/>
      <c r="S94" s="337"/>
      <c r="T94" s="337"/>
      <c r="U94" s="337"/>
      <c r="V94" s="337"/>
      <c r="W94" s="337"/>
      <c r="X94" s="337"/>
      <c r="Y94" s="350"/>
      <c r="Z94" s="345" t="s">
        <v>64</v>
      </c>
      <c r="AA94" s="336">
        <v>0</v>
      </c>
      <c r="AB94" s="350"/>
      <c r="AC94" s="154">
        <v>0</v>
      </c>
      <c r="AD94" s="345" t="s">
        <v>65</v>
      </c>
      <c r="AE94" s="345" t="s">
        <v>66</v>
      </c>
      <c r="AF94" s="330" t="s">
        <v>67</v>
      </c>
      <c r="AG94" s="331"/>
      <c r="AH94" s="355"/>
      <c r="AI94" s="6"/>
    </row>
    <row r="95" spans="1:35" x14ac:dyDescent="0.25">
      <c r="A95" s="3"/>
      <c r="B95" s="5" t="s">
        <v>32</v>
      </c>
      <c r="C95" s="155"/>
      <c r="D95" s="333"/>
      <c r="E95" s="334"/>
      <c r="F95" s="334"/>
      <c r="G95" s="334"/>
      <c r="H95" s="334"/>
      <c r="I95" s="334"/>
      <c r="J95" s="335"/>
      <c r="K95" s="333"/>
      <c r="L95" s="334"/>
      <c r="M95" s="334"/>
      <c r="N95" s="334"/>
      <c r="O95" s="334"/>
      <c r="P95" s="334"/>
      <c r="Q95" s="335"/>
      <c r="R95" s="340"/>
      <c r="S95" s="340"/>
      <c r="T95" s="340"/>
      <c r="U95" s="340"/>
      <c r="V95" s="340"/>
      <c r="W95" s="340"/>
      <c r="X95" s="340"/>
      <c r="Y95" s="359"/>
      <c r="Z95" s="346"/>
      <c r="AA95" s="339"/>
      <c r="AB95" s="359"/>
      <c r="AC95" s="156"/>
      <c r="AD95" s="346"/>
      <c r="AE95" s="346"/>
      <c r="AF95" s="333"/>
      <c r="AG95" s="334"/>
      <c r="AH95" s="357"/>
      <c r="AI95" s="6"/>
    </row>
    <row r="96" spans="1:35" x14ac:dyDescent="0.25">
      <c r="A96" s="3"/>
      <c r="B96" s="5" t="s">
        <v>11</v>
      </c>
      <c r="C96" s="56">
        <v>0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v>0</v>
      </c>
      <c r="Q96" s="57">
        <v>0</v>
      </c>
      <c r="R96" s="57">
        <v>0</v>
      </c>
      <c r="S96" s="57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57">
        <v>0</v>
      </c>
      <c r="AC96" s="57">
        <v>0</v>
      </c>
      <c r="AD96" s="57">
        <v>0</v>
      </c>
      <c r="AE96" s="57">
        <v>0</v>
      </c>
      <c r="AF96" s="57">
        <v>0</v>
      </c>
      <c r="AG96" s="57">
        <v>0</v>
      </c>
      <c r="AH96" s="58">
        <v>0</v>
      </c>
      <c r="AI96" s="6"/>
    </row>
    <row r="97" spans="1:35" ht="15.75" thickBot="1" x14ac:dyDescent="0.3">
      <c r="A97" s="3"/>
      <c r="B97" s="5" t="s">
        <v>12</v>
      </c>
      <c r="C97" s="61">
        <v>0</v>
      </c>
      <c r="D97" s="88">
        <v>0</v>
      </c>
      <c r="E97" s="88">
        <v>0</v>
      </c>
      <c r="F97" s="88">
        <v>0</v>
      </c>
      <c r="G97" s="88">
        <v>0</v>
      </c>
      <c r="H97" s="88">
        <v>0</v>
      </c>
      <c r="I97" s="88">
        <v>0</v>
      </c>
      <c r="J97" s="88">
        <v>0</v>
      </c>
      <c r="K97" s="88">
        <v>0</v>
      </c>
      <c r="L97" s="88">
        <v>0</v>
      </c>
      <c r="M97" s="88">
        <v>0</v>
      </c>
      <c r="N97" s="88">
        <v>0</v>
      </c>
      <c r="O97" s="88">
        <v>0</v>
      </c>
      <c r="P97" s="88">
        <v>0</v>
      </c>
      <c r="Q97" s="88">
        <v>0</v>
      </c>
      <c r="R97" s="62">
        <v>0</v>
      </c>
      <c r="S97" s="62">
        <v>0</v>
      </c>
      <c r="T97" s="62">
        <v>0</v>
      </c>
      <c r="U97" s="62">
        <v>0</v>
      </c>
      <c r="V97" s="62">
        <v>0</v>
      </c>
      <c r="W97" s="62">
        <v>0</v>
      </c>
      <c r="X97" s="62">
        <v>0</v>
      </c>
      <c r="Y97" s="62">
        <v>0</v>
      </c>
      <c r="Z97" s="88">
        <v>0</v>
      </c>
      <c r="AA97" s="62">
        <v>0</v>
      </c>
      <c r="AB97" s="62">
        <v>0</v>
      </c>
      <c r="AC97" s="62">
        <v>0</v>
      </c>
      <c r="AD97" s="88">
        <v>0</v>
      </c>
      <c r="AE97" s="88">
        <v>0</v>
      </c>
      <c r="AF97" s="88">
        <v>0</v>
      </c>
      <c r="AG97" s="88">
        <v>0</v>
      </c>
      <c r="AH97" s="89">
        <v>0</v>
      </c>
      <c r="AI97" s="6"/>
    </row>
    <row r="98" spans="1:35" x14ac:dyDescent="0.25">
      <c r="A98" s="3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6"/>
    </row>
    <row r="99" spans="1:35" ht="15.75" thickBot="1" x14ac:dyDescent="0.3">
      <c r="A99" s="3"/>
      <c r="B99" s="5"/>
      <c r="C99" s="7">
        <v>32</v>
      </c>
      <c r="D99" s="7">
        <v>33</v>
      </c>
      <c r="E99" s="7">
        <v>34</v>
      </c>
      <c r="F99" s="7">
        <v>35</v>
      </c>
      <c r="G99" s="7">
        <v>36</v>
      </c>
      <c r="H99" s="7">
        <v>37</v>
      </c>
      <c r="I99" s="7">
        <v>38</v>
      </c>
      <c r="J99" s="7">
        <v>39</v>
      </c>
      <c r="K99" s="7">
        <v>40</v>
      </c>
      <c r="L99" s="7">
        <v>41</v>
      </c>
      <c r="M99" s="7">
        <v>42</v>
      </c>
      <c r="N99" s="7">
        <v>43</v>
      </c>
      <c r="O99" s="7">
        <v>44</v>
      </c>
      <c r="P99" s="7">
        <v>45</v>
      </c>
      <c r="Q99" s="7">
        <v>46</v>
      </c>
      <c r="R99" s="7">
        <v>47</v>
      </c>
      <c r="S99" s="7">
        <v>48</v>
      </c>
      <c r="T99" s="7">
        <v>49</v>
      </c>
      <c r="U99" s="7">
        <v>50</v>
      </c>
      <c r="V99" s="7">
        <v>51</v>
      </c>
      <c r="W99" s="7">
        <v>52</v>
      </c>
      <c r="X99" s="7">
        <v>53</v>
      </c>
      <c r="Y99" s="7">
        <v>54</v>
      </c>
      <c r="Z99" s="7">
        <v>55</v>
      </c>
      <c r="AA99" s="7">
        <v>56</v>
      </c>
      <c r="AB99" s="7">
        <v>57</v>
      </c>
      <c r="AC99" s="7">
        <v>58</v>
      </c>
      <c r="AD99" s="7">
        <v>59</v>
      </c>
      <c r="AE99" s="7">
        <v>60</v>
      </c>
      <c r="AF99" s="7">
        <v>61</v>
      </c>
      <c r="AG99" s="7">
        <v>62</v>
      </c>
      <c r="AH99" s="7">
        <v>63</v>
      </c>
      <c r="AI99" s="6"/>
    </row>
    <row r="100" spans="1:35" ht="15.75" thickBot="1" x14ac:dyDescent="0.3">
      <c r="A100" s="3"/>
      <c r="B100" s="5"/>
      <c r="C100" s="147" t="s">
        <v>13</v>
      </c>
      <c r="D100" s="148" t="s">
        <v>14</v>
      </c>
      <c r="E100" s="148" t="s">
        <v>15</v>
      </c>
      <c r="F100" s="148" t="s">
        <v>16</v>
      </c>
      <c r="G100" s="148" t="s">
        <v>17</v>
      </c>
      <c r="H100" s="148" t="s">
        <v>18</v>
      </c>
      <c r="I100" s="148" t="s">
        <v>19</v>
      </c>
      <c r="J100" s="148" t="s">
        <v>20</v>
      </c>
      <c r="K100" s="148" t="s">
        <v>21</v>
      </c>
      <c r="L100" s="148" t="s">
        <v>22</v>
      </c>
      <c r="M100" s="148" t="s">
        <v>23</v>
      </c>
      <c r="N100" s="148" t="s">
        <v>24</v>
      </c>
      <c r="O100" s="148" t="s">
        <v>25</v>
      </c>
      <c r="P100" s="148" t="s">
        <v>26</v>
      </c>
      <c r="Q100" s="148" t="s">
        <v>27</v>
      </c>
      <c r="R100" s="342" t="s">
        <v>30</v>
      </c>
      <c r="S100" s="343"/>
      <c r="T100" s="343"/>
      <c r="U100" s="343"/>
      <c r="V100" s="343"/>
      <c r="W100" s="343"/>
      <c r="X100" s="343"/>
      <c r="Y100" s="343"/>
      <c r="Z100" s="343"/>
      <c r="AA100" s="343"/>
      <c r="AB100" s="343"/>
      <c r="AC100" s="343"/>
      <c r="AD100" s="343"/>
      <c r="AE100" s="343"/>
      <c r="AF100" s="344"/>
      <c r="AG100" s="67" t="s">
        <v>28</v>
      </c>
      <c r="AH100" s="149" t="s">
        <v>29</v>
      </c>
      <c r="AI100" s="6"/>
    </row>
    <row r="101" spans="1:35" ht="15.75" thickBot="1" x14ac:dyDescent="0.3">
      <c r="A101" s="3"/>
      <c r="B101" s="5"/>
      <c r="C101" s="150">
        <v>0</v>
      </c>
      <c r="D101" s="151">
        <v>0</v>
      </c>
      <c r="E101" s="151">
        <v>0</v>
      </c>
      <c r="F101" s="151">
        <v>0</v>
      </c>
      <c r="G101" s="151">
        <v>0</v>
      </c>
      <c r="H101" s="151">
        <v>0</v>
      </c>
      <c r="I101" s="151">
        <v>0</v>
      </c>
      <c r="J101" s="151">
        <v>0</v>
      </c>
      <c r="K101" s="151">
        <v>0</v>
      </c>
      <c r="L101" s="151">
        <v>0</v>
      </c>
      <c r="M101" s="151">
        <v>0</v>
      </c>
      <c r="N101" s="151">
        <v>0</v>
      </c>
      <c r="O101" s="151">
        <v>1</v>
      </c>
      <c r="P101" s="151">
        <v>0</v>
      </c>
      <c r="Q101" s="151">
        <v>0</v>
      </c>
      <c r="R101" s="151">
        <v>0</v>
      </c>
      <c r="S101" s="151">
        <v>0</v>
      </c>
      <c r="T101" s="151">
        <v>0</v>
      </c>
      <c r="U101" s="151">
        <v>0</v>
      </c>
      <c r="V101" s="151">
        <v>0</v>
      </c>
      <c r="W101" s="151">
        <v>0</v>
      </c>
      <c r="X101" s="151">
        <v>0</v>
      </c>
      <c r="Y101" s="151">
        <v>0</v>
      </c>
      <c r="Z101" s="151">
        <v>0</v>
      </c>
      <c r="AA101" s="151">
        <v>0</v>
      </c>
      <c r="AB101" s="151">
        <v>0</v>
      </c>
      <c r="AC101" s="151">
        <v>0</v>
      </c>
      <c r="AD101" s="151">
        <v>0</v>
      </c>
      <c r="AE101" s="151">
        <v>1</v>
      </c>
      <c r="AF101" s="151">
        <v>1</v>
      </c>
      <c r="AG101" s="151">
        <v>0</v>
      </c>
      <c r="AH101" s="152">
        <v>0</v>
      </c>
      <c r="AI101" s="6"/>
    </row>
    <row r="102" spans="1:35" x14ac:dyDescent="0.25">
      <c r="A102" s="3"/>
      <c r="B102" s="4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6"/>
    </row>
    <row r="103" spans="1:35" x14ac:dyDescent="0.25">
      <c r="A103" s="3"/>
      <c r="B103" s="8" t="s">
        <v>43</v>
      </c>
      <c r="C103" s="9"/>
      <c r="D103" s="9"/>
      <c r="E103" s="9"/>
      <c r="F103" s="39" t="s">
        <v>44</v>
      </c>
      <c r="G103" s="39"/>
      <c r="H103" s="39"/>
      <c r="I103" s="9"/>
      <c r="J103" s="40" t="s">
        <v>45</v>
      </c>
      <c r="K103" s="40"/>
      <c r="L103" s="40"/>
      <c r="M103" s="40"/>
      <c r="N103" s="9"/>
      <c r="O103" s="41" t="s">
        <v>46</v>
      </c>
      <c r="P103" s="41"/>
      <c r="Q103" s="41"/>
      <c r="R103" s="41"/>
      <c r="S103" s="9"/>
      <c r="T103" s="1" t="s">
        <v>49</v>
      </c>
      <c r="U103" s="10" t="s">
        <v>48</v>
      </c>
      <c r="V103" s="5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6"/>
    </row>
    <row r="104" spans="1:35" ht="15" customHeight="1" x14ac:dyDescent="0.25">
      <c r="A104" s="3"/>
      <c r="B104" s="37" t="str">
        <f>"0x"&amp;DEC2HEX(Sheet3!$I$4,8)</f>
        <v>0x00400320</v>
      </c>
      <c r="C104" s="37"/>
      <c r="D104" s="37"/>
      <c r="E104" s="12"/>
      <c r="F104" s="319" t="str">
        <f>"0x"&amp;BIN2HEX(CONCATENATE(C97,D97,E97,F97,G97,H97,I97,J97),2)&amp;BIN2HEX(CONCATENATE(K97,L97,M97,N97,O97,P97,Q97,R97),2)&amp;BIN2HEX(CONCATENATE(S97,T97,U97,V97,W97,X97,Y97,Z97),2)&amp;BIN2HEX(CONCATENATE(AA97,AB97,AC97,AD97,AE97,AF97,AG97,AH97),2)</f>
        <v>0x00000000</v>
      </c>
      <c r="G104" s="319"/>
      <c r="H104" s="319"/>
      <c r="I104" s="12"/>
      <c r="J104" s="319" t="str">
        <f>"0b"&amp;C101&amp;D101&amp;E101&amp;F101&amp;G101&amp;H101&amp;I101&amp;J101&amp;K101&amp;L101&amp;M101&amp;N101&amp;O101&amp;P101&amp;Q101</f>
        <v>0b000000000000100</v>
      </c>
      <c r="K104" s="319"/>
      <c r="L104" s="319"/>
      <c r="M104" s="319"/>
      <c r="N104" s="12"/>
      <c r="O104" s="319" t="str">
        <f>"0b"&amp;DEC2BIN(((AF101+AE101*2+AD101*4+AC101*8+AB101*16+AA101*32+Z101*64+Y101*128+X101*256+W101*512+V101*1024+U101*2048+T101*4096+S101*2^13+R101*2^14)/512),6)&amp;DEC2BIN(MOD((AF101+AE101*2+AD101*4+AC101*8+AB101*16+AA101*32+Z101*64+Y101*128+X101*256+W101*512+V101*1024+U101*2048+T101*4096+S101*2^13+R101*2^14),512),9)</f>
        <v>0b000000000000011</v>
      </c>
      <c r="P104" s="319"/>
      <c r="Q104" s="319"/>
      <c r="R104" s="319"/>
      <c r="S104" s="12"/>
      <c r="T104" s="13">
        <v>0</v>
      </c>
      <c r="U104" s="13">
        <f>AH101</f>
        <v>0</v>
      </c>
      <c r="V104" s="5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6"/>
    </row>
    <row r="105" spans="1:35" x14ac:dyDescent="0.25">
      <c r="A105" s="3"/>
      <c r="B105" s="37"/>
      <c r="C105" s="37"/>
      <c r="D105" s="37"/>
      <c r="E105" s="15"/>
      <c r="F105" s="36"/>
      <c r="G105" s="36"/>
      <c r="H105" s="36"/>
      <c r="I105" s="15"/>
      <c r="J105" s="37"/>
      <c r="K105" s="37"/>
      <c r="L105" s="37"/>
      <c r="M105" s="37"/>
      <c r="N105" s="15"/>
      <c r="O105" s="37"/>
      <c r="P105" s="37"/>
      <c r="Q105" s="37"/>
      <c r="R105" s="37"/>
      <c r="S105" s="15"/>
      <c r="T105" s="13"/>
      <c r="U105" s="15"/>
      <c r="V105" s="5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6"/>
    </row>
    <row r="106" spans="1:35" x14ac:dyDescent="0.25">
      <c r="A106" s="3"/>
      <c r="B106" s="37"/>
      <c r="C106" s="37"/>
      <c r="D106" s="37"/>
      <c r="E106" s="15"/>
      <c r="F106" s="36"/>
      <c r="G106" s="36"/>
      <c r="H106" s="36"/>
      <c r="I106" s="15"/>
      <c r="J106" s="37"/>
      <c r="K106" s="37"/>
      <c r="L106" s="37"/>
      <c r="M106" s="37"/>
      <c r="N106" s="15"/>
      <c r="O106" s="37"/>
      <c r="P106" s="37"/>
      <c r="Q106" s="37"/>
      <c r="R106" s="37"/>
      <c r="S106" s="15"/>
      <c r="T106" s="13"/>
      <c r="U106" s="15"/>
      <c r="V106" s="5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6"/>
    </row>
    <row r="107" spans="1:35" x14ac:dyDescent="0.25">
      <c r="A107" s="3"/>
      <c r="B107" s="5"/>
      <c r="C107" s="5"/>
      <c r="D107" s="5"/>
      <c r="E107" s="5"/>
      <c r="F107" s="17"/>
      <c r="G107" s="17"/>
      <c r="H107" s="17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6"/>
    </row>
    <row r="108" spans="1:35" x14ac:dyDescent="0.25">
      <c r="A108" s="3"/>
      <c r="B108" s="5" t="s">
        <v>47</v>
      </c>
      <c r="C108" s="18"/>
      <c r="D108" s="18"/>
      <c r="E108" s="18"/>
      <c r="F108" s="5"/>
      <c r="G108" s="5"/>
      <c r="H108" s="5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6"/>
    </row>
    <row r="109" spans="1:35" ht="15" customHeight="1" x14ac:dyDescent="0.25">
      <c r="A109" s="3"/>
      <c r="B109" s="37" t="str">
        <f>"0x"&amp;DEC2HEX(Sheet3!$I$4,8)</f>
        <v>0x00400320</v>
      </c>
      <c r="C109" s="37"/>
      <c r="D109" s="37"/>
      <c r="E109" s="16"/>
      <c r="F109" s="322" t="str">
        <f>F104&amp;BIN2HEX(MID(J104,3,8),2)&amp;BIN2HEX(RIGHT(J104,7)&amp;MID(O104,3,1),2)&amp;BIN2HEX(MID(O104,4,8),2)&amp;BIN2HEX(RIGHT(O104,6)&amp;T104&amp;U104,2)</f>
        <v>0x000000000008000C</v>
      </c>
      <c r="G109" s="322"/>
      <c r="H109" s="322"/>
      <c r="I109" s="322"/>
      <c r="J109" s="5"/>
      <c r="K109" s="5"/>
      <c r="L109" s="5"/>
      <c r="M109" s="5"/>
      <c r="N109" s="5"/>
      <c r="O109" s="5"/>
      <c r="P109" s="16"/>
      <c r="Q109" s="16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5"/>
      <c r="AH109" s="5"/>
      <c r="AI109" s="6"/>
    </row>
    <row r="110" spans="1:35" x14ac:dyDescent="0.25">
      <c r="A110" s="3"/>
      <c r="B110" s="37"/>
      <c r="C110" s="37"/>
      <c r="D110" s="37"/>
      <c r="E110" s="5"/>
      <c r="F110" s="38"/>
      <c r="G110" s="38"/>
      <c r="H110" s="38"/>
      <c r="I110" s="38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6"/>
    </row>
    <row r="111" spans="1:35" x14ac:dyDescent="0.25">
      <c r="A111" s="3"/>
      <c r="B111" s="37"/>
      <c r="C111" s="37"/>
      <c r="D111" s="37"/>
      <c r="E111" s="5"/>
      <c r="F111" s="38"/>
      <c r="G111" s="38"/>
      <c r="H111" s="38"/>
      <c r="I111" s="38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6"/>
    </row>
    <row r="112" spans="1:35" x14ac:dyDescent="0.25">
      <c r="A112" s="20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2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3"/>
    </row>
    <row r="113" spans="1:35" x14ac:dyDescent="0.25">
      <c r="A113" s="24"/>
      <c r="B113" s="28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6"/>
    </row>
    <row r="114" spans="1:35" x14ac:dyDescent="0.25">
      <c r="A114" s="3"/>
      <c r="B114" s="4" t="s">
        <v>68</v>
      </c>
      <c r="C114" s="5"/>
      <c r="D114" s="5"/>
      <c r="E114" s="5"/>
      <c r="F114" s="5"/>
      <c r="G114" s="5"/>
      <c r="H114" s="5"/>
      <c r="I114" s="5" t="str">
        <f>"0x"&amp;BIN2HEX(CONCATENATE(C119,D119,E119,F119,G119,H119,I119,J119),2)&amp;BIN2HEX(CONCATENATE(K119,L119,M119,N119,O119,P119,Q119,R119),2)&amp;BIN2HEX(CONCATENATE(S119,T119,U119,V119,W119,X119,Y119,Z119),2)&amp;BIN2HEX(CONCATENATE(AA119,AB119,AC119,AD119,AE119,AF119,AG119,AH119),2)&amp;"_"&amp;BIN2HEX(CONCATENATE(C123,D123,E123,F123,G123,H123,I123,J123),2)&amp;BIN2HEX(CONCATENATE(K123,L123,M123,N123,O123,P123,Q123,R123),2)&amp;BIN2HEX(CONCATENATE(S123,T123,U123,V123,W123,X123,Y123,Z123),2)&amp;BIN2HEX(CONCATENATE(AA123,AB123,AC123,AD123,AE123,AF123,AG123,AH123),2)</f>
        <v>0x0000FFFF_00080014</v>
      </c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6"/>
    </row>
    <row r="115" spans="1:35" ht="15.75" thickBot="1" x14ac:dyDescent="0.3">
      <c r="A115" s="3"/>
      <c r="B115" s="5"/>
      <c r="C115" s="7">
        <v>0</v>
      </c>
      <c r="D115" s="7">
        <v>1</v>
      </c>
      <c r="E115" s="7">
        <v>2</v>
      </c>
      <c r="F115" s="7">
        <v>3</v>
      </c>
      <c r="G115" s="7">
        <v>4</v>
      </c>
      <c r="H115" s="7">
        <v>5</v>
      </c>
      <c r="I115" s="7">
        <v>6</v>
      </c>
      <c r="J115" s="7">
        <v>7</v>
      </c>
      <c r="K115" s="7">
        <v>8</v>
      </c>
      <c r="L115" s="7">
        <v>9</v>
      </c>
      <c r="M115" s="7">
        <v>10</v>
      </c>
      <c r="N115" s="7">
        <v>11</v>
      </c>
      <c r="O115" s="7">
        <v>12</v>
      </c>
      <c r="P115" s="7">
        <v>13</v>
      </c>
      <c r="Q115" s="7">
        <v>14</v>
      </c>
      <c r="R115" s="7">
        <v>15</v>
      </c>
      <c r="S115" s="7">
        <v>16</v>
      </c>
      <c r="T115" s="7">
        <v>17</v>
      </c>
      <c r="U115" s="7">
        <v>18</v>
      </c>
      <c r="V115" s="7">
        <v>19</v>
      </c>
      <c r="W115" s="7">
        <v>20</v>
      </c>
      <c r="X115" s="7">
        <v>21</v>
      </c>
      <c r="Y115" s="7">
        <v>22</v>
      </c>
      <c r="Z115" s="7">
        <v>23</v>
      </c>
      <c r="AA115" s="7">
        <v>24</v>
      </c>
      <c r="AB115" s="7">
        <v>25</v>
      </c>
      <c r="AC115" s="7">
        <v>26</v>
      </c>
      <c r="AD115" s="7">
        <v>27</v>
      </c>
      <c r="AE115" s="7">
        <v>28</v>
      </c>
      <c r="AF115" s="7">
        <v>29</v>
      </c>
      <c r="AG115" s="7">
        <v>30</v>
      </c>
      <c r="AH115" s="7">
        <v>31</v>
      </c>
      <c r="AI115" s="6"/>
    </row>
    <row r="116" spans="1:35" ht="15" customHeight="1" x14ac:dyDescent="0.25">
      <c r="A116" s="3"/>
      <c r="B116" s="5" t="s">
        <v>31</v>
      </c>
      <c r="C116" s="354" t="s">
        <v>69</v>
      </c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S116" s="331"/>
      <c r="T116" s="331"/>
      <c r="U116" s="331"/>
      <c r="V116" s="331"/>
      <c r="W116" s="331"/>
      <c r="X116" s="331"/>
      <c r="Y116" s="331"/>
      <c r="Z116" s="331"/>
      <c r="AA116" s="331"/>
      <c r="AB116" s="331"/>
      <c r="AC116" s="331"/>
      <c r="AD116" s="331"/>
      <c r="AE116" s="331"/>
      <c r="AF116" s="331"/>
      <c r="AG116" s="331"/>
      <c r="AH116" s="355"/>
      <c r="AI116" s="6"/>
    </row>
    <row r="117" spans="1:35" x14ac:dyDescent="0.25">
      <c r="A117" s="3"/>
      <c r="B117" s="5" t="s">
        <v>32</v>
      </c>
      <c r="C117" s="356"/>
      <c r="D117" s="334"/>
      <c r="E117" s="334"/>
      <c r="F117" s="334"/>
      <c r="G117" s="334"/>
      <c r="H117" s="334"/>
      <c r="I117" s="334"/>
      <c r="J117" s="334"/>
      <c r="K117" s="334"/>
      <c r="L117" s="334"/>
      <c r="M117" s="334"/>
      <c r="N117" s="334"/>
      <c r="O117" s="334"/>
      <c r="P117" s="334"/>
      <c r="Q117" s="334"/>
      <c r="R117" s="334"/>
      <c r="S117" s="334"/>
      <c r="T117" s="334"/>
      <c r="U117" s="334"/>
      <c r="V117" s="334"/>
      <c r="W117" s="334"/>
      <c r="X117" s="334"/>
      <c r="Y117" s="334"/>
      <c r="Z117" s="334"/>
      <c r="AA117" s="334"/>
      <c r="AB117" s="334"/>
      <c r="AC117" s="334"/>
      <c r="AD117" s="334"/>
      <c r="AE117" s="334"/>
      <c r="AF117" s="334"/>
      <c r="AG117" s="334"/>
      <c r="AH117" s="357"/>
      <c r="AI117" s="6"/>
    </row>
    <row r="118" spans="1:35" x14ac:dyDescent="0.25">
      <c r="A118" s="3"/>
      <c r="B118" s="5" t="s">
        <v>11</v>
      </c>
      <c r="C118" s="56">
        <v>0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v>0</v>
      </c>
      <c r="Q118" s="57">
        <v>0</v>
      </c>
      <c r="R118" s="57">
        <v>0</v>
      </c>
      <c r="S118" s="57">
        <v>1</v>
      </c>
      <c r="T118" s="57">
        <v>1</v>
      </c>
      <c r="U118" s="57">
        <v>1</v>
      </c>
      <c r="V118" s="57">
        <v>1</v>
      </c>
      <c r="W118" s="57">
        <v>1</v>
      </c>
      <c r="X118" s="57">
        <v>1</v>
      </c>
      <c r="Y118" s="57">
        <v>1</v>
      </c>
      <c r="Z118" s="57">
        <v>1</v>
      </c>
      <c r="AA118" s="57">
        <v>1</v>
      </c>
      <c r="AB118" s="57">
        <v>1</v>
      </c>
      <c r="AC118" s="57">
        <v>1</v>
      </c>
      <c r="AD118" s="57">
        <v>1</v>
      </c>
      <c r="AE118" s="57">
        <v>1</v>
      </c>
      <c r="AF118" s="57">
        <v>1</v>
      </c>
      <c r="AG118" s="57">
        <v>1</v>
      </c>
      <c r="AH118" s="58">
        <v>1</v>
      </c>
      <c r="AI118" s="6"/>
    </row>
    <row r="119" spans="1:35" ht="15.75" thickBot="1" x14ac:dyDescent="0.3">
      <c r="A119" s="3"/>
      <c r="B119" s="5" t="s">
        <v>12</v>
      </c>
      <c r="C119" s="145">
        <v>0</v>
      </c>
      <c r="D119" s="88">
        <v>0</v>
      </c>
      <c r="E119" s="88">
        <v>0</v>
      </c>
      <c r="F119" s="88">
        <v>0</v>
      </c>
      <c r="G119" s="88">
        <v>0</v>
      </c>
      <c r="H119" s="88">
        <v>0</v>
      </c>
      <c r="I119" s="88">
        <v>0</v>
      </c>
      <c r="J119" s="88">
        <v>0</v>
      </c>
      <c r="K119" s="88">
        <v>0</v>
      </c>
      <c r="L119" s="88">
        <v>0</v>
      </c>
      <c r="M119" s="88">
        <v>0</v>
      </c>
      <c r="N119" s="88">
        <v>0</v>
      </c>
      <c r="O119" s="88">
        <v>0</v>
      </c>
      <c r="P119" s="88">
        <v>0</v>
      </c>
      <c r="Q119" s="88">
        <v>0</v>
      </c>
      <c r="R119" s="88">
        <v>0</v>
      </c>
      <c r="S119" s="88">
        <v>1</v>
      </c>
      <c r="T119" s="88">
        <v>1</v>
      </c>
      <c r="U119" s="88">
        <v>1</v>
      </c>
      <c r="V119" s="88">
        <v>1</v>
      </c>
      <c r="W119" s="88">
        <v>1</v>
      </c>
      <c r="X119" s="88">
        <v>1</v>
      </c>
      <c r="Y119" s="88">
        <v>1</v>
      </c>
      <c r="Z119" s="88">
        <v>1</v>
      </c>
      <c r="AA119" s="88">
        <v>1</v>
      </c>
      <c r="AB119" s="88">
        <v>1</v>
      </c>
      <c r="AC119" s="88">
        <v>1</v>
      </c>
      <c r="AD119" s="88">
        <v>1</v>
      </c>
      <c r="AE119" s="88">
        <v>1</v>
      </c>
      <c r="AF119" s="88">
        <v>1</v>
      </c>
      <c r="AG119" s="88">
        <v>1</v>
      </c>
      <c r="AH119" s="89">
        <v>1</v>
      </c>
      <c r="AI119" s="6"/>
    </row>
    <row r="120" spans="1:35" x14ac:dyDescent="0.25">
      <c r="A120" s="3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6"/>
    </row>
    <row r="121" spans="1:35" ht="15.75" thickBot="1" x14ac:dyDescent="0.3">
      <c r="A121" s="3"/>
      <c r="B121" s="5"/>
      <c r="C121" s="7">
        <v>32</v>
      </c>
      <c r="D121" s="7">
        <v>33</v>
      </c>
      <c r="E121" s="7">
        <v>34</v>
      </c>
      <c r="F121" s="7">
        <v>35</v>
      </c>
      <c r="G121" s="7">
        <v>36</v>
      </c>
      <c r="H121" s="7">
        <v>37</v>
      </c>
      <c r="I121" s="7">
        <v>38</v>
      </c>
      <c r="J121" s="7">
        <v>39</v>
      </c>
      <c r="K121" s="7">
        <v>40</v>
      </c>
      <c r="L121" s="7">
        <v>41</v>
      </c>
      <c r="M121" s="7">
        <v>42</v>
      </c>
      <c r="N121" s="7">
        <v>43</v>
      </c>
      <c r="O121" s="7">
        <v>44</v>
      </c>
      <c r="P121" s="7">
        <v>45</v>
      </c>
      <c r="Q121" s="7">
        <v>46</v>
      </c>
      <c r="R121" s="7">
        <v>47</v>
      </c>
      <c r="S121" s="7">
        <v>48</v>
      </c>
      <c r="T121" s="7">
        <v>49</v>
      </c>
      <c r="U121" s="7">
        <v>50</v>
      </c>
      <c r="V121" s="7">
        <v>51</v>
      </c>
      <c r="W121" s="7">
        <v>52</v>
      </c>
      <c r="X121" s="7">
        <v>53</v>
      </c>
      <c r="Y121" s="7">
        <v>54</v>
      </c>
      <c r="Z121" s="7">
        <v>55</v>
      </c>
      <c r="AA121" s="7">
        <v>56</v>
      </c>
      <c r="AB121" s="7">
        <v>57</v>
      </c>
      <c r="AC121" s="7">
        <v>58</v>
      </c>
      <c r="AD121" s="7">
        <v>59</v>
      </c>
      <c r="AE121" s="7">
        <v>60</v>
      </c>
      <c r="AF121" s="7">
        <v>61</v>
      </c>
      <c r="AG121" s="7">
        <v>62</v>
      </c>
      <c r="AH121" s="7">
        <v>63</v>
      </c>
      <c r="AI121" s="6"/>
    </row>
    <row r="122" spans="1:35" ht="15.75" thickBot="1" x14ac:dyDescent="0.3">
      <c r="A122" s="3"/>
      <c r="B122" s="5"/>
      <c r="C122" s="147" t="s">
        <v>13</v>
      </c>
      <c r="D122" s="148" t="s">
        <v>14</v>
      </c>
      <c r="E122" s="148" t="s">
        <v>15</v>
      </c>
      <c r="F122" s="148" t="s">
        <v>16</v>
      </c>
      <c r="G122" s="148" t="s">
        <v>17</v>
      </c>
      <c r="H122" s="148" t="s">
        <v>18</v>
      </c>
      <c r="I122" s="148" t="s">
        <v>19</v>
      </c>
      <c r="J122" s="148" t="s">
        <v>20</v>
      </c>
      <c r="K122" s="148" t="s">
        <v>21</v>
      </c>
      <c r="L122" s="148" t="s">
        <v>22</v>
      </c>
      <c r="M122" s="148" t="s">
        <v>23</v>
      </c>
      <c r="N122" s="148" t="s">
        <v>24</v>
      </c>
      <c r="O122" s="148" t="s">
        <v>25</v>
      </c>
      <c r="P122" s="148" t="s">
        <v>26</v>
      </c>
      <c r="Q122" s="148" t="s">
        <v>27</v>
      </c>
      <c r="R122" s="342" t="s">
        <v>30</v>
      </c>
      <c r="S122" s="343"/>
      <c r="T122" s="343"/>
      <c r="U122" s="343"/>
      <c r="V122" s="343"/>
      <c r="W122" s="343"/>
      <c r="X122" s="343"/>
      <c r="Y122" s="343"/>
      <c r="Z122" s="343"/>
      <c r="AA122" s="343"/>
      <c r="AB122" s="343"/>
      <c r="AC122" s="343"/>
      <c r="AD122" s="343"/>
      <c r="AE122" s="343"/>
      <c r="AF122" s="344"/>
      <c r="AG122" s="67" t="s">
        <v>28</v>
      </c>
      <c r="AH122" s="149" t="s">
        <v>29</v>
      </c>
      <c r="AI122" s="6"/>
    </row>
    <row r="123" spans="1:35" ht="15.75" thickBot="1" x14ac:dyDescent="0.3">
      <c r="A123" s="3"/>
      <c r="B123" s="5"/>
      <c r="C123" s="150">
        <v>0</v>
      </c>
      <c r="D123" s="151">
        <v>0</v>
      </c>
      <c r="E123" s="151">
        <v>0</v>
      </c>
      <c r="F123" s="151">
        <v>0</v>
      </c>
      <c r="G123" s="151">
        <v>0</v>
      </c>
      <c r="H123" s="151">
        <v>0</v>
      </c>
      <c r="I123" s="151">
        <v>0</v>
      </c>
      <c r="J123" s="151">
        <v>0</v>
      </c>
      <c r="K123" s="151">
        <v>0</v>
      </c>
      <c r="L123" s="151">
        <v>0</v>
      </c>
      <c r="M123" s="151">
        <v>0</v>
      </c>
      <c r="N123" s="151">
        <v>0</v>
      </c>
      <c r="O123" s="151">
        <v>1</v>
      </c>
      <c r="P123" s="151">
        <v>0</v>
      </c>
      <c r="Q123" s="151">
        <v>0</v>
      </c>
      <c r="R123" s="151">
        <v>0</v>
      </c>
      <c r="S123" s="151">
        <v>0</v>
      </c>
      <c r="T123" s="151">
        <v>0</v>
      </c>
      <c r="U123" s="151">
        <v>0</v>
      </c>
      <c r="V123" s="151">
        <v>0</v>
      </c>
      <c r="W123" s="151">
        <v>0</v>
      </c>
      <c r="X123" s="151">
        <v>0</v>
      </c>
      <c r="Y123" s="151">
        <v>0</v>
      </c>
      <c r="Z123" s="151">
        <v>0</v>
      </c>
      <c r="AA123" s="151">
        <v>0</v>
      </c>
      <c r="AB123" s="151">
        <v>0</v>
      </c>
      <c r="AC123" s="151">
        <v>0</v>
      </c>
      <c r="AD123" s="151">
        <v>1</v>
      </c>
      <c r="AE123" s="151">
        <v>0</v>
      </c>
      <c r="AF123" s="151">
        <v>1</v>
      </c>
      <c r="AG123" s="151">
        <v>0</v>
      </c>
      <c r="AH123" s="152">
        <v>0</v>
      </c>
      <c r="AI123" s="6"/>
    </row>
    <row r="124" spans="1:35" x14ac:dyDescent="0.25">
      <c r="A124" s="3"/>
      <c r="B124" s="4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6"/>
    </row>
    <row r="125" spans="1:35" x14ac:dyDescent="0.25">
      <c r="A125" s="3"/>
      <c r="B125" s="8" t="s">
        <v>43</v>
      </c>
      <c r="C125" s="9"/>
      <c r="D125" s="9"/>
      <c r="E125" s="9"/>
      <c r="F125" s="39" t="s">
        <v>44</v>
      </c>
      <c r="G125" s="39"/>
      <c r="H125" s="39"/>
      <c r="I125" s="9"/>
      <c r="J125" s="40" t="s">
        <v>45</v>
      </c>
      <c r="K125" s="40"/>
      <c r="L125" s="40"/>
      <c r="M125" s="40"/>
      <c r="N125" s="9"/>
      <c r="O125" s="41" t="s">
        <v>46</v>
      </c>
      <c r="P125" s="41"/>
      <c r="Q125" s="41"/>
      <c r="R125" s="41"/>
      <c r="S125" s="9"/>
      <c r="T125" s="1" t="s">
        <v>49</v>
      </c>
      <c r="U125" s="10" t="s">
        <v>48</v>
      </c>
      <c r="V125" s="5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6"/>
    </row>
    <row r="126" spans="1:35" ht="15" customHeight="1" x14ac:dyDescent="0.25">
      <c r="A126" s="3"/>
      <c r="B126" s="37" t="str">
        <f>"0x"&amp;DEC2HEX(Sheet3!$I$4,8)</f>
        <v>0x00400320</v>
      </c>
      <c r="C126" s="37"/>
      <c r="D126" s="37"/>
      <c r="E126" s="12"/>
      <c r="F126" s="319" t="str">
        <f>"0x"&amp;BIN2HEX(CONCATENATE(C119,D119,E119,F119,G119,H119,I119,J119),2)&amp;BIN2HEX(CONCATENATE(K119,L119,M119,N119,O119,P119,Q119,R119),2)&amp;BIN2HEX(CONCATENATE(S119,T119,U119,V119,W119,X119,Y119,Z119),2)&amp;BIN2HEX(CONCATENATE(AA119,AB119,AC119,AD119,AE119,AF119,AG119,AH119),2)</f>
        <v>0x0000FFFF</v>
      </c>
      <c r="G126" s="319"/>
      <c r="H126" s="319"/>
      <c r="I126" s="12"/>
      <c r="J126" s="319" t="str">
        <f>"0b"&amp;C123&amp;D123&amp;E123&amp;F123&amp;G123&amp;H123&amp;I123&amp;J123&amp;K123&amp;L123&amp;M123&amp;N123&amp;O123&amp;P123&amp;Q123</f>
        <v>0b000000000000100</v>
      </c>
      <c r="K126" s="319"/>
      <c r="L126" s="319"/>
      <c r="M126" s="319"/>
      <c r="N126" s="12"/>
      <c r="O126" s="319" t="str">
        <f>"0b"&amp;DEC2BIN(((AF123+AE123*2+AD123*4+AC123*8+AB123*16+AA123*32+Z123*64+Y123*128+X123*256+W123*512+V123*1024+U123*2048+T123*4096+S123*2^13+R123*2^14)/512),6)&amp;DEC2BIN(MOD((AF123+AE123*2+AD123*4+AC123*8+AB123*16+AA123*32+Z123*64+Y123*128+X123*256+W123*512+V123*1024+U123*2048+T123*4096+S123*2^13+R123*2^14),512),9)</f>
        <v>0b000000000000101</v>
      </c>
      <c r="P126" s="319"/>
      <c r="Q126" s="319"/>
      <c r="R126" s="319"/>
      <c r="S126" s="12"/>
      <c r="T126" s="13">
        <v>0</v>
      </c>
      <c r="U126" s="13">
        <f>AH123</f>
        <v>0</v>
      </c>
      <c r="V126" s="5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6"/>
    </row>
    <row r="127" spans="1:35" x14ac:dyDescent="0.25">
      <c r="A127" s="3"/>
      <c r="B127" s="37"/>
      <c r="C127" s="37"/>
      <c r="D127" s="37"/>
      <c r="E127" s="15"/>
      <c r="F127" s="36"/>
      <c r="G127" s="36"/>
      <c r="H127" s="36"/>
      <c r="I127" s="15"/>
      <c r="J127" s="37"/>
      <c r="K127" s="37"/>
      <c r="L127" s="37"/>
      <c r="M127" s="37"/>
      <c r="N127" s="15"/>
      <c r="O127" s="37"/>
      <c r="P127" s="37"/>
      <c r="Q127" s="37"/>
      <c r="R127" s="37"/>
      <c r="S127" s="15"/>
      <c r="T127" s="13"/>
      <c r="U127" s="15"/>
      <c r="V127" s="5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6"/>
    </row>
    <row r="128" spans="1:35" x14ac:dyDescent="0.25">
      <c r="A128" s="3"/>
      <c r="B128" s="37"/>
      <c r="C128" s="37"/>
      <c r="D128" s="37"/>
      <c r="E128" s="15"/>
      <c r="F128" s="36"/>
      <c r="G128" s="36"/>
      <c r="H128" s="36"/>
      <c r="I128" s="15"/>
      <c r="J128" s="37"/>
      <c r="K128" s="37"/>
      <c r="L128" s="37"/>
      <c r="M128" s="37"/>
      <c r="N128" s="15"/>
      <c r="O128" s="37"/>
      <c r="P128" s="37"/>
      <c r="Q128" s="37"/>
      <c r="R128" s="37"/>
      <c r="S128" s="15"/>
      <c r="T128" s="13"/>
      <c r="U128" s="15"/>
      <c r="V128" s="5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6"/>
    </row>
    <row r="129" spans="1:35" x14ac:dyDescent="0.25">
      <c r="A129" s="3"/>
      <c r="B129" s="5"/>
      <c r="C129" s="5"/>
      <c r="D129" s="5"/>
      <c r="E129" s="5"/>
      <c r="F129" s="17"/>
      <c r="G129" s="17"/>
      <c r="H129" s="17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6"/>
    </row>
    <row r="130" spans="1:35" x14ac:dyDescent="0.25">
      <c r="A130" s="3"/>
      <c r="B130" s="5" t="s">
        <v>47</v>
      </c>
      <c r="C130" s="18"/>
      <c r="D130" s="18"/>
      <c r="E130" s="18"/>
      <c r="F130" s="5"/>
      <c r="G130" s="5"/>
      <c r="H130" s="5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6"/>
    </row>
    <row r="131" spans="1:35" ht="15" customHeight="1" x14ac:dyDescent="0.25">
      <c r="A131" s="3"/>
      <c r="B131" s="37" t="str">
        <f>"0x"&amp;DEC2HEX(Sheet3!$I$4,8)</f>
        <v>0x00400320</v>
      </c>
      <c r="C131" s="37"/>
      <c r="D131" s="37"/>
      <c r="E131" s="16"/>
      <c r="F131" s="322" t="str">
        <f>F126&amp;BIN2HEX(MID(J126,3,8),2)&amp;BIN2HEX(RIGHT(J126,7)&amp;MID(O126,3,1),2)&amp;BIN2HEX(MID(O126,4,8),2)&amp;BIN2HEX(RIGHT(O126,6)&amp;T126&amp;U126,2)</f>
        <v>0x0000FFFF00080014</v>
      </c>
      <c r="G131" s="322"/>
      <c r="H131" s="322"/>
      <c r="I131" s="322"/>
      <c r="J131" s="5"/>
      <c r="K131" s="5"/>
      <c r="L131" s="5"/>
      <c r="M131" s="5"/>
      <c r="N131" s="5"/>
      <c r="O131" s="5"/>
      <c r="P131" s="16"/>
      <c r="Q131" s="16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5"/>
      <c r="AH131" s="5"/>
      <c r="AI131" s="6"/>
    </row>
    <row r="132" spans="1:35" x14ac:dyDescent="0.25">
      <c r="A132" s="3"/>
      <c r="B132" s="37"/>
      <c r="C132" s="37"/>
      <c r="D132" s="37"/>
      <c r="E132" s="5"/>
      <c r="F132" s="38"/>
      <c r="G132" s="38"/>
      <c r="H132" s="38"/>
      <c r="I132" s="38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6"/>
    </row>
    <row r="133" spans="1:35" x14ac:dyDescent="0.25">
      <c r="A133" s="3"/>
      <c r="B133" s="37"/>
      <c r="C133" s="37"/>
      <c r="D133" s="37"/>
      <c r="E133" s="5"/>
      <c r="F133" s="38"/>
      <c r="G133" s="38"/>
      <c r="H133" s="38"/>
      <c r="I133" s="38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6"/>
    </row>
    <row r="134" spans="1:35" x14ac:dyDescent="0.25">
      <c r="A134" s="20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3"/>
    </row>
    <row r="135" spans="1:35" x14ac:dyDescent="0.25">
      <c r="A135" s="24"/>
      <c r="B135" s="28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6"/>
    </row>
    <row r="136" spans="1:35" x14ac:dyDescent="0.25">
      <c r="A136" s="3"/>
      <c r="B136" s="4" t="s">
        <v>70</v>
      </c>
      <c r="C136" s="5"/>
      <c r="D136" s="5"/>
      <c r="E136" s="5"/>
      <c r="F136" s="5"/>
      <c r="G136" s="5"/>
      <c r="H136" s="5"/>
      <c r="I136" s="5" t="str">
        <f>"0x"&amp;BIN2HEX(CONCATENATE(C141,D141,E141,F141,G141,H141,I141,J141),2)&amp;BIN2HEX(CONCATENATE(K141,L141,M141,N141,O141,P141,Q141,R141),2)&amp;BIN2HEX(CONCATENATE(S141,T141,U141,V141,W141,X141,Y141,Z141),2)&amp;BIN2HEX(CONCATENATE(AA141,AB141,AC141,AD141,AE141,AF141,AG141,AH141),2)&amp;"_"&amp;BIN2HEX(CONCATENATE(C145,D145,E145,F145,G145,H145,I145,J145),2)&amp;BIN2HEX(CONCATENATE(K145,L145,M145,N145,O145,P145,Q145,R145),2)&amp;BIN2HEX(CONCATENATE(S145,T145,U145,V145,W145,X145,Y145,Z145),2)&amp;BIN2HEX(CONCATENATE(AA145,AB145,AC145,AD145,AE145,AF145,AG145,AH145),2)</f>
        <v>0x00000000_00080028</v>
      </c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6"/>
    </row>
    <row r="137" spans="1:35" ht="15.75" thickBot="1" x14ac:dyDescent="0.3">
      <c r="A137" s="3"/>
      <c r="B137" s="5"/>
      <c r="C137" s="7">
        <v>0</v>
      </c>
      <c r="D137" s="7">
        <v>1</v>
      </c>
      <c r="E137" s="7">
        <v>2</v>
      </c>
      <c r="F137" s="7">
        <v>3</v>
      </c>
      <c r="G137" s="7">
        <v>4</v>
      </c>
      <c r="H137" s="7">
        <v>5</v>
      </c>
      <c r="I137" s="7">
        <v>6</v>
      </c>
      <c r="J137" s="7">
        <v>7</v>
      </c>
      <c r="K137" s="7">
        <v>8</v>
      </c>
      <c r="L137" s="7">
        <v>9</v>
      </c>
      <c r="M137" s="7">
        <v>10</v>
      </c>
      <c r="N137" s="7">
        <v>11</v>
      </c>
      <c r="O137" s="7">
        <v>12</v>
      </c>
      <c r="P137" s="7">
        <v>13</v>
      </c>
      <c r="Q137" s="7">
        <v>14</v>
      </c>
      <c r="R137" s="7">
        <v>15</v>
      </c>
      <c r="S137" s="7">
        <v>16</v>
      </c>
      <c r="T137" s="7">
        <v>17</v>
      </c>
      <c r="U137" s="7">
        <v>18</v>
      </c>
      <c r="V137" s="7">
        <v>19</v>
      </c>
      <c r="W137" s="7">
        <v>20</v>
      </c>
      <c r="X137" s="7">
        <v>21</v>
      </c>
      <c r="Y137" s="7">
        <v>22</v>
      </c>
      <c r="Z137" s="7">
        <v>23</v>
      </c>
      <c r="AA137" s="7">
        <v>24</v>
      </c>
      <c r="AB137" s="7">
        <v>25</v>
      </c>
      <c r="AC137" s="7">
        <v>26</v>
      </c>
      <c r="AD137" s="7">
        <v>27</v>
      </c>
      <c r="AE137" s="7">
        <v>28</v>
      </c>
      <c r="AF137" s="7">
        <v>29</v>
      </c>
      <c r="AG137" s="7">
        <v>30</v>
      </c>
      <c r="AH137" s="7">
        <v>31</v>
      </c>
      <c r="AI137" s="6"/>
    </row>
    <row r="138" spans="1:35" ht="17.25" customHeight="1" x14ac:dyDescent="0.25">
      <c r="A138" s="3"/>
      <c r="B138" s="5" t="s">
        <v>31</v>
      </c>
      <c r="C138" s="349">
        <v>0</v>
      </c>
      <c r="D138" s="337"/>
      <c r="E138" s="337"/>
      <c r="F138" s="337"/>
      <c r="G138" s="337"/>
      <c r="H138" s="337"/>
      <c r="I138" s="337"/>
      <c r="J138" s="337"/>
      <c r="K138" s="337"/>
      <c r="L138" s="337"/>
      <c r="M138" s="337"/>
      <c r="N138" s="337"/>
      <c r="O138" s="337"/>
      <c r="P138" s="337"/>
      <c r="Q138" s="337"/>
      <c r="R138" s="337"/>
      <c r="S138" s="337"/>
      <c r="T138" s="337"/>
      <c r="U138" s="337"/>
      <c r="V138" s="337"/>
      <c r="W138" s="337"/>
      <c r="X138" s="337"/>
      <c r="Y138" s="337"/>
      <c r="Z138" s="337"/>
      <c r="AA138" s="337"/>
      <c r="AB138" s="337"/>
      <c r="AC138" s="350"/>
      <c r="AD138" s="345" t="s">
        <v>71</v>
      </c>
      <c r="AE138" s="345" t="s">
        <v>72</v>
      </c>
      <c r="AF138" s="154">
        <v>0</v>
      </c>
      <c r="AG138" s="345" t="s">
        <v>73</v>
      </c>
      <c r="AH138" s="347" t="s">
        <v>74</v>
      </c>
      <c r="AI138" s="6"/>
    </row>
    <row r="139" spans="1:35" x14ac:dyDescent="0.25">
      <c r="A139" s="3"/>
      <c r="B139" s="5" t="s">
        <v>32</v>
      </c>
      <c r="C139" s="358"/>
      <c r="D139" s="340"/>
      <c r="E139" s="340"/>
      <c r="F139" s="340"/>
      <c r="G139" s="340"/>
      <c r="H139" s="340"/>
      <c r="I139" s="340"/>
      <c r="J139" s="340"/>
      <c r="K139" s="340"/>
      <c r="L139" s="340"/>
      <c r="M139" s="340"/>
      <c r="N139" s="340"/>
      <c r="O139" s="340"/>
      <c r="P139" s="340"/>
      <c r="Q139" s="340"/>
      <c r="R139" s="340"/>
      <c r="S139" s="340"/>
      <c r="T139" s="340"/>
      <c r="U139" s="340"/>
      <c r="V139" s="340"/>
      <c r="W139" s="340"/>
      <c r="X139" s="340"/>
      <c r="Y139" s="340"/>
      <c r="Z139" s="340"/>
      <c r="AA139" s="340"/>
      <c r="AB139" s="340"/>
      <c r="AC139" s="359"/>
      <c r="AD139" s="346"/>
      <c r="AE139" s="346"/>
      <c r="AF139" s="156"/>
      <c r="AG139" s="346"/>
      <c r="AH139" s="348"/>
      <c r="AI139" s="6"/>
    </row>
    <row r="140" spans="1:35" x14ac:dyDescent="0.25">
      <c r="A140" s="3"/>
      <c r="B140" s="5" t="s">
        <v>11</v>
      </c>
      <c r="C140" s="56">
        <v>0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v>0</v>
      </c>
      <c r="Q140" s="57">
        <v>0</v>
      </c>
      <c r="R140" s="57">
        <v>0</v>
      </c>
      <c r="S140" s="57">
        <v>0</v>
      </c>
      <c r="T140" s="57">
        <v>0</v>
      </c>
      <c r="U140" s="57">
        <v>0</v>
      </c>
      <c r="V140" s="57">
        <v>0</v>
      </c>
      <c r="W140" s="57">
        <v>0</v>
      </c>
      <c r="X140" s="57">
        <v>0</v>
      </c>
      <c r="Y140" s="57">
        <v>0</v>
      </c>
      <c r="Z140" s="57">
        <v>0</v>
      </c>
      <c r="AA140" s="57">
        <v>0</v>
      </c>
      <c r="AB140" s="57">
        <v>0</v>
      </c>
      <c r="AC140" s="57">
        <v>0</v>
      </c>
      <c r="AD140" s="57">
        <v>0</v>
      </c>
      <c r="AE140" s="57">
        <v>0</v>
      </c>
      <c r="AF140" s="57">
        <v>0</v>
      </c>
      <c r="AG140" s="57">
        <v>0</v>
      </c>
      <c r="AH140" s="58">
        <v>0</v>
      </c>
      <c r="AI140" s="6"/>
    </row>
    <row r="141" spans="1:35" ht="15.75" thickBot="1" x14ac:dyDescent="0.3">
      <c r="A141" s="3"/>
      <c r="B141" s="5" t="s">
        <v>12</v>
      </c>
      <c r="C141" s="61">
        <v>0</v>
      </c>
      <c r="D141" s="62">
        <v>0</v>
      </c>
      <c r="E141" s="62">
        <v>0</v>
      </c>
      <c r="F141" s="62">
        <v>0</v>
      </c>
      <c r="G141" s="62">
        <v>0</v>
      </c>
      <c r="H141" s="62">
        <v>0</v>
      </c>
      <c r="I141" s="62">
        <v>0</v>
      </c>
      <c r="J141" s="62">
        <v>0</v>
      </c>
      <c r="K141" s="62">
        <v>0</v>
      </c>
      <c r="L141" s="62">
        <v>0</v>
      </c>
      <c r="M141" s="62">
        <v>0</v>
      </c>
      <c r="N141" s="62">
        <v>0</v>
      </c>
      <c r="O141" s="62">
        <v>0</v>
      </c>
      <c r="P141" s="62">
        <v>0</v>
      </c>
      <c r="Q141" s="62">
        <v>0</v>
      </c>
      <c r="R141" s="62">
        <v>0</v>
      </c>
      <c r="S141" s="62">
        <v>0</v>
      </c>
      <c r="T141" s="62">
        <v>0</v>
      </c>
      <c r="U141" s="62">
        <v>0</v>
      </c>
      <c r="V141" s="62">
        <v>0</v>
      </c>
      <c r="W141" s="62">
        <v>0</v>
      </c>
      <c r="X141" s="62">
        <v>0</v>
      </c>
      <c r="Y141" s="62">
        <v>0</v>
      </c>
      <c r="Z141" s="62">
        <v>0</v>
      </c>
      <c r="AA141" s="62">
        <v>0</v>
      </c>
      <c r="AB141" s="62">
        <v>0</v>
      </c>
      <c r="AC141" s="62">
        <v>0</v>
      </c>
      <c r="AD141" s="88">
        <v>0</v>
      </c>
      <c r="AE141" s="88">
        <v>0</v>
      </c>
      <c r="AF141" s="88">
        <v>0</v>
      </c>
      <c r="AG141" s="88">
        <v>0</v>
      </c>
      <c r="AH141" s="89">
        <v>0</v>
      </c>
      <c r="AI141" s="6"/>
    </row>
    <row r="142" spans="1:35" x14ac:dyDescent="0.25">
      <c r="A142" s="3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6"/>
    </row>
    <row r="143" spans="1:35" ht="15.75" thickBot="1" x14ac:dyDescent="0.3">
      <c r="A143" s="3"/>
      <c r="B143" s="5"/>
      <c r="C143" s="7">
        <v>32</v>
      </c>
      <c r="D143" s="7">
        <v>33</v>
      </c>
      <c r="E143" s="7">
        <v>34</v>
      </c>
      <c r="F143" s="7">
        <v>35</v>
      </c>
      <c r="G143" s="7">
        <v>36</v>
      </c>
      <c r="H143" s="7">
        <v>37</v>
      </c>
      <c r="I143" s="7">
        <v>38</v>
      </c>
      <c r="J143" s="7">
        <v>39</v>
      </c>
      <c r="K143" s="7">
        <v>40</v>
      </c>
      <c r="L143" s="7">
        <v>41</v>
      </c>
      <c r="M143" s="7">
        <v>42</v>
      </c>
      <c r="N143" s="7">
        <v>43</v>
      </c>
      <c r="O143" s="7">
        <v>44</v>
      </c>
      <c r="P143" s="7">
        <v>45</v>
      </c>
      <c r="Q143" s="7">
        <v>46</v>
      </c>
      <c r="R143" s="7">
        <v>47</v>
      </c>
      <c r="S143" s="7">
        <v>48</v>
      </c>
      <c r="T143" s="7">
        <v>49</v>
      </c>
      <c r="U143" s="7">
        <v>50</v>
      </c>
      <c r="V143" s="7">
        <v>51</v>
      </c>
      <c r="W143" s="7">
        <v>52</v>
      </c>
      <c r="X143" s="7">
        <v>53</v>
      </c>
      <c r="Y143" s="7">
        <v>54</v>
      </c>
      <c r="Z143" s="7">
        <v>55</v>
      </c>
      <c r="AA143" s="7">
        <v>56</v>
      </c>
      <c r="AB143" s="7">
        <v>57</v>
      </c>
      <c r="AC143" s="7">
        <v>58</v>
      </c>
      <c r="AD143" s="7">
        <v>59</v>
      </c>
      <c r="AE143" s="7">
        <v>60</v>
      </c>
      <c r="AF143" s="7">
        <v>61</v>
      </c>
      <c r="AG143" s="7">
        <v>62</v>
      </c>
      <c r="AH143" s="7">
        <v>63</v>
      </c>
      <c r="AI143" s="6"/>
    </row>
    <row r="144" spans="1:35" ht="15.75" thickBot="1" x14ac:dyDescent="0.3">
      <c r="A144" s="3"/>
      <c r="B144" s="5"/>
      <c r="C144" s="147" t="s">
        <v>13</v>
      </c>
      <c r="D144" s="148" t="s">
        <v>14</v>
      </c>
      <c r="E144" s="148" t="s">
        <v>15</v>
      </c>
      <c r="F144" s="148" t="s">
        <v>16</v>
      </c>
      <c r="G144" s="148" t="s">
        <v>17</v>
      </c>
      <c r="H144" s="148" t="s">
        <v>18</v>
      </c>
      <c r="I144" s="148" t="s">
        <v>19</v>
      </c>
      <c r="J144" s="148" t="s">
        <v>20</v>
      </c>
      <c r="K144" s="148" t="s">
        <v>21</v>
      </c>
      <c r="L144" s="148" t="s">
        <v>22</v>
      </c>
      <c r="M144" s="148" t="s">
        <v>23</v>
      </c>
      <c r="N144" s="148" t="s">
        <v>24</v>
      </c>
      <c r="O144" s="148" t="s">
        <v>25</v>
      </c>
      <c r="P144" s="148" t="s">
        <v>26</v>
      </c>
      <c r="Q144" s="148" t="s">
        <v>27</v>
      </c>
      <c r="R144" s="342" t="s">
        <v>30</v>
      </c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4"/>
      <c r="AG144" s="67" t="s">
        <v>28</v>
      </c>
      <c r="AH144" s="149" t="s">
        <v>29</v>
      </c>
      <c r="AI144" s="6"/>
    </row>
    <row r="145" spans="1:35" ht="15.75" thickBot="1" x14ac:dyDescent="0.3">
      <c r="A145" s="3"/>
      <c r="B145" s="5"/>
      <c r="C145" s="150">
        <v>0</v>
      </c>
      <c r="D145" s="151">
        <v>0</v>
      </c>
      <c r="E145" s="151">
        <v>0</v>
      </c>
      <c r="F145" s="151">
        <v>0</v>
      </c>
      <c r="G145" s="151">
        <v>0</v>
      </c>
      <c r="H145" s="151">
        <v>0</v>
      </c>
      <c r="I145" s="151">
        <v>0</v>
      </c>
      <c r="J145" s="151">
        <v>0</v>
      </c>
      <c r="K145" s="151">
        <v>0</v>
      </c>
      <c r="L145" s="151">
        <v>0</v>
      </c>
      <c r="M145" s="151">
        <v>0</v>
      </c>
      <c r="N145" s="151">
        <v>0</v>
      </c>
      <c r="O145" s="151">
        <v>1</v>
      </c>
      <c r="P145" s="151">
        <v>0</v>
      </c>
      <c r="Q145" s="151">
        <v>0</v>
      </c>
      <c r="R145" s="151">
        <v>0</v>
      </c>
      <c r="S145" s="151">
        <v>0</v>
      </c>
      <c r="T145" s="151">
        <v>0</v>
      </c>
      <c r="U145" s="151">
        <v>0</v>
      </c>
      <c r="V145" s="151">
        <v>0</v>
      </c>
      <c r="W145" s="151">
        <v>0</v>
      </c>
      <c r="X145" s="151">
        <v>0</v>
      </c>
      <c r="Y145" s="151">
        <v>0</v>
      </c>
      <c r="Z145" s="151">
        <v>0</v>
      </c>
      <c r="AA145" s="151">
        <v>0</v>
      </c>
      <c r="AB145" s="151">
        <v>0</v>
      </c>
      <c r="AC145" s="151">
        <v>1</v>
      </c>
      <c r="AD145" s="151">
        <v>0</v>
      </c>
      <c r="AE145" s="151">
        <v>1</v>
      </c>
      <c r="AF145" s="151">
        <v>0</v>
      </c>
      <c r="AG145" s="151">
        <v>0</v>
      </c>
      <c r="AH145" s="152">
        <v>0</v>
      </c>
      <c r="AI145" s="6"/>
    </row>
    <row r="146" spans="1:35" x14ac:dyDescent="0.25">
      <c r="A146" s="3"/>
      <c r="B146" s="4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6"/>
    </row>
    <row r="147" spans="1:35" x14ac:dyDescent="0.25">
      <c r="A147" s="3"/>
      <c r="B147" s="8" t="s">
        <v>43</v>
      </c>
      <c r="C147" s="9"/>
      <c r="D147" s="9"/>
      <c r="E147" s="9"/>
      <c r="F147" s="44" t="s">
        <v>44</v>
      </c>
      <c r="G147" s="44"/>
      <c r="H147" s="44"/>
      <c r="I147" s="9"/>
      <c r="J147" s="45" t="s">
        <v>45</v>
      </c>
      <c r="K147" s="45"/>
      <c r="L147" s="45"/>
      <c r="M147" s="45"/>
      <c r="N147" s="9"/>
      <c r="O147" s="46" t="s">
        <v>46</v>
      </c>
      <c r="P147" s="46"/>
      <c r="Q147" s="46"/>
      <c r="R147" s="46"/>
      <c r="S147" s="9"/>
      <c r="T147" s="1" t="s">
        <v>49</v>
      </c>
      <c r="U147" s="10" t="s">
        <v>48</v>
      </c>
      <c r="V147" s="5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6"/>
    </row>
    <row r="148" spans="1:35" ht="15" customHeight="1" x14ac:dyDescent="0.25">
      <c r="A148" s="3"/>
      <c r="B148" s="42" t="str">
        <f>"0x"&amp;DEC2HEX(Sheet3!$I$4,8)</f>
        <v>0x00400320</v>
      </c>
      <c r="C148" s="42"/>
      <c r="D148" s="42"/>
      <c r="E148" s="12"/>
      <c r="F148" s="319" t="str">
        <f>"0x"&amp;BIN2HEX(CONCATENATE(C141,D141,E141,F141,G141,H141,I141,J141),2)&amp;BIN2HEX(CONCATENATE(K141,L141,M141,N141,O141,P141,Q141,R141),2)&amp;BIN2HEX(CONCATENATE(S141,T141,U141,V141,W141,X141,Y141,Z141),2)&amp;BIN2HEX(CONCATENATE(AA141,AB141,AC141,AD141,AE141,AF141,AG141,AH141),2)</f>
        <v>0x00000000</v>
      </c>
      <c r="G148" s="319"/>
      <c r="H148" s="319"/>
      <c r="I148" s="12"/>
      <c r="J148" s="319" t="str">
        <f>"0b"&amp;C145&amp;D145&amp;E145&amp;F145&amp;G145&amp;H145&amp;I145&amp;J145&amp;K145&amp;L145&amp;M145&amp;N145&amp;O145&amp;P145&amp;Q145</f>
        <v>0b000000000000100</v>
      </c>
      <c r="K148" s="319"/>
      <c r="L148" s="319"/>
      <c r="M148" s="319"/>
      <c r="N148" s="12"/>
      <c r="O148" s="319" t="str">
        <f>"0b"&amp;DEC2BIN(((AF145+AE145*2+AD145*4+AC145*8+AB145*16+AA145*32+Z145*64+Y145*128+X145*256+W145*512+V145*1024+U145*2048+T145*4096+S145*2^13+R145*2^14)/512),6)&amp;DEC2BIN(MOD((AF145+AE145*2+AD145*4+AC145*8+AB145*16+AA145*32+Z145*64+Y145*128+X145*256+W145*512+V145*1024+U145*2048+T145*4096+S145*2^13+R145*2^14),512),9)</f>
        <v>0b000000000001010</v>
      </c>
      <c r="P148" s="319"/>
      <c r="Q148" s="319"/>
      <c r="R148" s="319"/>
      <c r="S148" s="12"/>
      <c r="T148" s="13">
        <v>0</v>
      </c>
      <c r="U148" s="13">
        <f>AH145</f>
        <v>0</v>
      </c>
      <c r="V148" s="5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6"/>
    </row>
    <row r="149" spans="1:35" x14ac:dyDescent="0.25">
      <c r="A149" s="3"/>
      <c r="B149" s="42"/>
      <c r="C149" s="42"/>
      <c r="D149" s="42"/>
      <c r="E149" s="15"/>
      <c r="F149" s="43"/>
      <c r="G149" s="43"/>
      <c r="H149" s="43"/>
      <c r="I149" s="15"/>
      <c r="J149" s="42"/>
      <c r="K149" s="42"/>
      <c r="L149" s="42"/>
      <c r="M149" s="42"/>
      <c r="N149" s="15"/>
      <c r="O149" s="42"/>
      <c r="P149" s="42"/>
      <c r="Q149" s="42"/>
      <c r="R149" s="42"/>
      <c r="S149" s="15"/>
      <c r="T149" s="13"/>
      <c r="U149" s="15"/>
      <c r="V149" s="5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6"/>
    </row>
    <row r="150" spans="1:35" x14ac:dyDescent="0.25">
      <c r="A150" s="3"/>
      <c r="B150" s="42"/>
      <c r="C150" s="42"/>
      <c r="D150" s="42"/>
      <c r="E150" s="15"/>
      <c r="F150" s="43"/>
      <c r="G150" s="43"/>
      <c r="H150" s="43"/>
      <c r="I150" s="15"/>
      <c r="J150" s="42"/>
      <c r="K150" s="42"/>
      <c r="L150" s="42"/>
      <c r="M150" s="42"/>
      <c r="N150" s="15"/>
      <c r="O150" s="42"/>
      <c r="P150" s="42"/>
      <c r="Q150" s="42"/>
      <c r="R150" s="42"/>
      <c r="S150" s="15"/>
      <c r="T150" s="13"/>
      <c r="U150" s="15"/>
      <c r="V150" s="5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6"/>
    </row>
    <row r="151" spans="1:35" x14ac:dyDescent="0.25">
      <c r="A151" s="3"/>
      <c r="B151" s="5"/>
      <c r="C151" s="5"/>
      <c r="D151" s="5"/>
      <c r="E151" s="5"/>
      <c r="F151" s="17"/>
      <c r="G151" s="17"/>
      <c r="H151" s="17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6"/>
    </row>
    <row r="152" spans="1:35" x14ac:dyDescent="0.25">
      <c r="A152" s="3"/>
      <c r="B152" s="5" t="s">
        <v>47</v>
      </c>
      <c r="C152" s="18"/>
      <c r="D152" s="18"/>
      <c r="E152" s="18"/>
      <c r="F152" s="5"/>
      <c r="G152" s="5"/>
      <c r="H152" s="5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6"/>
    </row>
    <row r="153" spans="1:35" ht="15" customHeight="1" x14ac:dyDescent="0.25">
      <c r="A153" s="3"/>
      <c r="B153" s="42" t="str">
        <f>"0x"&amp;DEC2HEX(Sheet3!$I$4,8)</f>
        <v>0x00400320</v>
      </c>
      <c r="C153" s="42"/>
      <c r="D153" s="42"/>
      <c r="E153" s="16"/>
      <c r="F153" s="322" t="str">
        <f>F148&amp;BIN2HEX(MID(J148,3,8),2)&amp;BIN2HEX(RIGHT(J148,7)&amp;MID(O148,3,1),2)&amp;BIN2HEX(MID(O148,4,8),2)&amp;BIN2HEX(RIGHT(O148,6)&amp;T148&amp;U148,2)</f>
        <v>0x0000000000080028</v>
      </c>
      <c r="G153" s="322"/>
      <c r="H153" s="322"/>
      <c r="I153" s="322"/>
      <c r="J153" s="5"/>
      <c r="K153" s="5"/>
      <c r="L153" s="5"/>
      <c r="M153" s="5"/>
      <c r="N153" s="5"/>
      <c r="O153" s="5"/>
      <c r="P153" s="16"/>
      <c r="Q153" s="16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5"/>
      <c r="AH153" s="5"/>
      <c r="AI153" s="6"/>
    </row>
    <row r="154" spans="1:35" x14ac:dyDescent="0.25">
      <c r="A154" s="3"/>
      <c r="B154" s="37"/>
      <c r="C154" s="37"/>
      <c r="D154" s="37"/>
      <c r="E154" s="5"/>
      <c r="F154" s="38"/>
      <c r="G154" s="38"/>
      <c r="H154" s="38"/>
      <c r="I154" s="38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6"/>
    </row>
    <row r="155" spans="1:35" x14ac:dyDescent="0.25">
      <c r="A155" s="3"/>
      <c r="B155" s="37"/>
      <c r="C155" s="37"/>
      <c r="D155" s="37"/>
      <c r="E155" s="5"/>
      <c r="F155" s="38"/>
      <c r="G155" s="38"/>
      <c r="H155" s="38"/>
      <c r="I155" s="38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6"/>
    </row>
    <row r="156" spans="1:35" x14ac:dyDescent="0.25">
      <c r="A156" s="3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230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6"/>
    </row>
    <row r="157" spans="1:35" x14ac:dyDescent="0.25">
      <c r="A157" s="24"/>
      <c r="B157" s="28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6"/>
    </row>
    <row r="158" spans="1:35" x14ac:dyDescent="0.25">
      <c r="A158" s="3"/>
      <c r="B158" s="4" t="s">
        <v>75</v>
      </c>
      <c r="C158" s="5"/>
      <c r="D158" s="5"/>
      <c r="E158" s="5"/>
      <c r="F158" s="5"/>
      <c r="G158" s="5"/>
      <c r="H158" s="5"/>
      <c r="I158" s="5" t="str">
        <f>"0x"&amp;BIN2HEX(CONCATENATE(C163,D163,E163,F163,G163,H163,I163,J163),2)&amp;BIN2HEX(CONCATENATE(K163,L163,M163,N163,O163,P163,Q163,R163),2)&amp;BIN2HEX(CONCATENATE(S163,T163,U163,V163,W163,X163,Y163,Z163),2)&amp;BIN2HEX(CONCATENATE(AA163,AB163,AC163,AD163,AE163,AF163,AG163,AH163),2)&amp;"_"&amp;BIN2HEX(CONCATENATE(C167,D167,E167,F167,G167,H167,I167,J167),2)&amp;BIN2HEX(CONCATENATE(K167,L167,M167,N167,O167,P167,Q167,R167),2)&amp;BIN2HEX(CONCATENATE(S167,T167,U167,V167,W167,X167,Y167,Z167),2)&amp;BIN2HEX(CONCATENATE(AA167,AB167,AC167,AD167,AE167,AF167,AG167,AH167),2)</f>
        <v>0x00000000_00080040</v>
      </c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6"/>
    </row>
    <row r="159" spans="1:35" ht="15.75" thickBot="1" x14ac:dyDescent="0.3">
      <c r="A159" s="3"/>
      <c r="B159" s="5"/>
      <c r="C159" s="7">
        <v>0</v>
      </c>
      <c r="D159" s="7">
        <v>1</v>
      </c>
      <c r="E159" s="7">
        <v>2</v>
      </c>
      <c r="F159" s="7">
        <v>3</v>
      </c>
      <c r="G159" s="7">
        <v>4</v>
      </c>
      <c r="H159" s="7">
        <v>5</v>
      </c>
      <c r="I159" s="7">
        <v>6</v>
      </c>
      <c r="J159" s="7">
        <v>7</v>
      </c>
      <c r="K159" s="7">
        <v>8</v>
      </c>
      <c r="L159" s="7">
        <v>9</v>
      </c>
      <c r="M159" s="7">
        <v>10</v>
      </c>
      <c r="N159" s="7">
        <v>11</v>
      </c>
      <c r="O159" s="7">
        <v>12</v>
      </c>
      <c r="P159" s="7">
        <v>13</v>
      </c>
      <c r="Q159" s="7">
        <v>14</v>
      </c>
      <c r="R159" s="7">
        <v>15</v>
      </c>
      <c r="S159" s="7">
        <v>16</v>
      </c>
      <c r="T159" s="7">
        <v>17</v>
      </c>
      <c r="U159" s="7">
        <v>18</v>
      </c>
      <c r="V159" s="7">
        <v>19</v>
      </c>
      <c r="W159" s="7">
        <v>20</v>
      </c>
      <c r="X159" s="7">
        <v>21</v>
      </c>
      <c r="Y159" s="7">
        <v>22</v>
      </c>
      <c r="Z159" s="7">
        <v>23</v>
      </c>
      <c r="AA159" s="7">
        <v>24</v>
      </c>
      <c r="AB159" s="7">
        <v>25</v>
      </c>
      <c r="AC159" s="7">
        <v>26</v>
      </c>
      <c r="AD159" s="7">
        <v>27</v>
      </c>
      <c r="AE159" s="7">
        <v>28</v>
      </c>
      <c r="AF159" s="7">
        <v>29</v>
      </c>
      <c r="AG159" s="7">
        <v>30</v>
      </c>
      <c r="AH159" s="7">
        <v>31</v>
      </c>
      <c r="AI159" s="6"/>
    </row>
    <row r="160" spans="1:35" ht="15" customHeight="1" x14ac:dyDescent="0.25">
      <c r="A160" s="3"/>
      <c r="B160" s="5" t="s">
        <v>31</v>
      </c>
      <c r="C160" s="354">
        <v>0</v>
      </c>
      <c r="D160" s="331"/>
      <c r="E160" s="331"/>
      <c r="F160" s="331"/>
      <c r="G160" s="331"/>
      <c r="H160" s="331"/>
      <c r="I160" s="331"/>
      <c r="J160" s="331"/>
      <c r="K160" s="331"/>
      <c r="L160" s="331"/>
      <c r="M160" s="331"/>
      <c r="N160" s="331"/>
      <c r="O160" s="331"/>
      <c r="P160" s="331"/>
      <c r="Q160" s="331"/>
      <c r="R160" s="331"/>
      <c r="S160" s="331"/>
      <c r="T160" s="331"/>
      <c r="U160" s="331"/>
      <c r="V160" s="331"/>
      <c r="W160" s="331"/>
      <c r="X160" s="331"/>
      <c r="Y160" s="331"/>
      <c r="Z160" s="331"/>
      <c r="AA160" s="331"/>
      <c r="AB160" s="331"/>
      <c r="AC160" s="331"/>
      <c r="AD160" s="331"/>
      <c r="AE160" s="332"/>
      <c r="AF160" s="345" t="s">
        <v>76</v>
      </c>
      <c r="AG160" s="345" t="s">
        <v>77</v>
      </c>
      <c r="AH160" s="347" t="s">
        <v>78</v>
      </c>
      <c r="AI160" s="6"/>
    </row>
    <row r="161" spans="1:35" x14ac:dyDescent="0.25">
      <c r="A161" s="3"/>
      <c r="B161" s="5" t="s">
        <v>32</v>
      </c>
      <c r="C161" s="358"/>
      <c r="D161" s="340"/>
      <c r="E161" s="340"/>
      <c r="F161" s="340"/>
      <c r="G161" s="340"/>
      <c r="H161" s="340"/>
      <c r="I161" s="340"/>
      <c r="J161" s="340"/>
      <c r="K161" s="340"/>
      <c r="L161" s="340"/>
      <c r="M161" s="340"/>
      <c r="N161" s="340"/>
      <c r="O161" s="340"/>
      <c r="P161" s="340"/>
      <c r="Q161" s="340"/>
      <c r="R161" s="340"/>
      <c r="S161" s="340"/>
      <c r="T161" s="340"/>
      <c r="U161" s="340"/>
      <c r="V161" s="340"/>
      <c r="W161" s="340"/>
      <c r="X161" s="340"/>
      <c r="Y161" s="340"/>
      <c r="Z161" s="340"/>
      <c r="AA161" s="340"/>
      <c r="AB161" s="340"/>
      <c r="AC161" s="340"/>
      <c r="AD161" s="340"/>
      <c r="AE161" s="359"/>
      <c r="AF161" s="346"/>
      <c r="AG161" s="346"/>
      <c r="AH161" s="348"/>
      <c r="AI161" s="6"/>
    </row>
    <row r="162" spans="1:35" x14ac:dyDescent="0.25">
      <c r="A162" s="3"/>
      <c r="B162" s="5" t="s">
        <v>11</v>
      </c>
      <c r="C162" s="56">
        <v>0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v>0</v>
      </c>
      <c r="Q162" s="57">
        <v>0</v>
      </c>
      <c r="R162" s="57">
        <v>0</v>
      </c>
      <c r="S162" s="57">
        <v>0</v>
      </c>
      <c r="T162" s="57">
        <v>0</v>
      </c>
      <c r="U162" s="57">
        <v>0</v>
      </c>
      <c r="V162" s="57">
        <v>0</v>
      </c>
      <c r="W162" s="57">
        <v>0</v>
      </c>
      <c r="X162" s="57">
        <v>0</v>
      </c>
      <c r="Y162" s="57">
        <v>0</v>
      </c>
      <c r="Z162" s="57">
        <v>0</v>
      </c>
      <c r="AA162" s="57">
        <v>0</v>
      </c>
      <c r="AB162" s="57">
        <v>0</v>
      </c>
      <c r="AC162" s="57">
        <v>0</v>
      </c>
      <c r="AD162" s="57">
        <v>0</v>
      </c>
      <c r="AE162" s="57">
        <v>0</v>
      </c>
      <c r="AF162" s="57">
        <v>0</v>
      </c>
      <c r="AG162" s="57">
        <v>0</v>
      </c>
      <c r="AH162" s="58">
        <v>0</v>
      </c>
      <c r="AI162" s="6"/>
    </row>
    <row r="163" spans="1:35" ht="15.75" thickBot="1" x14ac:dyDescent="0.3">
      <c r="A163" s="3"/>
      <c r="B163" s="5" t="s">
        <v>12</v>
      </c>
      <c r="C163" s="61">
        <v>0</v>
      </c>
      <c r="D163" s="62">
        <v>0</v>
      </c>
      <c r="E163" s="62">
        <v>0</v>
      </c>
      <c r="F163" s="62">
        <v>0</v>
      </c>
      <c r="G163" s="62">
        <v>0</v>
      </c>
      <c r="H163" s="62">
        <v>0</v>
      </c>
      <c r="I163" s="62">
        <v>0</v>
      </c>
      <c r="J163" s="62">
        <v>0</v>
      </c>
      <c r="K163" s="62">
        <v>0</v>
      </c>
      <c r="L163" s="62">
        <v>0</v>
      </c>
      <c r="M163" s="62">
        <v>0</v>
      </c>
      <c r="N163" s="62">
        <v>0</v>
      </c>
      <c r="O163" s="62">
        <v>0</v>
      </c>
      <c r="P163" s="62">
        <v>0</v>
      </c>
      <c r="Q163" s="62">
        <v>0</v>
      </c>
      <c r="R163" s="62">
        <v>0</v>
      </c>
      <c r="S163" s="62">
        <v>0</v>
      </c>
      <c r="T163" s="62">
        <v>0</v>
      </c>
      <c r="U163" s="62">
        <v>0</v>
      </c>
      <c r="V163" s="62">
        <v>0</v>
      </c>
      <c r="W163" s="62">
        <v>0</v>
      </c>
      <c r="X163" s="62">
        <v>0</v>
      </c>
      <c r="Y163" s="62">
        <v>0</v>
      </c>
      <c r="Z163" s="62">
        <v>0</v>
      </c>
      <c r="AA163" s="62">
        <v>0</v>
      </c>
      <c r="AB163" s="62">
        <v>0</v>
      </c>
      <c r="AC163" s="62">
        <v>0</v>
      </c>
      <c r="AD163" s="62">
        <v>0</v>
      </c>
      <c r="AE163" s="161">
        <v>0</v>
      </c>
      <c r="AF163" s="88">
        <v>0</v>
      </c>
      <c r="AG163" s="88">
        <v>0</v>
      </c>
      <c r="AH163" s="89">
        <v>0</v>
      </c>
      <c r="AI163" s="6"/>
    </row>
    <row r="164" spans="1:35" x14ac:dyDescent="0.25">
      <c r="A164" s="3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6"/>
    </row>
    <row r="165" spans="1:35" ht="15.75" thickBot="1" x14ac:dyDescent="0.3">
      <c r="A165" s="3"/>
      <c r="B165" s="5"/>
      <c r="C165" s="7">
        <v>32</v>
      </c>
      <c r="D165" s="7">
        <v>33</v>
      </c>
      <c r="E165" s="7">
        <v>34</v>
      </c>
      <c r="F165" s="7">
        <v>35</v>
      </c>
      <c r="G165" s="7">
        <v>36</v>
      </c>
      <c r="H165" s="7">
        <v>37</v>
      </c>
      <c r="I165" s="7">
        <v>38</v>
      </c>
      <c r="J165" s="7">
        <v>39</v>
      </c>
      <c r="K165" s="7">
        <v>40</v>
      </c>
      <c r="L165" s="7">
        <v>41</v>
      </c>
      <c r="M165" s="7">
        <v>42</v>
      </c>
      <c r="N165" s="7">
        <v>43</v>
      </c>
      <c r="O165" s="7">
        <v>44</v>
      </c>
      <c r="P165" s="7">
        <v>45</v>
      </c>
      <c r="Q165" s="7">
        <v>46</v>
      </c>
      <c r="R165" s="7">
        <v>47</v>
      </c>
      <c r="S165" s="7">
        <v>48</v>
      </c>
      <c r="T165" s="7">
        <v>49</v>
      </c>
      <c r="U165" s="7">
        <v>50</v>
      </c>
      <c r="V165" s="7">
        <v>51</v>
      </c>
      <c r="W165" s="7">
        <v>52</v>
      </c>
      <c r="X165" s="7">
        <v>53</v>
      </c>
      <c r="Y165" s="7">
        <v>54</v>
      </c>
      <c r="Z165" s="7">
        <v>55</v>
      </c>
      <c r="AA165" s="7">
        <v>56</v>
      </c>
      <c r="AB165" s="7">
        <v>57</v>
      </c>
      <c r="AC165" s="7">
        <v>58</v>
      </c>
      <c r="AD165" s="7">
        <v>59</v>
      </c>
      <c r="AE165" s="7">
        <v>60</v>
      </c>
      <c r="AF165" s="7">
        <v>61</v>
      </c>
      <c r="AG165" s="7">
        <v>62</v>
      </c>
      <c r="AH165" s="7">
        <v>63</v>
      </c>
      <c r="AI165" s="6"/>
    </row>
    <row r="166" spans="1:35" ht="15.75" thickBot="1" x14ac:dyDescent="0.3">
      <c r="A166" s="3"/>
      <c r="B166" s="5"/>
      <c r="C166" s="147" t="s">
        <v>13</v>
      </c>
      <c r="D166" s="148" t="s">
        <v>14</v>
      </c>
      <c r="E166" s="148" t="s">
        <v>15</v>
      </c>
      <c r="F166" s="148" t="s">
        <v>16</v>
      </c>
      <c r="G166" s="148" t="s">
        <v>17</v>
      </c>
      <c r="H166" s="148" t="s">
        <v>18</v>
      </c>
      <c r="I166" s="148" t="s">
        <v>19</v>
      </c>
      <c r="J166" s="148" t="s">
        <v>20</v>
      </c>
      <c r="K166" s="148" t="s">
        <v>21</v>
      </c>
      <c r="L166" s="148" t="s">
        <v>22</v>
      </c>
      <c r="M166" s="148" t="s">
        <v>23</v>
      </c>
      <c r="N166" s="148" t="s">
        <v>24</v>
      </c>
      <c r="O166" s="148" t="s">
        <v>25</v>
      </c>
      <c r="P166" s="148" t="s">
        <v>26</v>
      </c>
      <c r="Q166" s="148" t="s">
        <v>27</v>
      </c>
      <c r="R166" s="342" t="s">
        <v>30</v>
      </c>
      <c r="S166" s="343"/>
      <c r="T166" s="343"/>
      <c r="U166" s="343"/>
      <c r="V166" s="343"/>
      <c r="W166" s="343"/>
      <c r="X166" s="343"/>
      <c r="Y166" s="343"/>
      <c r="Z166" s="343"/>
      <c r="AA166" s="343"/>
      <c r="AB166" s="343"/>
      <c r="AC166" s="343"/>
      <c r="AD166" s="343"/>
      <c r="AE166" s="343"/>
      <c r="AF166" s="344"/>
      <c r="AG166" s="67" t="s">
        <v>28</v>
      </c>
      <c r="AH166" s="149" t="s">
        <v>29</v>
      </c>
      <c r="AI166" s="6"/>
    </row>
    <row r="167" spans="1:35" ht="15.75" thickBot="1" x14ac:dyDescent="0.3">
      <c r="A167" s="3"/>
      <c r="B167" s="5"/>
      <c r="C167" s="150">
        <v>0</v>
      </c>
      <c r="D167" s="151">
        <v>0</v>
      </c>
      <c r="E167" s="151">
        <v>0</v>
      </c>
      <c r="F167" s="151">
        <v>0</v>
      </c>
      <c r="G167" s="151">
        <v>0</v>
      </c>
      <c r="H167" s="151">
        <v>0</v>
      </c>
      <c r="I167" s="151">
        <v>0</v>
      </c>
      <c r="J167" s="151">
        <v>0</v>
      </c>
      <c r="K167" s="151">
        <v>0</v>
      </c>
      <c r="L167" s="151">
        <v>0</v>
      </c>
      <c r="M167" s="151">
        <v>0</v>
      </c>
      <c r="N167" s="151">
        <v>0</v>
      </c>
      <c r="O167" s="151">
        <v>1</v>
      </c>
      <c r="P167" s="151">
        <v>0</v>
      </c>
      <c r="Q167" s="151">
        <v>0</v>
      </c>
      <c r="R167" s="151">
        <v>0</v>
      </c>
      <c r="S167" s="151">
        <v>0</v>
      </c>
      <c r="T167" s="151">
        <v>0</v>
      </c>
      <c r="U167" s="151">
        <v>0</v>
      </c>
      <c r="V167" s="151">
        <v>0</v>
      </c>
      <c r="W167" s="151">
        <v>0</v>
      </c>
      <c r="X167" s="151">
        <v>0</v>
      </c>
      <c r="Y167" s="151">
        <v>0</v>
      </c>
      <c r="Z167" s="151">
        <v>0</v>
      </c>
      <c r="AA167" s="151">
        <v>0</v>
      </c>
      <c r="AB167" s="151">
        <v>1</v>
      </c>
      <c r="AC167" s="151">
        <v>0</v>
      </c>
      <c r="AD167" s="151">
        <v>0</v>
      </c>
      <c r="AE167" s="151">
        <v>0</v>
      </c>
      <c r="AF167" s="151">
        <v>0</v>
      </c>
      <c r="AG167" s="151">
        <v>0</v>
      </c>
      <c r="AH167" s="152">
        <v>0</v>
      </c>
      <c r="AI167" s="6"/>
    </row>
    <row r="168" spans="1:35" x14ac:dyDescent="0.25">
      <c r="A168" s="3"/>
      <c r="B168" s="4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6"/>
    </row>
    <row r="169" spans="1:35" x14ac:dyDescent="0.25">
      <c r="A169" s="3"/>
      <c r="B169" s="8" t="s">
        <v>43</v>
      </c>
      <c r="C169" s="9"/>
      <c r="D169" s="9"/>
      <c r="E169" s="9"/>
      <c r="F169" s="44" t="s">
        <v>44</v>
      </c>
      <c r="G169" s="44"/>
      <c r="H169" s="44"/>
      <c r="I169" s="9"/>
      <c r="J169" s="45" t="s">
        <v>45</v>
      </c>
      <c r="K169" s="45"/>
      <c r="L169" s="45"/>
      <c r="M169" s="45"/>
      <c r="N169" s="9"/>
      <c r="O169" s="46" t="s">
        <v>46</v>
      </c>
      <c r="P169" s="46"/>
      <c r="Q169" s="46"/>
      <c r="R169" s="46"/>
      <c r="S169" s="9"/>
      <c r="T169" s="1" t="s">
        <v>49</v>
      </c>
      <c r="U169" s="10" t="s">
        <v>48</v>
      </c>
      <c r="V169" s="5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6"/>
    </row>
    <row r="170" spans="1:35" ht="15" customHeight="1" x14ac:dyDescent="0.25">
      <c r="A170" s="3"/>
      <c r="B170" s="42" t="str">
        <f>"0x"&amp;DEC2HEX(Sheet3!$I$4,8)</f>
        <v>0x00400320</v>
      </c>
      <c r="C170" s="42"/>
      <c r="D170" s="42"/>
      <c r="E170" s="12"/>
      <c r="F170" s="319" t="str">
        <f>"0x"&amp;BIN2HEX(CONCATENATE(C163,D163,E163,F163,G163,H163,I163,J163),2)&amp;BIN2HEX(CONCATENATE(K163,L163,M163,N163,O163,P163,Q163,R163),2)&amp;BIN2HEX(CONCATENATE(S163,T163,U163,V163,W163,X163,Y163,Z163),2)&amp;BIN2HEX(CONCATENATE(AA163,AB163,AC163,AD163,AE163,AF163,AG163,AH163),2)</f>
        <v>0x00000000</v>
      </c>
      <c r="G170" s="319"/>
      <c r="H170" s="319"/>
      <c r="I170" s="12"/>
      <c r="J170" s="319" t="str">
        <f>"0b"&amp;C167&amp;D167&amp;E167&amp;F167&amp;G167&amp;H167&amp;I167&amp;J167&amp;K167&amp;L167&amp;M167&amp;N167&amp;O167&amp;P167&amp;Q167</f>
        <v>0b000000000000100</v>
      </c>
      <c r="K170" s="319"/>
      <c r="L170" s="319"/>
      <c r="M170" s="319"/>
      <c r="N170" s="12"/>
      <c r="O170" s="319" t="str">
        <f>"0b"&amp;DEC2BIN(((AF167+AE167*2+AD167*4+AC167*8+AB167*16+AA167*32+Z167*64+Y167*128+X167*256+W167*512+V167*1024+U167*2048+T167*4096+S167*2^13+R167*2^14)/512),6)&amp;DEC2BIN(MOD((AF167+AE167*2+AD167*4+AC167*8+AB167*16+AA167*32+Z167*64+Y167*128+X167*256+W167*512+V167*1024+U167*2048+T167*4096+S167*2^13+R167*2^14),512),9)</f>
        <v>0b000000000010000</v>
      </c>
      <c r="P170" s="319"/>
      <c r="Q170" s="319"/>
      <c r="R170" s="319"/>
      <c r="S170" s="12"/>
      <c r="T170" s="13">
        <v>0</v>
      </c>
      <c r="U170" s="13">
        <f>AH167</f>
        <v>0</v>
      </c>
      <c r="V170" s="5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6"/>
    </row>
    <row r="171" spans="1:35" x14ac:dyDescent="0.25">
      <c r="A171" s="3"/>
      <c r="B171" s="42"/>
      <c r="C171" s="42"/>
      <c r="D171" s="42"/>
      <c r="E171" s="15"/>
      <c r="F171" s="43"/>
      <c r="G171" s="43"/>
      <c r="H171" s="43"/>
      <c r="I171" s="15"/>
      <c r="J171" s="42"/>
      <c r="K171" s="42"/>
      <c r="L171" s="42"/>
      <c r="M171" s="42"/>
      <c r="N171" s="15"/>
      <c r="O171" s="42"/>
      <c r="P171" s="42"/>
      <c r="Q171" s="42"/>
      <c r="R171" s="42"/>
      <c r="S171" s="15"/>
      <c r="T171" s="13"/>
      <c r="U171" s="15"/>
      <c r="V171" s="5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6"/>
    </row>
    <row r="172" spans="1:35" x14ac:dyDescent="0.25">
      <c r="A172" s="3"/>
      <c r="B172" s="42"/>
      <c r="C172" s="42"/>
      <c r="D172" s="42"/>
      <c r="E172" s="15"/>
      <c r="F172" s="43"/>
      <c r="G172" s="43"/>
      <c r="H172" s="43"/>
      <c r="I172" s="15"/>
      <c r="J172" s="42"/>
      <c r="K172" s="42"/>
      <c r="L172" s="42"/>
      <c r="M172" s="42"/>
      <c r="N172" s="15"/>
      <c r="O172" s="42"/>
      <c r="P172" s="42"/>
      <c r="Q172" s="42"/>
      <c r="R172" s="42"/>
      <c r="S172" s="15"/>
      <c r="T172" s="13"/>
      <c r="U172" s="15"/>
      <c r="V172" s="5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6"/>
    </row>
    <row r="173" spans="1:35" x14ac:dyDescent="0.25">
      <c r="A173" s="3"/>
      <c r="B173" s="5"/>
      <c r="C173" s="5"/>
      <c r="D173" s="5"/>
      <c r="E173" s="5"/>
      <c r="F173" s="17"/>
      <c r="G173" s="17"/>
      <c r="H173" s="17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6"/>
    </row>
    <row r="174" spans="1:35" x14ac:dyDescent="0.25">
      <c r="A174" s="3"/>
      <c r="B174" s="5" t="s">
        <v>47</v>
      </c>
      <c r="C174" s="18"/>
      <c r="D174" s="18"/>
      <c r="E174" s="18"/>
      <c r="F174" s="5"/>
      <c r="G174" s="5"/>
      <c r="H174" s="5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6"/>
    </row>
    <row r="175" spans="1:35" ht="15" customHeight="1" x14ac:dyDescent="0.25">
      <c r="A175" s="3"/>
      <c r="B175" s="42" t="str">
        <f>"0x"&amp;DEC2HEX(Sheet3!$I$4,8)</f>
        <v>0x00400320</v>
      </c>
      <c r="C175" s="42"/>
      <c r="D175" s="42"/>
      <c r="E175" s="16"/>
      <c r="F175" s="322" t="str">
        <f>F170&amp;BIN2HEX(MID(J170,3,8),2)&amp;BIN2HEX(RIGHT(J170,7)&amp;MID(O170,3,1),2)&amp;BIN2HEX(MID(O170,4,8),2)&amp;BIN2HEX(RIGHT(O170,6)&amp;T170&amp;U170,2)</f>
        <v>0x0000000000080040</v>
      </c>
      <c r="G175" s="322"/>
      <c r="H175" s="322"/>
      <c r="I175" s="322"/>
      <c r="J175" s="5"/>
      <c r="K175" s="5"/>
      <c r="L175" s="5"/>
      <c r="M175" s="5"/>
      <c r="N175" s="5"/>
      <c r="O175" s="5"/>
      <c r="P175" s="16"/>
      <c r="Q175" s="16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5"/>
      <c r="AH175" s="5"/>
      <c r="AI175" s="6"/>
    </row>
    <row r="176" spans="1:35" x14ac:dyDescent="0.25">
      <c r="A176" s="3"/>
      <c r="B176" s="37"/>
      <c r="C176" s="37"/>
      <c r="D176" s="37"/>
      <c r="E176" s="5"/>
      <c r="F176" s="38"/>
      <c r="G176" s="38"/>
      <c r="H176" s="38"/>
      <c r="I176" s="38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6"/>
    </row>
    <row r="177" spans="1:35" x14ac:dyDescent="0.25">
      <c r="A177" s="3"/>
      <c r="B177" s="37"/>
      <c r="C177" s="37"/>
      <c r="D177" s="37"/>
      <c r="E177" s="5"/>
      <c r="F177" s="38"/>
      <c r="G177" s="38"/>
      <c r="H177" s="38"/>
      <c r="I177" s="38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6"/>
    </row>
    <row r="178" spans="1:35" x14ac:dyDescent="0.25">
      <c r="A178" s="20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2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3"/>
    </row>
    <row r="179" spans="1:35" x14ac:dyDescent="0.25">
      <c r="A179" s="24"/>
      <c r="B179" s="28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6"/>
    </row>
    <row r="180" spans="1:35" x14ac:dyDescent="0.25">
      <c r="A180" s="3"/>
      <c r="B180" s="4" t="s">
        <v>79</v>
      </c>
      <c r="C180" s="5"/>
      <c r="D180" s="5"/>
      <c r="E180" s="5"/>
      <c r="F180" s="5"/>
      <c r="G180" s="5"/>
      <c r="H180" s="5"/>
      <c r="I180" s="5" t="str">
        <f>"0x"&amp;BIN2HEX(CONCATENATE(C185,D185,E185,F185,G185,H185,I185,J185),2)&amp;BIN2HEX(CONCATENATE(K185,L185,M185,N185,O185,P185,Q185,R185),2)&amp;BIN2HEX(CONCATENATE(S185,T185,U185,V185,W185,X185,Y185,Z185),2)&amp;BIN2HEX(CONCATENATE(AA185,AB185,AC185,AD185,AE185,AF185,AG185,AH185),2)&amp;"_"&amp;BIN2HEX(CONCATENATE(C189,D189,E189,F189,G189,H189,I189,J189),2)&amp;BIN2HEX(CONCATENATE(K189,L189,M189,N189,O189,P189,Q189,R189),2)&amp;BIN2HEX(CONCATENATE(S189,T189,U189,V189,W189,X189,Y189,Z189),2)&amp;BIN2HEX(CONCATENATE(AA189,AB189,AC189,AD189,AE189,AF189,AG189,AH189),2)</f>
        <v>0x00000000_00080074</v>
      </c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6"/>
    </row>
    <row r="181" spans="1:35" ht="15.75" thickBot="1" x14ac:dyDescent="0.3">
      <c r="A181" s="3"/>
      <c r="B181" s="5"/>
      <c r="C181" s="7">
        <v>0</v>
      </c>
      <c r="D181" s="7">
        <v>1</v>
      </c>
      <c r="E181" s="7">
        <v>2</v>
      </c>
      <c r="F181" s="7">
        <v>3</v>
      </c>
      <c r="G181" s="7">
        <v>4</v>
      </c>
      <c r="H181" s="7">
        <v>5</v>
      </c>
      <c r="I181" s="7">
        <v>6</v>
      </c>
      <c r="J181" s="7">
        <v>7</v>
      </c>
      <c r="K181" s="7">
        <v>8</v>
      </c>
      <c r="L181" s="7">
        <v>9</v>
      </c>
      <c r="M181" s="7">
        <v>10</v>
      </c>
      <c r="N181" s="7">
        <v>11</v>
      </c>
      <c r="O181" s="7">
        <v>12</v>
      </c>
      <c r="P181" s="7">
        <v>13</v>
      </c>
      <c r="Q181" s="7">
        <v>14</v>
      </c>
      <c r="R181" s="7">
        <v>15</v>
      </c>
      <c r="S181" s="7">
        <v>16</v>
      </c>
      <c r="T181" s="7">
        <v>17</v>
      </c>
      <c r="U181" s="7">
        <v>18</v>
      </c>
      <c r="V181" s="7">
        <v>19</v>
      </c>
      <c r="W181" s="7">
        <v>20</v>
      </c>
      <c r="X181" s="7">
        <v>21</v>
      </c>
      <c r="Y181" s="7">
        <v>22</v>
      </c>
      <c r="Z181" s="7">
        <v>23</v>
      </c>
      <c r="AA181" s="7">
        <v>24</v>
      </c>
      <c r="AB181" s="7">
        <v>25</v>
      </c>
      <c r="AC181" s="7">
        <v>26</v>
      </c>
      <c r="AD181" s="7">
        <v>27</v>
      </c>
      <c r="AE181" s="7">
        <v>28</v>
      </c>
      <c r="AF181" s="7">
        <v>29</v>
      </c>
      <c r="AG181" s="7">
        <v>30</v>
      </c>
      <c r="AH181" s="7">
        <v>31</v>
      </c>
      <c r="AI181" s="6"/>
    </row>
    <row r="182" spans="1:35" ht="22.5" customHeight="1" x14ac:dyDescent="0.25">
      <c r="A182" s="3"/>
      <c r="B182" s="5" t="s">
        <v>31</v>
      </c>
      <c r="C182" s="328" t="s">
        <v>80</v>
      </c>
      <c r="D182" s="345" t="s">
        <v>81</v>
      </c>
      <c r="E182" s="345" t="s">
        <v>82</v>
      </c>
      <c r="F182" s="345" t="s">
        <v>83</v>
      </c>
      <c r="G182" s="345" t="s">
        <v>84</v>
      </c>
      <c r="H182" s="345" t="s">
        <v>85</v>
      </c>
      <c r="I182" s="345" t="s">
        <v>86</v>
      </c>
      <c r="J182" s="345" t="s">
        <v>87</v>
      </c>
      <c r="K182" s="345" t="s">
        <v>88</v>
      </c>
      <c r="L182" s="345" t="s">
        <v>89</v>
      </c>
      <c r="M182" s="345" t="s">
        <v>90</v>
      </c>
      <c r="N182" s="345" t="s">
        <v>91</v>
      </c>
      <c r="O182" s="345" t="s">
        <v>92</v>
      </c>
      <c r="P182" s="345" t="s">
        <v>93</v>
      </c>
      <c r="Q182" s="345" t="s">
        <v>94</v>
      </c>
      <c r="R182" s="345" t="s">
        <v>95</v>
      </c>
      <c r="S182" s="345" t="s">
        <v>96</v>
      </c>
      <c r="T182" s="345" t="s">
        <v>97</v>
      </c>
      <c r="U182" s="345" t="s">
        <v>98</v>
      </c>
      <c r="V182" s="345" t="s">
        <v>99</v>
      </c>
      <c r="W182" s="345" t="s">
        <v>100</v>
      </c>
      <c r="X182" s="345" t="s">
        <v>101</v>
      </c>
      <c r="Y182" s="345" t="s">
        <v>102</v>
      </c>
      <c r="Z182" s="345" t="s">
        <v>103</v>
      </c>
      <c r="AA182" s="345" t="s">
        <v>104</v>
      </c>
      <c r="AB182" s="345" t="s">
        <v>105</v>
      </c>
      <c r="AC182" s="345" t="s">
        <v>106</v>
      </c>
      <c r="AD182" s="345" t="s">
        <v>107</v>
      </c>
      <c r="AE182" s="345" t="s">
        <v>108</v>
      </c>
      <c r="AF182" s="345" t="s">
        <v>109</v>
      </c>
      <c r="AG182" s="345" t="s">
        <v>110</v>
      </c>
      <c r="AH182" s="347" t="s">
        <v>111</v>
      </c>
      <c r="AI182" s="6"/>
    </row>
    <row r="183" spans="1:35" ht="21" customHeight="1" x14ac:dyDescent="0.25">
      <c r="A183" s="3"/>
      <c r="B183" s="5" t="s">
        <v>32</v>
      </c>
      <c r="C183" s="329"/>
      <c r="D183" s="346"/>
      <c r="E183" s="346"/>
      <c r="F183" s="346"/>
      <c r="G183" s="346"/>
      <c r="H183" s="346"/>
      <c r="I183" s="346"/>
      <c r="J183" s="346"/>
      <c r="K183" s="346"/>
      <c r="L183" s="346"/>
      <c r="M183" s="346"/>
      <c r="N183" s="346"/>
      <c r="O183" s="346"/>
      <c r="P183" s="346"/>
      <c r="Q183" s="346"/>
      <c r="R183" s="346"/>
      <c r="S183" s="346"/>
      <c r="T183" s="346"/>
      <c r="U183" s="346"/>
      <c r="V183" s="346"/>
      <c r="W183" s="346"/>
      <c r="X183" s="346"/>
      <c r="Y183" s="346"/>
      <c r="Z183" s="346"/>
      <c r="AA183" s="346"/>
      <c r="AB183" s="346"/>
      <c r="AC183" s="346"/>
      <c r="AD183" s="346"/>
      <c r="AE183" s="346"/>
      <c r="AF183" s="346"/>
      <c r="AG183" s="346"/>
      <c r="AH183" s="348"/>
      <c r="AI183" s="6"/>
    </row>
    <row r="184" spans="1:35" x14ac:dyDescent="0.25">
      <c r="A184" s="3"/>
      <c r="B184" s="5" t="s">
        <v>11</v>
      </c>
      <c r="C184" s="56">
        <v>0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v>0</v>
      </c>
      <c r="Q184" s="57">
        <v>0</v>
      </c>
      <c r="R184" s="57">
        <v>0</v>
      </c>
      <c r="S184" s="57">
        <v>0</v>
      </c>
      <c r="T184" s="57">
        <v>0</v>
      </c>
      <c r="U184" s="57">
        <v>0</v>
      </c>
      <c r="V184" s="57">
        <v>0</v>
      </c>
      <c r="W184" s="57">
        <v>0</v>
      </c>
      <c r="X184" s="57">
        <v>0</v>
      </c>
      <c r="Y184" s="57">
        <v>0</v>
      </c>
      <c r="Z184" s="57">
        <v>0</v>
      </c>
      <c r="AA184" s="57">
        <v>0</v>
      </c>
      <c r="AB184" s="57">
        <v>0</v>
      </c>
      <c r="AC184" s="57">
        <v>0</v>
      </c>
      <c r="AD184" s="57">
        <v>0</v>
      </c>
      <c r="AE184" s="57">
        <v>0</v>
      </c>
      <c r="AF184" s="57">
        <v>0</v>
      </c>
      <c r="AG184" s="57">
        <v>0</v>
      </c>
      <c r="AH184" s="58">
        <v>0</v>
      </c>
      <c r="AI184" s="6"/>
    </row>
    <row r="185" spans="1:35" ht="15.75" thickBot="1" x14ac:dyDescent="0.3">
      <c r="A185" s="3"/>
      <c r="B185" s="5" t="s">
        <v>12</v>
      </c>
      <c r="C185" s="145">
        <v>0</v>
      </c>
      <c r="D185" s="88">
        <v>0</v>
      </c>
      <c r="E185" s="88">
        <v>0</v>
      </c>
      <c r="F185" s="88">
        <v>0</v>
      </c>
      <c r="G185" s="88">
        <v>0</v>
      </c>
      <c r="H185" s="88">
        <v>0</v>
      </c>
      <c r="I185" s="88">
        <v>0</v>
      </c>
      <c r="J185" s="88">
        <v>0</v>
      </c>
      <c r="K185" s="88">
        <v>0</v>
      </c>
      <c r="L185" s="88">
        <v>0</v>
      </c>
      <c r="M185" s="88">
        <v>0</v>
      </c>
      <c r="N185" s="88">
        <v>0</v>
      </c>
      <c r="O185" s="88">
        <v>0</v>
      </c>
      <c r="P185" s="88">
        <v>0</v>
      </c>
      <c r="Q185" s="88">
        <v>0</v>
      </c>
      <c r="R185" s="88">
        <v>0</v>
      </c>
      <c r="S185" s="88">
        <v>0</v>
      </c>
      <c r="T185" s="88">
        <v>0</v>
      </c>
      <c r="U185" s="88">
        <v>0</v>
      </c>
      <c r="V185" s="88">
        <v>0</v>
      </c>
      <c r="W185" s="88">
        <v>0</v>
      </c>
      <c r="X185" s="88">
        <v>0</v>
      </c>
      <c r="Y185" s="88">
        <v>0</v>
      </c>
      <c r="Z185" s="88">
        <v>0</v>
      </c>
      <c r="AA185" s="88">
        <v>0</v>
      </c>
      <c r="AB185" s="88">
        <v>0</v>
      </c>
      <c r="AC185" s="88">
        <v>0</v>
      </c>
      <c r="AD185" s="88">
        <v>0</v>
      </c>
      <c r="AE185" s="88">
        <v>0</v>
      </c>
      <c r="AF185" s="88">
        <v>0</v>
      </c>
      <c r="AG185" s="88">
        <v>0</v>
      </c>
      <c r="AH185" s="89">
        <v>0</v>
      </c>
      <c r="AI185" s="6"/>
    </row>
    <row r="186" spans="1:35" x14ac:dyDescent="0.25">
      <c r="A186" s="3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6"/>
    </row>
    <row r="187" spans="1:35" ht="15.75" thickBot="1" x14ac:dyDescent="0.3">
      <c r="A187" s="3"/>
      <c r="B187" s="5"/>
      <c r="C187" s="7">
        <v>32</v>
      </c>
      <c r="D187" s="7">
        <v>33</v>
      </c>
      <c r="E187" s="7">
        <v>34</v>
      </c>
      <c r="F187" s="7">
        <v>35</v>
      </c>
      <c r="G187" s="7">
        <v>36</v>
      </c>
      <c r="H187" s="7">
        <v>37</v>
      </c>
      <c r="I187" s="7">
        <v>38</v>
      </c>
      <c r="J187" s="7">
        <v>39</v>
      </c>
      <c r="K187" s="7">
        <v>40</v>
      </c>
      <c r="L187" s="7">
        <v>41</v>
      </c>
      <c r="M187" s="7">
        <v>42</v>
      </c>
      <c r="N187" s="7">
        <v>43</v>
      </c>
      <c r="O187" s="7">
        <v>44</v>
      </c>
      <c r="P187" s="7">
        <v>45</v>
      </c>
      <c r="Q187" s="7">
        <v>46</v>
      </c>
      <c r="R187" s="7">
        <v>47</v>
      </c>
      <c r="S187" s="7">
        <v>48</v>
      </c>
      <c r="T187" s="7">
        <v>49</v>
      </c>
      <c r="U187" s="7">
        <v>50</v>
      </c>
      <c r="V187" s="7">
        <v>51</v>
      </c>
      <c r="W187" s="7">
        <v>52</v>
      </c>
      <c r="X187" s="7">
        <v>53</v>
      </c>
      <c r="Y187" s="7">
        <v>54</v>
      </c>
      <c r="Z187" s="7">
        <v>55</v>
      </c>
      <c r="AA187" s="7">
        <v>56</v>
      </c>
      <c r="AB187" s="7">
        <v>57</v>
      </c>
      <c r="AC187" s="7">
        <v>58</v>
      </c>
      <c r="AD187" s="7">
        <v>59</v>
      </c>
      <c r="AE187" s="7">
        <v>60</v>
      </c>
      <c r="AF187" s="7">
        <v>61</v>
      </c>
      <c r="AG187" s="7">
        <v>62</v>
      </c>
      <c r="AH187" s="7">
        <v>63</v>
      </c>
      <c r="AI187" s="6"/>
    </row>
    <row r="188" spans="1:35" ht="15.75" thickBot="1" x14ac:dyDescent="0.3">
      <c r="A188" s="3"/>
      <c r="B188" s="5"/>
      <c r="C188" s="147" t="s">
        <v>13</v>
      </c>
      <c r="D188" s="148" t="s">
        <v>14</v>
      </c>
      <c r="E188" s="148" t="s">
        <v>15</v>
      </c>
      <c r="F188" s="148" t="s">
        <v>16</v>
      </c>
      <c r="G188" s="148" t="s">
        <v>17</v>
      </c>
      <c r="H188" s="148" t="s">
        <v>18</v>
      </c>
      <c r="I188" s="148" t="s">
        <v>19</v>
      </c>
      <c r="J188" s="148" t="s">
        <v>20</v>
      </c>
      <c r="K188" s="148" t="s">
        <v>21</v>
      </c>
      <c r="L188" s="148" t="s">
        <v>22</v>
      </c>
      <c r="M188" s="148" t="s">
        <v>23</v>
      </c>
      <c r="N188" s="148" t="s">
        <v>24</v>
      </c>
      <c r="O188" s="148" t="s">
        <v>25</v>
      </c>
      <c r="P188" s="148" t="s">
        <v>26</v>
      </c>
      <c r="Q188" s="148" t="s">
        <v>27</v>
      </c>
      <c r="R188" s="342" t="s">
        <v>30</v>
      </c>
      <c r="S188" s="343"/>
      <c r="T188" s="343"/>
      <c r="U188" s="343"/>
      <c r="V188" s="343"/>
      <c r="W188" s="343"/>
      <c r="X188" s="343"/>
      <c r="Y188" s="343"/>
      <c r="Z188" s="343"/>
      <c r="AA188" s="343"/>
      <c r="AB188" s="343"/>
      <c r="AC188" s="343"/>
      <c r="AD188" s="343"/>
      <c r="AE188" s="343"/>
      <c r="AF188" s="344"/>
      <c r="AG188" s="67" t="s">
        <v>28</v>
      </c>
      <c r="AH188" s="149" t="s">
        <v>29</v>
      </c>
      <c r="AI188" s="6"/>
    </row>
    <row r="189" spans="1:35" ht="15.75" thickBot="1" x14ac:dyDescent="0.3">
      <c r="A189" s="3"/>
      <c r="B189" s="5"/>
      <c r="C189" s="150">
        <v>0</v>
      </c>
      <c r="D189" s="151">
        <v>0</v>
      </c>
      <c r="E189" s="151">
        <v>0</v>
      </c>
      <c r="F189" s="151">
        <v>0</v>
      </c>
      <c r="G189" s="151">
        <v>0</v>
      </c>
      <c r="H189" s="151">
        <v>0</v>
      </c>
      <c r="I189" s="151">
        <v>0</v>
      </c>
      <c r="J189" s="151">
        <v>0</v>
      </c>
      <c r="K189" s="151">
        <v>0</v>
      </c>
      <c r="L189" s="151">
        <v>0</v>
      </c>
      <c r="M189" s="151">
        <v>0</v>
      </c>
      <c r="N189" s="151">
        <v>0</v>
      </c>
      <c r="O189" s="151">
        <v>1</v>
      </c>
      <c r="P189" s="151">
        <v>0</v>
      </c>
      <c r="Q189" s="151">
        <v>0</v>
      </c>
      <c r="R189" s="151">
        <v>0</v>
      </c>
      <c r="S189" s="151">
        <v>0</v>
      </c>
      <c r="T189" s="151">
        <v>0</v>
      </c>
      <c r="U189" s="151">
        <v>0</v>
      </c>
      <c r="V189" s="151">
        <v>0</v>
      </c>
      <c r="W189" s="151">
        <v>0</v>
      </c>
      <c r="X189" s="151">
        <v>0</v>
      </c>
      <c r="Y189" s="151">
        <v>0</v>
      </c>
      <c r="Z189" s="151">
        <v>0</v>
      </c>
      <c r="AA189" s="151">
        <v>0</v>
      </c>
      <c r="AB189" s="151">
        <v>1</v>
      </c>
      <c r="AC189" s="151">
        <v>1</v>
      </c>
      <c r="AD189" s="151">
        <v>1</v>
      </c>
      <c r="AE189" s="151">
        <v>0</v>
      </c>
      <c r="AF189" s="151">
        <v>1</v>
      </c>
      <c r="AG189" s="151">
        <v>0</v>
      </c>
      <c r="AH189" s="152">
        <v>0</v>
      </c>
      <c r="AI189" s="6"/>
    </row>
    <row r="190" spans="1:35" x14ac:dyDescent="0.25">
      <c r="A190" s="3"/>
      <c r="B190" s="4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6"/>
    </row>
    <row r="191" spans="1:35" x14ac:dyDescent="0.25">
      <c r="A191" s="3"/>
      <c r="B191" s="8" t="s">
        <v>43</v>
      </c>
      <c r="C191" s="9"/>
      <c r="D191" s="9"/>
      <c r="E191" s="9"/>
      <c r="F191" s="44" t="s">
        <v>44</v>
      </c>
      <c r="G191" s="44"/>
      <c r="H191" s="44"/>
      <c r="I191" s="9"/>
      <c r="J191" s="45" t="s">
        <v>45</v>
      </c>
      <c r="K191" s="45"/>
      <c r="L191" s="45"/>
      <c r="M191" s="45"/>
      <c r="N191" s="9"/>
      <c r="O191" s="46" t="s">
        <v>46</v>
      </c>
      <c r="P191" s="46"/>
      <c r="Q191" s="46"/>
      <c r="R191" s="46"/>
      <c r="S191" s="9"/>
      <c r="T191" s="1" t="s">
        <v>49</v>
      </c>
      <c r="U191" s="10" t="s">
        <v>48</v>
      </c>
      <c r="V191" s="5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6"/>
    </row>
    <row r="192" spans="1:35" ht="15" customHeight="1" x14ac:dyDescent="0.25">
      <c r="A192" s="3"/>
      <c r="B192" s="42" t="str">
        <f>"0x"&amp;DEC2HEX(Sheet3!$I$4,8)</f>
        <v>0x00400320</v>
      </c>
      <c r="C192" s="42"/>
      <c r="D192" s="42"/>
      <c r="E192" s="12"/>
      <c r="F192" s="319" t="str">
        <f>"0x"&amp;BIN2HEX(CONCATENATE(C185,D185,E185,F185,G185,H185,I185,J185),2)&amp;BIN2HEX(CONCATENATE(K185,L185,M185,N185,O185,P185,Q185,R185),2)&amp;BIN2HEX(CONCATENATE(S185,T185,U185,V185,W185,X185,Y185,Z185),2)&amp;BIN2HEX(CONCATENATE(AA185,AB185,AC185,AD185,AE185,AF185,AG185,AH185),2)</f>
        <v>0x00000000</v>
      </c>
      <c r="G192" s="319"/>
      <c r="H192" s="319"/>
      <c r="I192" s="12"/>
      <c r="J192" s="319" t="str">
        <f>"0b"&amp;C189&amp;D189&amp;E189&amp;F189&amp;G189&amp;H189&amp;I189&amp;J189&amp;K189&amp;L189&amp;M189&amp;N189&amp;O189&amp;P189&amp;Q189</f>
        <v>0b000000000000100</v>
      </c>
      <c r="K192" s="319"/>
      <c r="L192" s="319"/>
      <c r="M192" s="319"/>
      <c r="N192" s="12"/>
      <c r="O192" s="319" t="str">
        <f>"0b"&amp;DEC2BIN(((AF189+AE189*2+AD189*4+AC189*8+AB189*16+AA189*32+Z189*64+Y189*128+X189*256+W189*512+V189*1024+U189*2048+T189*4096+S189*2^13+R189*2^14)/512),6)&amp;DEC2BIN(MOD((AF189+AE189*2+AD189*4+AC189*8+AB189*16+AA189*32+Z189*64+Y189*128+X189*256+W189*512+V189*1024+U189*2048+T189*4096+S189*2^13+R189*2^14),512),9)</f>
        <v>0b000000000011101</v>
      </c>
      <c r="P192" s="319"/>
      <c r="Q192" s="319"/>
      <c r="R192" s="319"/>
      <c r="S192" s="12"/>
      <c r="T192" s="13">
        <v>0</v>
      </c>
      <c r="U192" s="13">
        <f>AH189</f>
        <v>0</v>
      </c>
      <c r="V192" s="5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6"/>
    </row>
    <row r="193" spans="1:35" ht="15" customHeight="1" x14ac:dyDescent="0.25">
      <c r="A193" s="3"/>
      <c r="B193" s="42"/>
      <c r="C193" s="42"/>
      <c r="D193" s="42"/>
      <c r="E193" s="15"/>
      <c r="F193" s="43"/>
      <c r="G193" s="43"/>
      <c r="H193" s="43"/>
      <c r="I193" s="15"/>
      <c r="J193" s="42"/>
      <c r="K193" s="42"/>
      <c r="L193" s="42"/>
      <c r="M193" s="42"/>
      <c r="N193" s="15"/>
      <c r="O193" s="42"/>
      <c r="P193" s="42"/>
      <c r="Q193" s="42"/>
      <c r="R193" s="42"/>
      <c r="S193" s="15"/>
      <c r="T193" s="13"/>
      <c r="U193" s="15"/>
      <c r="V193" s="5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6"/>
    </row>
    <row r="194" spans="1:35" x14ac:dyDescent="0.25">
      <c r="A194" s="3"/>
      <c r="B194" s="42"/>
      <c r="C194" s="42"/>
      <c r="D194" s="42"/>
      <c r="E194" s="15"/>
      <c r="F194" s="43"/>
      <c r="G194" s="43"/>
      <c r="H194" s="43"/>
      <c r="I194" s="15"/>
      <c r="J194" s="42"/>
      <c r="K194" s="42"/>
      <c r="L194" s="42"/>
      <c r="M194" s="42"/>
      <c r="N194" s="15"/>
      <c r="O194" s="42"/>
      <c r="P194" s="42"/>
      <c r="Q194" s="42"/>
      <c r="R194" s="42"/>
      <c r="S194" s="15"/>
      <c r="T194" s="13"/>
      <c r="U194" s="15"/>
      <c r="V194" s="5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6"/>
    </row>
    <row r="195" spans="1:35" x14ac:dyDescent="0.25">
      <c r="A195" s="3"/>
      <c r="B195" s="5"/>
      <c r="C195" s="5"/>
      <c r="D195" s="5"/>
      <c r="E195" s="5"/>
      <c r="F195" s="17"/>
      <c r="G195" s="17"/>
      <c r="H195" s="17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6"/>
    </row>
    <row r="196" spans="1:35" x14ac:dyDescent="0.25">
      <c r="A196" s="3"/>
      <c r="B196" s="5" t="s">
        <v>47</v>
      </c>
      <c r="C196" s="18"/>
      <c r="D196" s="18"/>
      <c r="E196" s="18"/>
      <c r="F196" s="5"/>
      <c r="G196" s="5"/>
      <c r="H196" s="5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6"/>
    </row>
    <row r="197" spans="1:35" ht="15" customHeight="1" x14ac:dyDescent="0.25">
      <c r="A197" s="3"/>
      <c r="B197" s="42" t="str">
        <f>"0x"&amp;DEC2HEX(Sheet3!$I$4,8)</f>
        <v>0x00400320</v>
      </c>
      <c r="C197" s="42"/>
      <c r="D197" s="42"/>
      <c r="E197" s="16"/>
      <c r="F197" s="322" t="str">
        <f>F192&amp;BIN2HEX(MID(J192,3,8),2)&amp;BIN2HEX(RIGHT(J192,7)&amp;MID(O192,3,1),2)&amp;BIN2HEX(MID(O192,4,8),2)&amp;BIN2HEX(RIGHT(O192,6)&amp;T192&amp;U192,2)</f>
        <v>0x0000000000080074</v>
      </c>
      <c r="G197" s="322"/>
      <c r="H197" s="322"/>
      <c r="I197" s="322"/>
      <c r="J197" s="5"/>
      <c r="K197" s="5"/>
      <c r="L197" s="5"/>
      <c r="M197" s="5"/>
      <c r="N197" s="5"/>
      <c r="O197" s="5"/>
      <c r="P197" s="16"/>
      <c r="Q197" s="16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5"/>
      <c r="AH197" s="5"/>
      <c r="AI197" s="6"/>
    </row>
    <row r="198" spans="1:35" ht="15" customHeight="1" x14ac:dyDescent="0.25">
      <c r="A198" s="3"/>
      <c r="B198" s="37"/>
      <c r="C198" s="37"/>
      <c r="D198" s="37"/>
      <c r="E198" s="5"/>
      <c r="F198" s="38"/>
      <c r="G198" s="38"/>
      <c r="H198" s="38"/>
      <c r="I198" s="38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6"/>
    </row>
    <row r="199" spans="1:35" x14ac:dyDescent="0.25">
      <c r="A199" s="3"/>
      <c r="B199" s="37"/>
      <c r="C199" s="37"/>
      <c r="D199" s="37"/>
      <c r="E199" s="5"/>
      <c r="F199" s="38"/>
      <c r="G199" s="38"/>
      <c r="H199" s="38"/>
      <c r="I199" s="38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6"/>
    </row>
    <row r="200" spans="1:35" x14ac:dyDescent="0.25">
      <c r="A200" s="20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2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3"/>
    </row>
    <row r="201" spans="1:35" x14ac:dyDescent="0.25">
      <c r="A201" s="24"/>
      <c r="B201" s="28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6"/>
    </row>
    <row r="202" spans="1:35" x14ac:dyDescent="0.25">
      <c r="A202" s="3"/>
      <c r="B202" s="4" t="s">
        <v>128</v>
      </c>
      <c r="C202" s="5"/>
      <c r="D202" s="5"/>
      <c r="E202" s="5"/>
      <c r="F202" s="5"/>
      <c r="G202" s="5"/>
      <c r="H202" s="5"/>
      <c r="I202" s="5" t="str">
        <f>"0x"&amp;BIN2HEX(CONCATENATE(C207,D207,E207,F207,G207,H207,I207,J207),2)&amp;BIN2HEX(CONCATENATE(K207,L207,M207,N207,O207,P207,Q207,R207),2)&amp;BIN2HEX(CONCATENATE(S207,T207,U207,V207,W207,X207,Y207,Z207),2)&amp;BIN2HEX(CONCATENATE(AA207,AB207,AC207,AD207,AE207,AF207,AG207,AH207),2)&amp;"_"&amp;BIN2HEX(CONCATENATE(C211,D211,E211,F211,G211,H211,I211,J211),2)&amp;BIN2HEX(CONCATENATE(K211,L211,M211,N211,O211,P211,Q211,R211),2)&amp;BIN2HEX(CONCATENATE(S211,T211,U211,V211,W211,X211,Y211,Z211),2)&amp;BIN2HEX(CONCATENATE(AA211,AB211,AC211,AD211,AE211,AF211,AG211,AH211),2)</f>
        <v>0x00000000_00080078</v>
      </c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6"/>
    </row>
    <row r="203" spans="1:35" ht="15.75" thickBot="1" x14ac:dyDescent="0.3">
      <c r="A203" s="3"/>
      <c r="B203" s="5"/>
      <c r="C203" s="7">
        <v>0</v>
      </c>
      <c r="D203" s="7">
        <v>1</v>
      </c>
      <c r="E203" s="7">
        <v>2</v>
      </c>
      <c r="F203" s="7">
        <v>3</v>
      </c>
      <c r="G203" s="7">
        <v>4</v>
      </c>
      <c r="H203" s="7">
        <v>5</v>
      </c>
      <c r="I203" s="7">
        <v>6</v>
      </c>
      <c r="J203" s="7">
        <v>7</v>
      </c>
      <c r="K203" s="7">
        <v>8</v>
      </c>
      <c r="L203" s="7">
        <v>9</v>
      </c>
      <c r="M203" s="7">
        <v>10</v>
      </c>
      <c r="N203" s="7">
        <v>11</v>
      </c>
      <c r="O203" s="7">
        <v>12</v>
      </c>
      <c r="P203" s="7">
        <v>13</v>
      </c>
      <c r="Q203" s="7">
        <v>14</v>
      </c>
      <c r="R203" s="7">
        <v>15</v>
      </c>
      <c r="S203" s="7">
        <v>16</v>
      </c>
      <c r="T203" s="7">
        <v>17</v>
      </c>
      <c r="U203" s="7">
        <v>18</v>
      </c>
      <c r="V203" s="7">
        <v>19</v>
      </c>
      <c r="W203" s="7">
        <v>20</v>
      </c>
      <c r="X203" s="7">
        <v>21</v>
      </c>
      <c r="Y203" s="7">
        <v>22</v>
      </c>
      <c r="Z203" s="7">
        <v>23</v>
      </c>
      <c r="AA203" s="7">
        <v>24</v>
      </c>
      <c r="AB203" s="7">
        <v>25</v>
      </c>
      <c r="AC203" s="7">
        <v>26</v>
      </c>
      <c r="AD203" s="7">
        <v>27</v>
      </c>
      <c r="AE203" s="7">
        <v>28</v>
      </c>
      <c r="AF203" s="7">
        <v>29</v>
      </c>
      <c r="AG203" s="7">
        <v>30</v>
      </c>
      <c r="AH203" s="7">
        <v>31</v>
      </c>
      <c r="AI203" s="6"/>
    </row>
    <row r="204" spans="1:35" ht="15" customHeight="1" x14ac:dyDescent="0.25">
      <c r="A204" s="3"/>
      <c r="B204" s="5" t="s">
        <v>31</v>
      </c>
      <c r="C204" s="328" t="s">
        <v>384</v>
      </c>
      <c r="D204" s="345" t="s">
        <v>385</v>
      </c>
      <c r="E204" s="345" t="s">
        <v>386</v>
      </c>
      <c r="F204" s="345" t="s">
        <v>387</v>
      </c>
      <c r="G204" s="345" t="s">
        <v>388</v>
      </c>
      <c r="H204" s="345" t="s">
        <v>389</v>
      </c>
      <c r="I204" s="345" t="s">
        <v>390</v>
      </c>
      <c r="J204" s="345" t="s">
        <v>391</v>
      </c>
      <c r="K204" s="345" t="s">
        <v>392</v>
      </c>
      <c r="L204" s="345" t="s">
        <v>393</v>
      </c>
      <c r="M204" s="345" t="s">
        <v>394</v>
      </c>
      <c r="N204" s="345" t="s">
        <v>395</v>
      </c>
      <c r="O204" s="345" t="s">
        <v>396</v>
      </c>
      <c r="P204" s="345" t="s">
        <v>397</v>
      </c>
      <c r="Q204" s="345" t="s">
        <v>398</v>
      </c>
      <c r="R204" s="345" t="s">
        <v>399</v>
      </c>
      <c r="S204" s="345" t="s">
        <v>383</v>
      </c>
      <c r="T204" s="345" t="s">
        <v>113</v>
      </c>
      <c r="U204" s="345" t="s">
        <v>114</v>
      </c>
      <c r="V204" s="345" t="s">
        <v>115</v>
      </c>
      <c r="W204" s="345" t="s">
        <v>116</v>
      </c>
      <c r="X204" s="345" t="s">
        <v>117</v>
      </c>
      <c r="Y204" s="345" t="s">
        <v>118</v>
      </c>
      <c r="Z204" s="345" t="s">
        <v>119</v>
      </c>
      <c r="AA204" s="345" t="s">
        <v>120</v>
      </c>
      <c r="AB204" s="345" t="s">
        <v>121</v>
      </c>
      <c r="AC204" s="345" t="s">
        <v>122</v>
      </c>
      <c r="AD204" s="345" t="s">
        <v>123</v>
      </c>
      <c r="AE204" s="345" t="s">
        <v>124</v>
      </c>
      <c r="AF204" s="345" t="s">
        <v>125</v>
      </c>
      <c r="AG204" s="345" t="s">
        <v>126</v>
      </c>
      <c r="AH204" s="347" t="s">
        <v>127</v>
      </c>
      <c r="AI204" s="6"/>
    </row>
    <row r="205" spans="1:35" x14ac:dyDescent="0.25">
      <c r="A205" s="3"/>
      <c r="B205" s="5" t="s">
        <v>32</v>
      </c>
      <c r="C205" s="329"/>
      <c r="D205" s="346"/>
      <c r="E205" s="346"/>
      <c r="F205" s="346"/>
      <c r="G205" s="346"/>
      <c r="H205" s="346"/>
      <c r="I205" s="346"/>
      <c r="J205" s="346"/>
      <c r="K205" s="346"/>
      <c r="L205" s="346"/>
      <c r="M205" s="346"/>
      <c r="N205" s="346"/>
      <c r="O205" s="346"/>
      <c r="P205" s="346"/>
      <c r="Q205" s="346"/>
      <c r="R205" s="346"/>
      <c r="S205" s="346"/>
      <c r="T205" s="346"/>
      <c r="U205" s="346"/>
      <c r="V205" s="346"/>
      <c r="W205" s="346"/>
      <c r="X205" s="346"/>
      <c r="Y205" s="346"/>
      <c r="Z205" s="346"/>
      <c r="AA205" s="346"/>
      <c r="AB205" s="346"/>
      <c r="AC205" s="346"/>
      <c r="AD205" s="346"/>
      <c r="AE205" s="346"/>
      <c r="AF205" s="346"/>
      <c r="AG205" s="346"/>
      <c r="AH205" s="348"/>
      <c r="AI205" s="6"/>
    </row>
    <row r="206" spans="1:35" x14ac:dyDescent="0.25">
      <c r="A206" s="3"/>
      <c r="B206" s="5" t="s">
        <v>11</v>
      </c>
      <c r="C206" s="56">
        <v>0</v>
      </c>
      <c r="D206" s="57">
        <v>0</v>
      </c>
      <c r="E206" s="57">
        <v>0</v>
      </c>
      <c r="F206" s="57">
        <v>0</v>
      </c>
      <c r="G206" s="57">
        <v>0</v>
      </c>
      <c r="H206" s="57">
        <v>0</v>
      </c>
      <c r="I206" s="57">
        <v>0</v>
      </c>
      <c r="J206" s="57">
        <v>0</v>
      </c>
      <c r="K206" s="57">
        <v>0</v>
      </c>
      <c r="L206" s="57">
        <v>0</v>
      </c>
      <c r="M206" s="57">
        <v>0</v>
      </c>
      <c r="N206" s="57">
        <v>0</v>
      </c>
      <c r="O206" s="57">
        <v>0</v>
      </c>
      <c r="P206" s="57">
        <v>0</v>
      </c>
      <c r="Q206" s="57">
        <v>0</v>
      </c>
      <c r="R206" s="57">
        <v>0</v>
      </c>
      <c r="S206" s="57">
        <v>0</v>
      </c>
      <c r="T206" s="57">
        <v>0</v>
      </c>
      <c r="U206" s="57">
        <v>0</v>
      </c>
      <c r="V206" s="57">
        <v>0</v>
      </c>
      <c r="W206" s="57">
        <v>0</v>
      </c>
      <c r="X206" s="57">
        <v>0</v>
      </c>
      <c r="Y206" s="57">
        <v>0</v>
      </c>
      <c r="Z206" s="57">
        <v>0</v>
      </c>
      <c r="AA206" s="57">
        <v>0</v>
      </c>
      <c r="AB206" s="57">
        <v>0</v>
      </c>
      <c r="AC206" s="57">
        <v>0</v>
      </c>
      <c r="AD206" s="57">
        <v>0</v>
      </c>
      <c r="AE206" s="57">
        <v>0</v>
      </c>
      <c r="AF206" s="57">
        <v>0</v>
      </c>
      <c r="AG206" s="57">
        <v>0</v>
      </c>
      <c r="AH206" s="58">
        <v>0</v>
      </c>
      <c r="AI206" s="6"/>
    </row>
    <row r="207" spans="1:35" ht="15.75" thickBot="1" x14ac:dyDescent="0.3">
      <c r="A207" s="3"/>
      <c r="B207" s="5" t="s">
        <v>12</v>
      </c>
      <c r="C207" s="145">
        <v>0</v>
      </c>
      <c r="D207" s="88">
        <v>0</v>
      </c>
      <c r="E207" s="88">
        <v>0</v>
      </c>
      <c r="F207" s="88">
        <v>0</v>
      </c>
      <c r="G207" s="88">
        <v>0</v>
      </c>
      <c r="H207" s="88">
        <v>0</v>
      </c>
      <c r="I207" s="88">
        <v>0</v>
      </c>
      <c r="J207" s="88">
        <v>0</v>
      </c>
      <c r="K207" s="88">
        <v>0</v>
      </c>
      <c r="L207" s="88">
        <v>0</v>
      </c>
      <c r="M207" s="88">
        <v>0</v>
      </c>
      <c r="N207" s="88">
        <v>0</v>
      </c>
      <c r="O207" s="88">
        <v>0</v>
      </c>
      <c r="P207" s="88">
        <v>0</v>
      </c>
      <c r="Q207" s="88">
        <v>0</v>
      </c>
      <c r="R207" s="88">
        <v>0</v>
      </c>
      <c r="S207" s="88">
        <v>0</v>
      </c>
      <c r="T207" s="88">
        <v>0</v>
      </c>
      <c r="U207" s="88">
        <v>0</v>
      </c>
      <c r="V207" s="88">
        <v>0</v>
      </c>
      <c r="W207" s="88">
        <v>0</v>
      </c>
      <c r="X207" s="88">
        <v>0</v>
      </c>
      <c r="Y207" s="88">
        <v>0</v>
      </c>
      <c r="Z207" s="88">
        <v>0</v>
      </c>
      <c r="AA207" s="88">
        <v>0</v>
      </c>
      <c r="AB207" s="88">
        <v>0</v>
      </c>
      <c r="AC207" s="88">
        <v>0</v>
      </c>
      <c r="AD207" s="88">
        <v>0</v>
      </c>
      <c r="AE207" s="88">
        <v>0</v>
      </c>
      <c r="AF207" s="88">
        <v>0</v>
      </c>
      <c r="AG207" s="88">
        <v>0</v>
      </c>
      <c r="AH207" s="89">
        <v>0</v>
      </c>
      <c r="AI207" s="6"/>
    </row>
    <row r="208" spans="1:35" x14ac:dyDescent="0.25">
      <c r="A208" s="3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6"/>
    </row>
    <row r="209" spans="1:35" ht="15.75" thickBot="1" x14ac:dyDescent="0.3">
      <c r="A209" s="3"/>
      <c r="B209" s="5"/>
      <c r="C209" s="7">
        <v>32</v>
      </c>
      <c r="D209" s="7">
        <v>33</v>
      </c>
      <c r="E209" s="7">
        <v>34</v>
      </c>
      <c r="F209" s="7">
        <v>35</v>
      </c>
      <c r="G209" s="7">
        <v>36</v>
      </c>
      <c r="H209" s="7">
        <v>37</v>
      </c>
      <c r="I209" s="7">
        <v>38</v>
      </c>
      <c r="J209" s="7">
        <v>39</v>
      </c>
      <c r="K209" s="7">
        <v>40</v>
      </c>
      <c r="L209" s="7">
        <v>41</v>
      </c>
      <c r="M209" s="7">
        <v>42</v>
      </c>
      <c r="N209" s="7">
        <v>43</v>
      </c>
      <c r="O209" s="7">
        <v>44</v>
      </c>
      <c r="P209" s="7">
        <v>45</v>
      </c>
      <c r="Q209" s="7">
        <v>46</v>
      </c>
      <c r="R209" s="7">
        <v>47</v>
      </c>
      <c r="S209" s="7">
        <v>48</v>
      </c>
      <c r="T209" s="7">
        <v>49</v>
      </c>
      <c r="U209" s="7">
        <v>50</v>
      </c>
      <c r="V209" s="7">
        <v>51</v>
      </c>
      <c r="W209" s="7">
        <v>52</v>
      </c>
      <c r="X209" s="7">
        <v>53</v>
      </c>
      <c r="Y209" s="7">
        <v>54</v>
      </c>
      <c r="Z209" s="7">
        <v>55</v>
      </c>
      <c r="AA209" s="7">
        <v>56</v>
      </c>
      <c r="AB209" s="7">
        <v>57</v>
      </c>
      <c r="AC209" s="7">
        <v>58</v>
      </c>
      <c r="AD209" s="7">
        <v>59</v>
      </c>
      <c r="AE209" s="7">
        <v>60</v>
      </c>
      <c r="AF209" s="7">
        <v>61</v>
      </c>
      <c r="AG209" s="7">
        <v>62</v>
      </c>
      <c r="AH209" s="7">
        <v>63</v>
      </c>
      <c r="AI209" s="6"/>
    </row>
    <row r="210" spans="1:35" ht="15.75" thickBot="1" x14ac:dyDescent="0.3">
      <c r="A210" s="3"/>
      <c r="B210" s="5"/>
      <c r="C210" s="147" t="s">
        <v>13</v>
      </c>
      <c r="D210" s="148" t="s">
        <v>14</v>
      </c>
      <c r="E210" s="148" t="s">
        <v>15</v>
      </c>
      <c r="F210" s="148" t="s">
        <v>16</v>
      </c>
      <c r="G210" s="148" t="s">
        <v>17</v>
      </c>
      <c r="H210" s="148" t="s">
        <v>18</v>
      </c>
      <c r="I210" s="148" t="s">
        <v>19</v>
      </c>
      <c r="J210" s="148" t="s">
        <v>20</v>
      </c>
      <c r="K210" s="148" t="s">
        <v>21</v>
      </c>
      <c r="L210" s="148" t="s">
        <v>22</v>
      </c>
      <c r="M210" s="148" t="s">
        <v>23</v>
      </c>
      <c r="N210" s="148" t="s">
        <v>24</v>
      </c>
      <c r="O210" s="148" t="s">
        <v>25</v>
      </c>
      <c r="P210" s="148" t="s">
        <v>26</v>
      </c>
      <c r="Q210" s="148" t="s">
        <v>27</v>
      </c>
      <c r="R210" s="342" t="s">
        <v>30</v>
      </c>
      <c r="S210" s="343"/>
      <c r="T210" s="343"/>
      <c r="U210" s="343"/>
      <c r="V210" s="343"/>
      <c r="W210" s="343"/>
      <c r="X210" s="343"/>
      <c r="Y210" s="343"/>
      <c r="Z210" s="343"/>
      <c r="AA210" s="343"/>
      <c r="AB210" s="343"/>
      <c r="AC210" s="343"/>
      <c r="AD210" s="343"/>
      <c r="AE210" s="343"/>
      <c r="AF210" s="344"/>
      <c r="AG210" s="67" t="s">
        <v>28</v>
      </c>
      <c r="AH210" s="149" t="s">
        <v>29</v>
      </c>
      <c r="AI210" s="6"/>
    </row>
    <row r="211" spans="1:35" ht="15.75" thickBot="1" x14ac:dyDescent="0.3">
      <c r="A211" s="3"/>
      <c r="B211" s="5"/>
      <c r="C211" s="150">
        <v>0</v>
      </c>
      <c r="D211" s="151">
        <v>0</v>
      </c>
      <c r="E211" s="151">
        <v>0</v>
      </c>
      <c r="F211" s="151">
        <v>0</v>
      </c>
      <c r="G211" s="151">
        <v>0</v>
      </c>
      <c r="H211" s="151">
        <v>0</v>
      </c>
      <c r="I211" s="151">
        <v>0</v>
      </c>
      <c r="J211" s="151">
        <v>0</v>
      </c>
      <c r="K211" s="151">
        <v>0</v>
      </c>
      <c r="L211" s="151">
        <v>0</v>
      </c>
      <c r="M211" s="151">
        <v>0</v>
      </c>
      <c r="N211" s="151">
        <v>0</v>
      </c>
      <c r="O211" s="151">
        <v>1</v>
      </c>
      <c r="P211" s="151">
        <v>0</v>
      </c>
      <c r="Q211" s="151">
        <v>0</v>
      </c>
      <c r="R211" s="151">
        <v>0</v>
      </c>
      <c r="S211" s="151">
        <v>0</v>
      </c>
      <c r="T211" s="151">
        <v>0</v>
      </c>
      <c r="U211" s="151">
        <v>0</v>
      </c>
      <c r="V211" s="151">
        <v>0</v>
      </c>
      <c r="W211" s="151">
        <v>0</v>
      </c>
      <c r="X211" s="151">
        <v>0</v>
      </c>
      <c r="Y211" s="151">
        <v>0</v>
      </c>
      <c r="Z211" s="151">
        <v>0</v>
      </c>
      <c r="AA211" s="151">
        <v>0</v>
      </c>
      <c r="AB211" s="151">
        <v>1</v>
      </c>
      <c r="AC211" s="151">
        <v>1</v>
      </c>
      <c r="AD211" s="151">
        <v>1</v>
      </c>
      <c r="AE211" s="151">
        <v>1</v>
      </c>
      <c r="AF211" s="151">
        <v>0</v>
      </c>
      <c r="AG211" s="151">
        <v>0</v>
      </c>
      <c r="AH211" s="152">
        <v>0</v>
      </c>
      <c r="AI211" s="6"/>
    </row>
    <row r="212" spans="1:35" x14ac:dyDescent="0.25">
      <c r="A212" s="3"/>
      <c r="B212" s="4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6"/>
    </row>
    <row r="213" spans="1:35" x14ac:dyDescent="0.25">
      <c r="A213" s="3"/>
      <c r="B213" s="8" t="s">
        <v>43</v>
      </c>
      <c r="C213" s="9"/>
      <c r="D213" s="9"/>
      <c r="E213" s="9"/>
      <c r="F213" s="44" t="s">
        <v>44</v>
      </c>
      <c r="G213" s="44"/>
      <c r="H213" s="44"/>
      <c r="I213" s="9"/>
      <c r="J213" s="45" t="s">
        <v>45</v>
      </c>
      <c r="K213" s="45"/>
      <c r="L213" s="45"/>
      <c r="M213" s="45"/>
      <c r="N213" s="9"/>
      <c r="O213" s="46" t="s">
        <v>46</v>
      </c>
      <c r="P213" s="46"/>
      <c r="Q213" s="46"/>
      <c r="R213" s="46"/>
      <c r="S213" s="9"/>
      <c r="T213" s="1" t="s">
        <v>49</v>
      </c>
      <c r="U213" s="10" t="s">
        <v>48</v>
      </c>
      <c r="V213" s="5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6"/>
    </row>
    <row r="214" spans="1:35" ht="15" customHeight="1" x14ac:dyDescent="0.25">
      <c r="A214" s="3"/>
      <c r="B214" s="42" t="str">
        <f>"0x"&amp;DEC2HEX(Sheet3!$I$4,8)</f>
        <v>0x00400320</v>
      </c>
      <c r="C214" s="42"/>
      <c r="D214" s="42"/>
      <c r="E214" s="12"/>
      <c r="F214" s="319" t="str">
        <f>"0x"&amp;BIN2HEX(CONCATENATE(C207,D207,E207,F207,G207,H207,I207,J207),2)&amp;BIN2HEX(CONCATENATE(K207,L207,M207,N207,O207,P207,Q207,R207),2)&amp;BIN2HEX(CONCATENATE(S207,T207,U207,V207,W207,X207,Y207,Z207),2)&amp;BIN2HEX(CONCATENATE(AA207,AB207,AC207,AD207,AE207,AF207,AG207,AH207),2)</f>
        <v>0x00000000</v>
      </c>
      <c r="G214" s="319"/>
      <c r="H214" s="319"/>
      <c r="I214" s="12"/>
      <c r="J214" s="319" t="str">
        <f>"0b"&amp;C211&amp;D211&amp;E211&amp;F211&amp;G211&amp;H211&amp;I211&amp;J211&amp;K211&amp;L211&amp;M211&amp;N211&amp;O211&amp;P211&amp;Q211</f>
        <v>0b000000000000100</v>
      </c>
      <c r="K214" s="319"/>
      <c r="L214" s="319"/>
      <c r="M214" s="319"/>
      <c r="N214" s="12"/>
      <c r="O214" s="319" t="str">
        <f>"0b"&amp;DEC2BIN(((AF211+AE211*2+AD211*4+AC211*8+AB211*16+AA211*32+Z211*64+Y211*128+X211*256+W211*512+V211*1024+U211*2048+T211*4096+S211*2^13+R211*2^14)/512),6)&amp;DEC2BIN(MOD((AF211+AE211*2+AD211*4+AC211*8+AB211*16+AA211*32+Z211*64+Y211*128+X211*256+W211*512+V211*1024+U211*2048+T211*4096+S211*2^13+R211*2^14),512),9)</f>
        <v>0b000000000011110</v>
      </c>
      <c r="P214" s="319"/>
      <c r="Q214" s="319"/>
      <c r="R214" s="319"/>
      <c r="S214" s="12"/>
      <c r="T214" s="13">
        <v>0</v>
      </c>
      <c r="U214" s="13">
        <f>AH211</f>
        <v>0</v>
      </c>
      <c r="V214" s="5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6"/>
    </row>
    <row r="215" spans="1:35" x14ac:dyDescent="0.25">
      <c r="A215" s="3"/>
      <c r="B215" s="42"/>
      <c r="C215" s="42"/>
      <c r="D215" s="42"/>
      <c r="E215" s="15"/>
      <c r="F215" s="43"/>
      <c r="G215" s="43"/>
      <c r="H215" s="43"/>
      <c r="I215" s="15"/>
      <c r="J215" s="42"/>
      <c r="K215" s="42"/>
      <c r="L215" s="42"/>
      <c r="M215" s="42"/>
      <c r="N215" s="15"/>
      <c r="O215" s="42"/>
      <c r="P215" s="42"/>
      <c r="Q215" s="42"/>
      <c r="R215" s="42"/>
      <c r="S215" s="15"/>
      <c r="T215" s="13"/>
      <c r="U215" s="15"/>
      <c r="V215" s="5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6"/>
    </row>
    <row r="216" spans="1:35" x14ac:dyDescent="0.25">
      <c r="A216" s="3"/>
      <c r="B216" s="42"/>
      <c r="C216" s="42"/>
      <c r="D216" s="42"/>
      <c r="E216" s="15"/>
      <c r="F216" s="43"/>
      <c r="G216" s="43"/>
      <c r="H216" s="43"/>
      <c r="I216" s="15"/>
      <c r="J216" s="42"/>
      <c r="K216" s="42"/>
      <c r="L216" s="42"/>
      <c r="M216" s="42"/>
      <c r="N216" s="15"/>
      <c r="O216" s="42"/>
      <c r="P216" s="42"/>
      <c r="Q216" s="42"/>
      <c r="R216" s="42"/>
      <c r="S216" s="15"/>
      <c r="T216" s="13"/>
      <c r="U216" s="15"/>
      <c r="V216" s="5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6"/>
    </row>
    <row r="217" spans="1:35" x14ac:dyDescent="0.25">
      <c r="A217" s="3"/>
      <c r="B217" s="5"/>
      <c r="C217" s="5"/>
      <c r="D217" s="5"/>
      <c r="E217" s="5"/>
      <c r="F217" s="17"/>
      <c r="G217" s="17"/>
      <c r="H217" s="17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6"/>
    </row>
    <row r="218" spans="1:35" x14ac:dyDescent="0.25">
      <c r="A218" s="3"/>
      <c r="B218" s="5" t="s">
        <v>47</v>
      </c>
      <c r="C218" s="18"/>
      <c r="D218" s="18"/>
      <c r="E218" s="18"/>
      <c r="F218" s="5"/>
      <c r="G218" s="5"/>
      <c r="H218" s="5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6"/>
    </row>
    <row r="219" spans="1:35" ht="15" customHeight="1" x14ac:dyDescent="0.25">
      <c r="A219" s="3"/>
      <c r="B219" s="42" t="str">
        <f>"0x"&amp;DEC2HEX(Sheet3!$I$4,8)</f>
        <v>0x00400320</v>
      </c>
      <c r="C219" s="42"/>
      <c r="D219" s="42"/>
      <c r="E219" s="16"/>
      <c r="F219" s="322" t="str">
        <f>F214&amp;BIN2HEX(MID(J214,3,8),2)&amp;BIN2HEX(RIGHT(J214,7)&amp;MID(O214,3,1),2)&amp;BIN2HEX(MID(O214,4,8),2)&amp;BIN2HEX(RIGHT(O214,6)&amp;T214&amp;U214,2)</f>
        <v>0x0000000000080078</v>
      </c>
      <c r="G219" s="322"/>
      <c r="H219" s="322"/>
      <c r="I219" s="322"/>
      <c r="J219" s="5"/>
      <c r="K219" s="5"/>
      <c r="L219" s="5"/>
      <c r="M219" s="5"/>
      <c r="N219" s="5"/>
      <c r="O219" s="5"/>
      <c r="P219" s="16"/>
      <c r="Q219" s="16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5"/>
      <c r="AH219" s="5"/>
      <c r="AI219" s="6"/>
    </row>
    <row r="220" spans="1:35" x14ac:dyDescent="0.25">
      <c r="A220" s="3"/>
      <c r="B220" s="37"/>
      <c r="C220" s="37"/>
      <c r="D220" s="37"/>
      <c r="E220" s="5"/>
      <c r="F220" s="38"/>
      <c r="G220" s="38"/>
      <c r="H220" s="38"/>
      <c r="I220" s="38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6"/>
    </row>
    <row r="221" spans="1:35" x14ac:dyDescent="0.25">
      <c r="A221" s="3"/>
      <c r="B221" s="37"/>
      <c r="C221" s="37"/>
      <c r="D221" s="37"/>
      <c r="E221" s="5"/>
      <c r="F221" s="38"/>
      <c r="G221" s="38"/>
      <c r="H221" s="38"/>
      <c r="I221" s="38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6"/>
    </row>
    <row r="222" spans="1:35" x14ac:dyDescent="0.25">
      <c r="A222" s="20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2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3"/>
    </row>
    <row r="223" spans="1:35" x14ac:dyDescent="0.25">
      <c r="A223" s="24"/>
      <c r="B223" s="28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6"/>
    </row>
    <row r="224" spans="1:35" x14ac:dyDescent="0.25">
      <c r="A224" s="3"/>
      <c r="B224" s="4" t="s">
        <v>341</v>
      </c>
      <c r="C224" s="5"/>
      <c r="D224" s="5"/>
      <c r="E224" s="5"/>
      <c r="F224" s="5"/>
      <c r="G224" s="5"/>
      <c r="H224" s="5"/>
      <c r="I224" s="5" t="str">
        <f>"0x"&amp;BIN2HEX(CONCATENATE(C229,D229,E229,F229,G229,H229,I229,J229),2)&amp;BIN2HEX(CONCATENATE(K229,L229,M229,N229,O229,P229,Q229,R229),2)&amp;BIN2HEX(CONCATENATE(S229,T229,U229,V229,W229,X229,Y229,Z229),2)&amp;BIN2HEX(CONCATENATE(AA229,AB229,AC229,AD229,AE229,AF229,AG229,AH229),2)&amp;"_"&amp;BIN2HEX(CONCATENATE(C233,D233,E233,F233,G233,H233,I233,J233),2)&amp;BIN2HEX(CONCATENATE(K233,L233,M233,N233,O233,P233,Q233,R233),2)&amp;BIN2HEX(CONCATENATE(S233,T233,U233,V233,W233,X233,Y233,Z233),2)&amp;BIN2HEX(CONCATENATE(AA233,AB233,AC233,AD233,AE233,AF233,AG233,AH233),2)</f>
        <v>0x00000000_0008007C</v>
      </c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6"/>
    </row>
    <row r="225" spans="1:35" ht="15.75" thickBot="1" x14ac:dyDescent="0.3">
      <c r="A225" s="3"/>
      <c r="B225" s="5"/>
      <c r="C225" s="7">
        <v>0</v>
      </c>
      <c r="D225" s="7">
        <v>1</v>
      </c>
      <c r="E225" s="7">
        <v>2</v>
      </c>
      <c r="F225" s="7">
        <v>3</v>
      </c>
      <c r="G225" s="7">
        <v>4</v>
      </c>
      <c r="H225" s="7">
        <v>5</v>
      </c>
      <c r="I225" s="7">
        <v>6</v>
      </c>
      <c r="J225" s="7">
        <v>7</v>
      </c>
      <c r="K225" s="7">
        <v>8</v>
      </c>
      <c r="L225" s="7">
        <v>9</v>
      </c>
      <c r="M225" s="7">
        <v>10</v>
      </c>
      <c r="N225" s="7">
        <v>11</v>
      </c>
      <c r="O225" s="7">
        <v>12</v>
      </c>
      <c r="P225" s="7">
        <v>13</v>
      </c>
      <c r="Q225" s="7">
        <v>14</v>
      </c>
      <c r="R225" s="7">
        <v>15</v>
      </c>
      <c r="S225" s="7">
        <v>16</v>
      </c>
      <c r="T225" s="7">
        <v>17</v>
      </c>
      <c r="U225" s="7">
        <v>18</v>
      </c>
      <c r="V225" s="7">
        <v>19</v>
      </c>
      <c r="W225" s="7">
        <v>20</v>
      </c>
      <c r="X225" s="7">
        <v>21</v>
      </c>
      <c r="Y225" s="7">
        <v>22</v>
      </c>
      <c r="Z225" s="7">
        <v>23</v>
      </c>
      <c r="AA225" s="7">
        <v>24</v>
      </c>
      <c r="AB225" s="7">
        <v>25</v>
      </c>
      <c r="AC225" s="7">
        <v>26</v>
      </c>
      <c r="AD225" s="7">
        <v>27</v>
      </c>
      <c r="AE225" s="7">
        <v>28</v>
      </c>
      <c r="AF225" s="7">
        <v>29</v>
      </c>
      <c r="AG225" s="7">
        <v>30</v>
      </c>
      <c r="AH225" s="7">
        <v>31</v>
      </c>
      <c r="AI225" s="6"/>
    </row>
    <row r="226" spans="1:35" ht="15" customHeight="1" x14ac:dyDescent="0.25">
      <c r="A226" s="3"/>
      <c r="B226" s="5" t="s">
        <v>31</v>
      </c>
      <c r="C226" s="349" t="s">
        <v>112</v>
      </c>
      <c r="D226" s="337"/>
      <c r="E226" s="337"/>
      <c r="F226" s="337"/>
      <c r="G226" s="337"/>
      <c r="H226" s="337"/>
      <c r="I226" s="337"/>
      <c r="J226" s="337"/>
      <c r="K226" s="337"/>
      <c r="L226" s="337"/>
      <c r="M226" s="337"/>
      <c r="N226" s="337"/>
      <c r="O226" s="337"/>
      <c r="P226" s="337"/>
      <c r="Q226" s="337"/>
      <c r="R226" s="337"/>
      <c r="S226" s="337"/>
      <c r="T226" s="337"/>
      <c r="U226" s="337"/>
      <c r="V226" s="350"/>
      <c r="W226" s="345" t="s">
        <v>374</v>
      </c>
      <c r="X226" s="345" t="s">
        <v>375</v>
      </c>
      <c r="Y226" s="345" t="s">
        <v>376</v>
      </c>
      <c r="Z226" s="345" t="s">
        <v>377</v>
      </c>
      <c r="AA226" s="345" t="s">
        <v>378</v>
      </c>
      <c r="AB226" s="345" t="s">
        <v>379</v>
      </c>
      <c r="AC226" s="345" t="s">
        <v>380</v>
      </c>
      <c r="AD226" s="345" t="s">
        <v>381</v>
      </c>
      <c r="AE226" s="345" t="s">
        <v>382</v>
      </c>
      <c r="AF226" s="345" t="s">
        <v>373</v>
      </c>
      <c r="AG226" s="345" t="s">
        <v>372</v>
      </c>
      <c r="AH226" s="347" t="s">
        <v>371</v>
      </c>
      <c r="AI226" s="6"/>
    </row>
    <row r="227" spans="1:35" x14ac:dyDescent="0.25">
      <c r="A227" s="3"/>
      <c r="B227" s="5" t="s">
        <v>32</v>
      </c>
      <c r="C227" s="351"/>
      <c r="D227" s="352"/>
      <c r="E227" s="352"/>
      <c r="F227" s="352"/>
      <c r="G227" s="352"/>
      <c r="H227" s="352"/>
      <c r="I227" s="352"/>
      <c r="J227" s="352"/>
      <c r="K227" s="352"/>
      <c r="L227" s="352"/>
      <c r="M227" s="352"/>
      <c r="N227" s="352"/>
      <c r="O227" s="352"/>
      <c r="P227" s="352"/>
      <c r="Q227" s="352"/>
      <c r="R227" s="352"/>
      <c r="S227" s="352"/>
      <c r="T227" s="352"/>
      <c r="U227" s="352"/>
      <c r="V227" s="353"/>
      <c r="W227" s="346"/>
      <c r="X227" s="346"/>
      <c r="Y227" s="346"/>
      <c r="Z227" s="346"/>
      <c r="AA227" s="346"/>
      <c r="AB227" s="346"/>
      <c r="AC227" s="346"/>
      <c r="AD227" s="346"/>
      <c r="AE227" s="346"/>
      <c r="AF227" s="346"/>
      <c r="AG227" s="346"/>
      <c r="AH227" s="348"/>
      <c r="AI227" s="6"/>
    </row>
    <row r="228" spans="1:35" x14ac:dyDescent="0.25">
      <c r="A228" s="3"/>
      <c r="B228" s="5" t="s">
        <v>11</v>
      </c>
      <c r="C228" s="56">
        <v>0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57">
        <v>0</v>
      </c>
      <c r="R228" s="57">
        <v>0</v>
      </c>
      <c r="S228" s="57">
        <v>0</v>
      </c>
      <c r="T228" s="57">
        <v>0</v>
      </c>
      <c r="U228" s="57">
        <v>0</v>
      </c>
      <c r="V228" s="57">
        <v>0</v>
      </c>
      <c r="W228" s="57">
        <v>0</v>
      </c>
      <c r="X228" s="57">
        <v>0</v>
      </c>
      <c r="Y228" s="57">
        <v>0</v>
      </c>
      <c r="Z228" s="57">
        <v>0</v>
      </c>
      <c r="AA228" s="57">
        <v>0</v>
      </c>
      <c r="AB228" s="57">
        <v>0</v>
      </c>
      <c r="AC228" s="57">
        <v>0</v>
      </c>
      <c r="AD228" s="57">
        <v>0</v>
      </c>
      <c r="AE228" s="57">
        <v>0</v>
      </c>
      <c r="AF228" s="57">
        <v>0</v>
      </c>
      <c r="AG228" s="57">
        <v>0</v>
      </c>
      <c r="AH228" s="58">
        <v>0</v>
      </c>
      <c r="AI228" s="6"/>
    </row>
    <row r="229" spans="1:35" ht="15.75" thickBot="1" x14ac:dyDescent="0.3">
      <c r="A229" s="3"/>
      <c r="B229" s="5" t="s">
        <v>12</v>
      </c>
      <c r="C229" s="197">
        <v>0</v>
      </c>
      <c r="D229" s="161">
        <v>0</v>
      </c>
      <c r="E229" s="161">
        <v>0</v>
      </c>
      <c r="F229" s="161">
        <v>0</v>
      </c>
      <c r="G229" s="161">
        <v>0</v>
      </c>
      <c r="H229" s="161">
        <v>0</v>
      </c>
      <c r="I229" s="161">
        <v>0</v>
      </c>
      <c r="J229" s="161">
        <v>0</v>
      </c>
      <c r="K229" s="161">
        <v>0</v>
      </c>
      <c r="L229" s="161">
        <v>0</v>
      </c>
      <c r="M229" s="161">
        <v>0</v>
      </c>
      <c r="N229" s="161">
        <v>0</v>
      </c>
      <c r="O229" s="161">
        <v>0</v>
      </c>
      <c r="P229" s="161">
        <v>0</v>
      </c>
      <c r="Q229" s="161">
        <v>0</v>
      </c>
      <c r="R229" s="161">
        <v>0</v>
      </c>
      <c r="S229" s="161">
        <v>0</v>
      </c>
      <c r="T229" s="161">
        <v>0</v>
      </c>
      <c r="U229" s="161">
        <v>0</v>
      </c>
      <c r="V229" s="161">
        <v>0</v>
      </c>
      <c r="W229" s="88">
        <v>0</v>
      </c>
      <c r="X229" s="88">
        <v>0</v>
      </c>
      <c r="Y229" s="88">
        <v>0</v>
      </c>
      <c r="Z229" s="88">
        <v>0</v>
      </c>
      <c r="AA229" s="88">
        <v>0</v>
      </c>
      <c r="AB229" s="88">
        <v>0</v>
      </c>
      <c r="AC229" s="88">
        <v>0</v>
      </c>
      <c r="AD229" s="88">
        <v>0</v>
      </c>
      <c r="AE229" s="88">
        <v>0</v>
      </c>
      <c r="AF229" s="88">
        <v>0</v>
      </c>
      <c r="AG229" s="88">
        <v>0</v>
      </c>
      <c r="AH229" s="89">
        <v>0</v>
      </c>
      <c r="AI229" s="6"/>
    </row>
    <row r="230" spans="1:35" x14ac:dyDescent="0.25">
      <c r="A230" s="3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6"/>
    </row>
    <row r="231" spans="1:35" ht="15.75" thickBot="1" x14ac:dyDescent="0.3">
      <c r="A231" s="3"/>
      <c r="B231" s="5"/>
      <c r="C231" s="7">
        <v>32</v>
      </c>
      <c r="D231" s="7">
        <v>33</v>
      </c>
      <c r="E231" s="7">
        <v>34</v>
      </c>
      <c r="F231" s="7">
        <v>35</v>
      </c>
      <c r="G231" s="7">
        <v>36</v>
      </c>
      <c r="H231" s="7">
        <v>37</v>
      </c>
      <c r="I231" s="7">
        <v>38</v>
      </c>
      <c r="J231" s="7">
        <v>39</v>
      </c>
      <c r="K231" s="7">
        <v>40</v>
      </c>
      <c r="L231" s="7">
        <v>41</v>
      </c>
      <c r="M231" s="7">
        <v>42</v>
      </c>
      <c r="N231" s="7">
        <v>43</v>
      </c>
      <c r="O231" s="7">
        <v>44</v>
      </c>
      <c r="P231" s="7">
        <v>45</v>
      </c>
      <c r="Q231" s="7">
        <v>46</v>
      </c>
      <c r="R231" s="7">
        <v>47</v>
      </c>
      <c r="S231" s="7">
        <v>48</v>
      </c>
      <c r="T231" s="7">
        <v>49</v>
      </c>
      <c r="U231" s="7">
        <v>50</v>
      </c>
      <c r="V231" s="7">
        <v>51</v>
      </c>
      <c r="W231" s="7">
        <v>52</v>
      </c>
      <c r="X231" s="7">
        <v>53</v>
      </c>
      <c r="Y231" s="7">
        <v>54</v>
      </c>
      <c r="Z231" s="7">
        <v>55</v>
      </c>
      <c r="AA231" s="7">
        <v>56</v>
      </c>
      <c r="AB231" s="7">
        <v>57</v>
      </c>
      <c r="AC231" s="7">
        <v>58</v>
      </c>
      <c r="AD231" s="7">
        <v>59</v>
      </c>
      <c r="AE231" s="7">
        <v>60</v>
      </c>
      <c r="AF231" s="7">
        <v>61</v>
      </c>
      <c r="AG231" s="7">
        <v>62</v>
      </c>
      <c r="AH231" s="7">
        <v>63</v>
      </c>
      <c r="AI231" s="6"/>
    </row>
    <row r="232" spans="1:35" ht="15.75" thickBot="1" x14ac:dyDescent="0.3">
      <c r="A232" s="3"/>
      <c r="B232" s="5"/>
      <c r="C232" s="147" t="s">
        <v>13</v>
      </c>
      <c r="D232" s="148" t="s">
        <v>14</v>
      </c>
      <c r="E232" s="148" t="s">
        <v>15</v>
      </c>
      <c r="F232" s="148" t="s">
        <v>16</v>
      </c>
      <c r="G232" s="148" t="s">
        <v>17</v>
      </c>
      <c r="H232" s="148" t="s">
        <v>18</v>
      </c>
      <c r="I232" s="148" t="s">
        <v>19</v>
      </c>
      <c r="J232" s="148" t="s">
        <v>20</v>
      </c>
      <c r="K232" s="148" t="s">
        <v>21</v>
      </c>
      <c r="L232" s="148" t="s">
        <v>22</v>
      </c>
      <c r="M232" s="148" t="s">
        <v>23</v>
      </c>
      <c r="N232" s="148" t="s">
        <v>24</v>
      </c>
      <c r="O232" s="148" t="s">
        <v>25</v>
      </c>
      <c r="P232" s="148" t="s">
        <v>26</v>
      </c>
      <c r="Q232" s="148" t="s">
        <v>27</v>
      </c>
      <c r="R232" s="342" t="s">
        <v>30</v>
      </c>
      <c r="S232" s="343"/>
      <c r="T232" s="343"/>
      <c r="U232" s="343"/>
      <c r="V232" s="343"/>
      <c r="W232" s="343"/>
      <c r="X232" s="343"/>
      <c r="Y232" s="343"/>
      <c r="Z232" s="343"/>
      <c r="AA232" s="343"/>
      <c r="AB232" s="343"/>
      <c r="AC232" s="343"/>
      <c r="AD232" s="343"/>
      <c r="AE232" s="343"/>
      <c r="AF232" s="344"/>
      <c r="AG232" s="67" t="s">
        <v>28</v>
      </c>
      <c r="AH232" s="149" t="s">
        <v>29</v>
      </c>
      <c r="AI232" s="6"/>
    </row>
    <row r="233" spans="1:35" ht="15.75" thickBot="1" x14ac:dyDescent="0.3">
      <c r="A233" s="3"/>
      <c r="B233" s="5"/>
      <c r="C233" s="150">
        <v>0</v>
      </c>
      <c r="D233" s="151">
        <v>0</v>
      </c>
      <c r="E233" s="151">
        <v>0</v>
      </c>
      <c r="F233" s="151">
        <v>0</v>
      </c>
      <c r="G233" s="151">
        <v>0</v>
      </c>
      <c r="H233" s="151">
        <v>0</v>
      </c>
      <c r="I233" s="151">
        <v>0</v>
      </c>
      <c r="J233" s="151">
        <v>0</v>
      </c>
      <c r="K233" s="151">
        <v>0</v>
      </c>
      <c r="L233" s="151">
        <v>0</v>
      </c>
      <c r="M233" s="151">
        <v>0</v>
      </c>
      <c r="N233" s="151">
        <v>0</v>
      </c>
      <c r="O233" s="151">
        <v>1</v>
      </c>
      <c r="P233" s="151">
        <v>0</v>
      </c>
      <c r="Q233" s="151">
        <v>0</v>
      </c>
      <c r="R233" s="151">
        <v>0</v>
      </c>
      <c r="S233" s="151">
        <v>0</v>
      </c>
      <c r="T233" s="151">
        <v>0</v>
      </c>
      <c r="U233" s="151">
        <v>0</v>
      </c>
      <c r="V233" s="151">
        <v>0</v>
      </c>
      <c r="W233" s="151">
        <v>0</v>
      </c>
      <c r="X233" s="151">
        <v>0</v>
      </c>
      <c r="Y233" s="151">
        <v>0</v>
      </c>
      <c r="Z233" s="151">
        <v>0</v>
      </c>
      <c r="AA233" s="151">
        <v>0</v>
      </c>
      <c r="AB233" s="151">
        <v>1</v>
      </c>
      <c r="AC233" s="151">
        <v>1</v>
      </c>
      <c r="AD233" s="151">
        <v>1</v>
      </c>
      <c r="AE233" s="151">
        <v>1</v>
      </c>
      <c r="AF233" s="151">
        <v>1</v>
      </c>
      <c r="AG233" s="151">
        <v>0</v>
      </c>
      <c r="AH233" s="152">
        <v>0</v>
      </c>
      <c r="AI233" s="6"/>
    </row>
    <row r="234" spans="1:35" x14ac:dyDescent="0.25">
      <c r="A234" s="3"/>
      <c r="B234" s="4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6"/>
    </row>
    <row r="235" spans="1:35" x14ac:dyDescent="0.25">
      <c r="A235" s="3"/>
      <c r="B235" s="8" t="s">
        <v>43</v>
      </c>
      <c r="C235" s="9"/>
      <c r="D235" s="9"/>
      <c r="E235" s="9"/>
      <c r="F235" s="225" t="s">
        <v>44</v>
      </c>
      <c r="G235" s="225"/>
      <c r="H235" s="225"/>
      <c r="I235" s="9"/>
      <c r="J235" s="226" t="s">
        <v>45</v>
      </c>
      <c r="K235" s="226"/>
      <c r="L235" s="226"/>
      <c r="M235" s="226"/>
      <c r="N235" s="9"/>
      <c r="O235" s="227" t="s">
        <v>46</v>
      </c>
      <c r="P235" s="227"/>
      <c r="Q235" s="227"/>
      <c r="R235" s="227"/>
      <c r="S235" s="9"/>
      <c r="T235" s="1" t="s">
        <v>49</v>
      </c>
      <c r="U235" s="10" t="s">
        <v>48</v>
      </c>
      <c r="V235" s="5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6"/>
    </row>
    <row r="236" spans="1:35" ht="15" customHeight="1" x14ac:dyDescent="0.25">
      <c r="A236" s="3"/>
      <c r="B236" s="221" t="str">
        <f>"0x"&amp;DEC2HEX(Sheet3!$I$4,8)</f>
        <v>0x00400320</v>
      </c>
      <c r="C236" s="221"/>
      <c r="D236" s="221"/>
      <c r="E236" s="12"/>
      <c r="F236" s="319" t="str">
        <f>"0x"&amp;BIN2HEX(CONCATENATE(C229,D229,E229,F229,G229,H229,I229,J229),2)&amp;BIN2HEX(CONCATENATE(K229,L229,M229,N229,O229,P229,Q229,R229),2)&amp;BIN2HEX(CONCATENATE(S229,T229,U229,V229,W229,X229,Y229,Z229),2)&amp;BIN2HEX(CONCATENATE(AA229,AB229,AC229,AD229,AE229,AF229,AG229,AH229),2)</f>
        <v>0x00000000</v>
      </c>
      <c r="G236" s="319"/>
      <c r="H236" s="319"/>
      <c r="I236" s="12"/>
      <c r="J236" s="319" t="str">
        <f>"0b"&amp;C233&amp;D233&amp;E233&amp;F233&amp;G233&amp;H233&amp;I233&amp;J233&amp;K233&amp;L233&amp;M233&amp;N233&amp;O233&amp;P233&amp;Q233</f>
        <v>0b000000000000100</v>
      </c>
      <c r="K236" s="319"/>
      <c r="L236" s="319"/>
      <c r="M236" s="319"/>
      <c r="N236" s="12"/>
      <c r="O236" s="319" t="str">
        <f>"0b"&amp;DEC2BIN(((AF233+AE233*2+AD233*4+AC233*8+AB233*16+AA233*32+Z233*64+Y233*128+X233*256+W233*512+V233*1024+U233*2048+T233*4096+S233*2^13+R233*2^14)/512),6)&amp;DEC2BIN(MOD((AF233+AE233*2+AD233*4+AC233*8+AB233*16+AA233*32+Z233*64+Y233*128+X233*256+W233*512+V233*1024+U233*2048+T233*4096+S233*2^13+R233*2^14),512),9)</f>
        <v>0b000000000011111</v>
      </c>
      <c r="P236" s="319"/>
      <c r="Q236" s="319"/>
      <c r="R236" s="319"/>
      <c r="S236" s="12"/>
      <c r="T236" s="224">
        <v>0</v>
      </c>
      <c r="U236" s="224">
        <f>AH233</f>
        <v>0</v>
      </c>
      <c r="V236" s="5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6"/>
    </row>
    <row r="237" spans="1:35" x14ac:dyDescent="0.25">
      <c r="A237" s="3"/>
      <c r="B237" s="221"/>
      <c r="C237" s="221"/>
      <c r="D237" s="221"/>
      <c r="E237" s="15"/>
      <c r="F237" s="222"/>
      <c r="G237" s="222"/>
      <c r="H237" s="222"/>
      <c r="I237" s="15"/>
      <c r="J237" s="221"/>
      <c r="K237" s="221"/>
      <c r="L237" s="221"/>
      <c r="M237" s="221"/>
      <c r="N237" s="15"/>
      <c r="O237" s="221"/>
      <c r="P237" s="221"/>
      <c r="Q237" s="221"/>
      <c r="R237" s="221"/>
      <c r="S237" s="15"/>
      <c r="T237" s="224"/>
      <c r="U237" s="15"/>
      <c r="V237" s="5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6"/>
    </row>
    <row r="238" spans="1:35" x14ac:dyDescent="0.25">
      <c r="A238" s="3"/>
      <c r="B238" s="221"/>
      <c r="C238" s="221"/>
      <c r="D238" s="221"/>
      <c r="E238" s="15"/>
      <c r="F238" s="222"/>
      <c r="G238" s="222"/>
      <c r="H238" s="222"/>
      <c r="I238" s="15"/>
      <c r="J238" s="221"/>
      <c r="K238" s="221"/>
      <c r="L238" s="221"/>
      <c r="M238" s="221"/>
      <c r="N238" s="15"/>
      <c r="O238" s="221"/>
      <c r="P238" s="221"/>
      <c r="Q238" s="221"/>
      <c r="R238" s="221"/>
      <c r="S238" s="15"/>
      <c r="T238" s="224"/>
      <c r="U238" s="15"/>
      <c r="V238" s="5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6"/>
    </row>
    <row r="239" spans="1:35" x14ac:dyDescent="0.25">
      <c r="A239" s="3"/>
      <c r="B239" s="5"/>
      <c r="C239" s="5"/>
      <c r="D239" s="5"/>
      <c r="E239" s="5"/>
      <c r="F239" s="17"/>
      <c r="G239" s="17"/>
      <c r="H239" s="17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6"/>
    </row>
    <row r="240" spans="1:35" x14ac:dyDescent="0.25">
      <c r="A240" s="3"/>
      <c r="B240" s="5" t="s">
        <v>47</v>
      </c>
      <c r="C240" s="18"/>
      <c r="D240" s="18"/>
      <c r="E240" s="18"/>
      <c r="F240" s="5"/>
      <c r="G240" s="5"/>
      <c r="H240" s="5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6"/>
    </row>
    <row r="241" spans="1:35" ht="15" customHeight="1" x14ac:dyDescent="0.25">
      <c r="A241" s="3"/>
      <c r="B241" s="221" t="str">
        <f>"0x"&amp;DEC2HEX(Sheet3!$I$4,8)</f>
        <v>0x00400320</v>
      </c>
      <c r="C241" s="221"/>
      <c r="D241" s="221"/>
      <c r="E241" s="16"/>
      <c r="F241" s="322" t="str">
        <f>F236&amp;BIN2HEX(MID(J236,3,8),2)&amp;BIN2HEX(RIGHT(J236,7)&amp;MID(O236,3,1),2)&amp;BIN2HEX(MID(O236,4,8),2)&amp;BIN2HEX(RIGHT(O236,6)&amp;T236&amp;U236,2)</f>
        <v>0x000000000008007C</v>
      </c>
      <c r="G241" s="322"/>
      <c r="H241" s="322"/>
      <c r="I241" s="322"/>
      <c r="J241" s="5"/>
      <c r="K241" s="5"/>
      <c r="L241" s="5"/>
      <c r="M241" s="5"/>
      <c r="N241" s="5"/>
      <c r="O241" s="5"/>
      <c r="P241" s="16"/>
      <c r="Q241" s="16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5"/>
      <c r="AH241" s="5"/>
      <c r="AI241" s="6"/>
    </row>
    <row r="242" spans="1:35" x14ac:dyDescent="0.25">
      <c r="A242" s="3"/>
      <c r="B242" s="221"/>
      <c r="C242" s="221"/>
      <c r="D242" s="221"/>
      <c r="E242" s="5"/>
      <c r="F242" s="223"/>
      <c r="G242" s="223"/>
      <c r="H242" s="223"/>
      <c r="I242" s="223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6"/>
    </row>
    <row r="243" spans="1:35" x14ac:dyDescent="0.25">
      <c r="A243" s="3"/>
      <c r="B243" s="221"/>
      <c r="C243" s="221"/>
      <c r="D243" s="221"/>
      <c r="E243" s="5"/>
      <c r="F243" s="223"/>
      <c r="G243" s="223"/>
      <c r="H243" s="223"/>
      <c r="I243" s="223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6"/>
    </row>
    <row r="244" spans="1:35" x14ac:dyDescent="0.25">
      <c r="A244" s="20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2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3"/>
    </row>
    <row r="245" spans="1:35" x14ac:dyDescent="0.25">
      <c r="A245" s="24"/>
      <c r="B245" s="28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6"/>
    </row>
    <row r="246" spans="1:35" x14ac:dyDescent="0.25">
      <c r="A246" s="3"/>
      <c r="B246" s="4" t="s">
        <v>134</v>
      </c>
      <c r="C246" s="5"/>
      <c r="D246" s="5"/>
      <c r="E246" s="5"/>
      <c r="F246" s="5"/>
      <c r="G246" s="5"/>
      <c r="H246" s="5"/>
      <c r="I246" s="5" t="str">
        <f>"0x"&amp;BIN2HEX(CONCATENATE(C251,D251,E251,F251,G251,H251,I251,J251),2)&amp;BIN2HEX(CONCATENATE(K251,L251,M251,N251,O251,P251,Q251,R251),2)&amp;BIN2HEX(CONCATENATE(S251,T251,U251,V251,W251,X251,Y251,Z251),2)&amp;BIN2HEX(CONCATENATE(AA251,AB251,AC251,AD251,AE251,AF251,AG251,AH251),2)&amp;"_"&amp;BIN2HEX(CONCATENATE(C255,D255,E255,F255,G255,H255,I255,J255),2)&amp;BIN2HEX(CONCATENATE(K255,L255,M255,N255,O255,P255,Q255,R255),2)&amp;BIN2HEX(CONCATENATE(S255,T255,U255,V255,W255,X255,Y255,Z255),2)&amp;BIN2HEX(CONCATENATE(AA255,AB255,AC255,AD255,AE255,AF255,AG255,AH255),2)</f>
        <v>0x00000000_00080100</v>
      </c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6"/>
    </row>
    <row r="247" spans="1:35" ht="15.75" thickBot="1" x14ac:dyDescent="0.3">
      <c r="A247" s="3"/>
      <c r="B247" s="5"/>
      <c r="C247" s="7">
        <v>0</v>
      </c>
      <c r="D247" s="7">
        <v>1</v>
      </c>
      <c r="E247" s="7">
        <v>2</v>
      </c>
      <c r="F247" s="7">
        <v>3</v>
      </c>
      <c r="G247" s="7">
        <v>4</v>
      </c>
      <c r="H247" s="7">
        <v>5</v>
      </c>
      <c r="I247" s="7">
        <v>6</v>
      </c>
      <c r="J247" s="7">
        <v>7</v>
      </c>
      <c r="K247" s="7">
        <v>8</v>
      </c>
      <c r="L247" s="7">
        <v>9</v>
      </c>
      <c r="M247" s="7">
        <v>10</v>
      </c>
      <c r="N247" s="7">
        <v>11</v>
      </c>
      <c r="O247" s="7">
        <v>12</v>
      </c>
      <c r="P247" s="7">
        <v>13</v>
      </c>
      <c r="Q247" s="7">
        <v>14</v>
      </c>
      <c r="R247" s="7">
        <v>15</v>
      </c>
      <c r="S247" s="7">
        <v>16</v>
      </c>
      <c r="T247" s="7">
        <v>17</v>
      </c>
      <c r="U247" s="7">
        <v>18</v>
      </c>
      <c r="V247" s="7">
        <v>19</v>
      </c>
      <c r="W247" s="7">
        <v>20</v>
      </c>
      <c r="X247" s="7">
        <v>21</v>
      </c>
      <c r="Y247" s="7">
        <v>22</v>
      </c>
      <c r="Z247" s="7">
        <v>23</v>
      </c>
      <c r="AA247" s="7">
        <v>24</v>
      </c>
      <c r="AB247" s="7">
        <v>25</v>
      </c>
      <c r="AC247" s="7">
        <v>26</v>
      </c>
      <c r="AD247" s="7">
        <v>27</v>
      </c>
      <c r="AE247" s="7">
        <v>28</v>
      </c>
      <c r="AF247" s="7">
        <v>29</v>
      </c>
      <c r="AG247" s="7">
        <v>30</v>
      </c>
      <c r="AH247" s="7">
        <v>31</v>
      </c>
      <c r="AI247" s="6"/>
    </row>
    <row r="248" spans="1:35" ht="15" customHeight="1" x14ac:dyDescent="0.25">
      <c r="A248" s="3"/>
      <c r="B248" s="5" t="s">
        <v>31</v>
      </c>
      <c r="C248" s="328" t="s">
        <v>161</v>
      </c>
      <c r="D248" s="330" t="s">
        <v>63</v>
      </c>
      <c r="E248" s="331"/>
      <c r="F248" s="331"/>
      <c r="G248" s="331"/>
      <c r="H248" s="331"/>
      <c r="I248" s="331"/>
      <c r="J248" s="332"/>
      <c r="K248" s="336">
        <v>0</v>
      </c>
      <c r="L248" s="337"/>
      <c r="M248" s="337"/>
      <c r="N248" s="360" t="s">
        <v>112</v>
      </c>
      <c r="O248" s="360" t="s">
        <v>112</v>
      </c>
      <c r="P248" s="330" t="s">
        <v>135</v>
      </c>
      <c r="Q248" s="331"/>
      <c r="R248" s="332"/>
      <c r="S248" s="330" t="s">
        <v>136</v>
      </c>
      <c r="T248" s="331"/>
      <c r="U248" s="331"/>
      <c r="V248" s="332"/>
      <c r="W248" s="330" t="s">
        <v>137</v>
      </c>
      <c r="X248" s="331"/>
      <c r="Y248" s="331"/>
      <c r="Z248" s="332"/>
      <c r="AA248" s="154">
        <v>0</v>
      </c>
      <c r="AB248" s="345" t="s">
        <v>138</v>
      </c>
      <c r="AC248" s="330" t="s">
        <v>139</v>
      </c>
      <c r="AD248" s="331"/>
      <c r="AE248" s="331"/>
      <c r="AF248" s="331"/>
      <c r="AG248" s="331"/>
      <c r="AH248" s="355"/>
      <c r="AI248" s="6"/>
    </row>
    <row r="249" spans="1:35" x14ac:dyDescent="0.25">
      <c r="A249" s="3"/>
      <c r="B249" s="5" t="s">
        <v>32</v>
      </c>
      <c r="C249" s="329"/>
      <c r="D249" s="333"/>
      <c r="E249" s="334"/>
      <c r="F249" s="334"/>
      <c r="G249" s="334"/>
      <c r="H249" s="334"/>
      <c r="I249" s="334"/>
      <c r="J249" s="335"/>
      <c r="K249" s="339"/>
      <c r="L249" s="340"/>
      <c r="M249" s="340"/>
      <c r="N249" s="361"/>
      <c r="O249" s="361"/>
      <c r="P249" s="333"/>
      <c r="Q249" s="334"/>
      <c r="R249" s="335"/>
      <c r="S249" s="333"/>
      <c r="T249" s="334"/>
      <c r="U249" s="334"/>
      <c r="V249" s="335"/>
      <c r="W249" s="333"/>
      <c r="X249" s="334"/>
      <c r="Y249" s="334"/>
      <c r="Z249" s="335"/>
      <c r="AA249" s="156"/>
      <c r="AB249" s="346"/>
      <c r="AC249" s="333"/>
      <c r="AD249" s="334"/>
      <c r="AE249" s="334"/>
      <c r="AF249" s="334"/>
      <c r="AG249" s="334"/>
      <c r="AH249" s="357"/>
      <c r="AI249" s="6"/>
    </row>
    <row r="250" spans="1:35" x14ac:dyDescent="0.25">
      <c r="A250" s="3"/>
      <c r="B250" s="5" t="s">
        <v>11</v>
      </c>
      <c r="C250" s="56">
        <v>0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v>0</v>
      </c>
      <c r="Q250" s="57">
        <v>0</v>
      </c>
      <c r="R250" s="57">
        <v>0</v>
      </c>
      <c r="S250" s="57">
        <v>0</v>
      </c>
      <c r="T250" s="57">
        <v>0</v>
      </c>
      <c r="U250" s="57">
        <v>0</v>
      </c>
      <c r="V250" s="57">
        <v>0</v>
      </c>
      <c r="W250" s="57">
        <v>0</v>
      </c>
      <c r="X250" s="57">
        <v>0</v>
      </c>
      <c r="Y250" s="57">
        <v>0</v>
      </c>
      <c r="Z250" s="57">
        <v>0</v>
      </c>
      <c r="AA250" s="57">
        <v>0</v>
      </c>
      <c r="AB250" s="57">
        <v>0</v>
      </c>
      <c r="AC250" s="57">
        <v>0</v>
      </c>
      <c r="AD250" s="57">
        <v>0</v>
      </c>
      <c r="AE250" s="57">
        <v>0</v>
      </c>
      <c r="AF250" s="57">
        <v>0</v>
      </c>
      <c r="AG250" s="57">
        <v>0</v>
      </c>
      <c r="AH250" s="58">
        <v>0</v>
      </c>
      <c r="AI250" s="6"/>
    </row>
    <row r="251" spans="1:35" ht="15.75" thickBot="1" x14ac:dyDescent="0.3">
      <c r="A251" s="3"/>
      <c r="B251" s="5" t="s">
        <v>12</v>
      </c>
      <c r="C251" s="145">
        <v>0</v>
      </c>
      <c r="D251" s="88">
        <v>0</v>
      </c>
      <c r="E251" s="88">
        <v>0</v>
      </c>
      <c r="F251" s="88">
        <v>0</v>
      </c>
      <c r="G251" s="88">
        <v>0</v>
      </c>
      <c r="H251" s="88">
        <v>0</v>
      </c>
      <c r="I251" s="88">
        <v>0</v>
      </c>
      <c r="J251" s="88">
        <v>0</v>
      </c>
      <c r="K251" s="161">
        <v>0</v>
      </c>
      <c r="L251" s="161">
        <v>0</v>
      </c>
      <c r="M251" s="161">
        <v>0</v>
      </c>
      <c r="N251" s="161">
        <v>0</v>
      </c>
      <c r="O251" s="161">
        <v>0</v>
      </c>
      <c r="P251" s="88">
        <v>0</v>
      </c>
      <c r="Q251" s="88">
        <v>0</v>
      </c>
      <c r="R251" s="88">
        <v>0</v>
      </c>
      <c r="S251" s="88">
        <v>0</v>
      </c>
      <c r="T251" s="88">
        <v>0</v>
      </c>
      <c r="U251" s="88">
        <v>0</v>
      </c>
      <c r="V251" s="88">
        <v>0</v>
      </c>
      <c r="W251" s="88">
        <v>0</v>
      </c>
      <c r="X251" s="88">
        <v>0</v>
      </c>
      <c r="Y251" s="88">
        <v>0</v>
      </c>
      <c r="Z251" s="88">
        <v>0</v>
      </c>
      <c r="AA251" s="62">
        <v>0</v>
      </c>
      <c r="AB251" s="88">
        <v>0</v>
      </c>
      <c r="AC251" s="88">
        <v>0</v>
      </c>
      <c r="AD251" s="88">
        <v>0</v>
      </c>
      <c r="AE251" s="88">
        <v>0</v>
      </c>
      <c r="AF251" s="88">
        <v>0</v>
      </c>
      <c r="AG251" s="88">
        <v>0</v>
      </c>
      <c r="AH251" s="89">
        <v>0</v>
      </c>
      <c r="AI251" s="6"/>
    </row>
    <row r="252" spans="1:35" x14ac:dyDescent="0.25">
      <c r="A252" s="3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6"/>
    </row>
    <row r="253" spans="1:35" ht="15.75" thickBot="1" x14ac:dyDescent="0.3">
      <c r="A253" s="3"/>
      <c r="B253" s="5"/>
      <c r="C253" s="7">
        <v>32</v>
      </c>
      <c r="D253" s="7">
        <v>33</v>
      </c>
      <c r="E253" s="7">
        <v>34</v>
      </c>
      <c r="F253" s="7">
        <v>35</v>
      </c>
      <c r="G253" s="7">
        <v>36</v>
      </c>
      <c r="H253" s="7">
        <v>37</v>
      </c>
      <c r="I253" s="7">
        <v>38</v>
      </c>
      <c r="J253" s="7">
        <v>39</v>
      </c>
      <c r="K253" s="7">
        <v>40</v>
      </c>
      <c r="L253" s="7">
        <v>41</v>
      </c>
      <c r="M253" s="7">
        <v>42</v>
      </c>
      <c r="N253" s="7">
        <v>43</v>
      </c>
      <c r="O253" s="7">
        <v>44</v>
      </c>
      <c r="P253" s="7">
        <v>45</v>
      </c>
      <c r="Q253" s="7">
        <v>46</v>
      </c>
      <c r="R253" s="7">
        <v>47</v>
      </c>
      <c r="S253" s="7">
        <v>48</v>
      </c>
      <c r="T253" s="7">
        <v>49</v>
      </c>
      <c r="U253" s="7">
        <v>50</v>
      </c>
      <c r="V253" s="7">
        <v>51</v>
      </c>
      <c r="W253" s="7">
        <v>52</v>
      </c>
      <c r="X253" s="7">
        <v>53</v>
      </c>
      <c r="Y253" s="7">
        <v>54</v>
      </c>
      <c r="Z253" s="7">
        <v>55</v>
      </c>
      <c r="AA253" s="7">
        <v>56</v>
      </c>
      <c r="AB253" s="7">
        <v>57</v>
      </c>
      <c r="AC253" s="7">
        <v>58</v>
      </c>
      <c r="AD253" s="7">
        <v>59</v>
      </c>
      <c r="AE253" s="7">
        <v>60</v>
      </c>
      <c r="AF253" s="7">
        <v>61</v>
      </c>
      <c r="AG253" s="7">
        <v>62</v>
      </c>
      <c r="AH253" s="7">
        <v>63</v>
      </c>
      <c r="AI253" s="6"/>
    </row>
    <row r="254" spans="1:35" ht="15.75" thickBot="1" x14ac:dyDescent="0.3">
      <c r="A254" s="3"/>
      <c r="B254" s="5"/>
      <c r="C254" s="147" t="s">
        <v>13</v>
      </c>
      <c r="D254" s="148" t="s">
        <v>14</v>
      </c>
      <c r="E254" s="148" t="s">
        <v>15</v>
      </c>
      <c r="F254" s="148" t="s">
        <v>16</v>
      </c>
      <c r="G254" s="148" t="s">
        <v>17</v>
      </c>
      <c r="H254" s="148" t="s">
        <v>18</v>
      </c>
      <c r="I254" s="148" t="s">
        <v>19</v>
      </c>
      <c r="J254" s="148" t="s">
        <v>20</v>
      </c>
      <c r="K254" s="148" t="s">
        <v>21</v>
      </c>
      <c r="L254" s="148" t="s">
        <v>22</v>
      </c>
      <c r="M254" s="148" t="s">
        <v>23</v>
      </c>
      <c r="N254" s="148" t="s">
        <v>24</v>
      </c>
      <c r="O254" s="148" t="s">
        <v>25</v>
      </c>
      <c r="P254" s="148" t="s">
        <v>26</v>
      </c>
      <c r="Q254" s="148" t="s">
        <v>27</v>
      </c>
      <c r="R254" s="342" t="s">
        <v>30</v>
      </c>
      <c r="S254" s="343"/>
      <c r="T254" s="343"/>
      <c r="U254" s="343"/>
      <c r="V254" s="343"/>
      <c r="W254" s="343"/>
      <c r="X254" s="343"/>
      <c r="Y254" s="343"/>
      <c r="Z254" s="343"/>
      <c r="AA254" s="343"/>
      <c r="AB254" s="343"/>
      <c r="AC254" s="343"/>
      <c r="AD254" s="343"/>
      <c r="AE254" s="343"/>
      <c r="AF254" s="344"/>
      <c r="AG254" s="67" t="s">
        <v>28</v>
      </c>
      <c r="AH254" s="149" t="s">
        <v>29</v>
      </c>
      <c r="AI254" s="6"/>
    </row>
    <row r="255" spans="1:35" ht="15.75" thickBot="1" x14ac:dyDescent="0.3">
      <c r="A255" s="3"/>
      <c r="B255" s="5"/>
      <c r="C255" s="150">
        <v>0</v>
      </c>
      <c r="D255" s="151">
        <v>0</v>
      </c>
      <c r="E255" s="151">
        <v>0</v>
      </c>
      <c r="F255" s="151">
        <v>0</v>
      </c>
      <c r="G255" s="151">
        <v>0</v>
      </c>
      <c r="H255" s="151">
        <v>0</v>
      </c>
      <c r="I255" s="151">
        <v>0</v>
      </c>
      <c r="J255" s="151">
        <v>0</v>
      </c>
      <c r="K255" s="151">
        <v>0</v>
      </c>
      <c r="L255" s="151">
        <v>0</v>
      </c>
      <c r="M255" s="151">
        <v>0</v>
      </c>
      <c r="N255" s="151">
        <v>0</v>
      </c>
      <c r="O255" s="151">
        <v>1</v>
      </c>
      <c r="P255" s="151">
        <v>0</v>
      </c>
      <c r="Q255" s="151">
        <v>0</v>
      </c>
      <c r="R255" s="151">
        <v>0</v>
      </c>
      <c r="S255" s="151">
        <v>0</v>
      </c>
      <c r="T255" s="151">
        <v>0</v>
      </c>
      <c r="U255" s="151">
        <v>0</v>
      </c>
      <c r="V255" s="151">
        <v>0</v>
      </c>
      <c r="W255" s="151">
        <v>0</v>
      </c>
      <c r="X255" s="151">
        <v>0</v>
      </c>
      <c r="Y255" s="151">
        <v>0</v>
      </c>
      <c r="Z255" s="151">
        <v>1</v>
      </c>
      <c r="AA255" s="151">
        <v>0</v>
      </c>
      <c r="AB255" s="151">
        <v>0</v>
      </c>
      <c r="AC255" s="151">
        <v>0</v>
      </c>
      <c r="AD255" s="151">
        <v>0</v>
      </c>
      <c r="AE255" s="151">
        <v>0</v>
      </c>
      <c r="AF255" s="151">
        <v>0</v>
      </c>
      <c r="AG255" s="151">
        <v>0</v>
      </c>
      <c r="AH255" s="152">
        <v>0</v>
      </c>
      <c r="AI255" s="6"/>
    </row>
    <row r="256" spans="1:35" x14ac:dyDescent="0.25">
      <c r="A256" s="3"/>
      <c r="B256" s="4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6"/>
    </row>
    <row r="257" spans="1:35" x14ac:dyDescent="0.25">
      <c r="A257" s="3"/>
      <c r="B257" s="8" t="s">
        <v>43</v>
      </c>
      <c r="C257" s="9"/>
      <c r="D257" s="9"/>
      <c r="E257" s="9"/>
      <c r="F257" s="44" t="s">
        <v>44</v>
      </c>
      <c r="G257" s="44"/>
      <c r="H257" s="44"/>
      <c r="I257" s="9"/>
      <c r="J257" s="45" t="s">
        <v>45</v>
      </c>
      <c r="K257" s="45"/>
      <c r="L257" s="45"/>
      <c r="M257" s="45"/>
      <c r="N257" s="9"/>
      <c r="O257" s="46" t="s">
        <v>46</v>
      </c>
      <c r="P257" s="46"/>
      <c r="Q257" s="46"/>
      <c r="R257" s="46"/>
      <c r="S257" s="9"/>
      <c r="T257" s="1" t="s">
        <v>49</v>
      </c>
      <c r="U257" s="10" t="s">
        <v>48</v>
      </c>
      <c r="V257" s="5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6"/>
    </row>
    <row r="258" spans="1:35" ht="15" customHeight="1" x14ac:dyDescent="0.25">
      <c r="A258" s="3"/>
      <c r="B258" s="42" t="str">
        <f>"0x"&amp;DEC2HEX(Sheet3!$I$4,8)</f>
        <v>0x00400320</v>
      </c>
      <c r="C258" s="42"/>
      <c r="D258" s="42"/>
      <c r="E258" s="12"/>
      <c r="F258" s="319" t="str">
        <f>"0x"&amp;BIN2HEX(CONCATENATE(C251,D251,E251,F251,G251,H251,I251,J251),2)&amp;BIN2HEX(CONCATENATE(K251,L251,M251,N251,O251,P251,Q251,R251),2)&amp;BIN2HEX(CONCATENATE(S251,T251,U251,V251,W251,X251,Y251,Z251),2)&amp;BIN2HEX(CONCATENATE(AA251,AB251,AC251,AD251,AE251,AF251,AG251,AH251),2)</f>
        <v>0x00000000</v>
      </c>
      <c r="G258" s="319"/>
      <c r="H258" s="319"/>
      <c r="I258" s="12"/>
      <c r="J258" s="319" t="str">
        <f>"0b"&amp;C255&amp;D255&amp;E255&amp;F255&amp;G255&amp;H255&amp;I255&amp;J255&amp;K255&amp;L255&amp;M255&amp;N255&amp;O255&amp;P255&amp;Q255</f>
        <v>0b000000000000100</v>
      </c>
      <c r="K258" s="319"/>
      <c r="L258" s="319"/>
      <c r="M258" s="319"/>
      <c r="N258" s="12"/>
      <c r="O258" s="319" t="str">
        <f>"0b"&amp;DEC2BIN(((AF255+AE255*2+AD255*4+AC255*8+AB255*16+AA255*32+Z255*64+Y255*128+X255*256+W255*512+V255*1024+U255*2048+T255*4096+S255*2^13+R255*2^14)/512),6)&amp;DEC2BIN(MOD((AF255+AE255*2+AD255*4+AC255*8+AB255*16+AA255*32+Z255*64+Y255*128+X255*256+W255*512+V255*1024+U255*2048+T255*4096+S255*2^13+R255*2^14),512),9)</f>
        <v>0b000000001000000</v>
      </c>
      <c r="P258" s="319"/>
      <c r="Q258" s="319"/>
      <c r="R258" s="319"/>
      <c r="S258" s="12"/>
      <c r="T258" s="13">
        <v>0</v>
      </c>
      <c r="U258" s="13">
        <f>AH255</f>
        <v>0</v>
      </c>
      <c r="V258" s="5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6"/>
    </row>
    <row r="259" spans="1:35" x14ac:dyDescent="0.25">
      <c r="A259" s="3"/>
      <c r="B259" s="42"/>
      <c r="C259" s="42"/>
      <c r="D259" s="42"/>
      <c r="E259" s="15"/>
      <c r="F259" s="43"/>
      <c r="G259" s="43"/>
      <c r="H259" s="43"/>
      <c r="I259" s="15"/>
      <c r="J259" s="42"/>
      <c r="K259" s="42"/>
      <c r="L259" s="42"/>
      <c r="M259" s="42"/>
      <c r="N259" s="15"/>
      <c r="O259" s="42"/>
      <c r="P259" s="42"/>
      <c r="Q259" s="42"/>
      <c r="R259" s="42"/>
      <c r="S259" s="15"/>
      <c r="T259" s="13"/>
      <c r="U259" s="15"/>
      <c r="V259" s="5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6"/>
    </row>
    <row r="260" spans="1:35" x14ac:dyDescent="0.25">
      <c r="A260" s="3"/>
      <c r="B260" s="42"/>
      <c r="C260" s="42"/>
      <c r="D260" s="42"/>
      <c r="E260" s="15"/>
      <c r="F260" s="43"/>
      <c r="G260" s="43"/>
      <c r="H260" s="43"/>
      <c r="I260" s="15"/>
      <c r="J260" s="42"/>
      <c r="K260" s="42"/>
      <c r="L260" s="42"/>
      <c r="M260" s="42"/>
      <c r="N260" s="15"/>
      <c r="O260" s="42"/>
      <c r="P260" s="42"/>
      <c r="Q260" s="42"/>
      <c r="R260" s="42"/>
      <c r="S260" s="15"/>
      <c r="T260" s="13"/>
      <c r="U260" s="15"/>
      <c r="V260" s="5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6"/>
    </row>
    <row r="261" spans="1:35" x14ac:dyDescent="0.25">
      <c r="A261" s="3"/>
      <c r="B261" s="5"/>
      <c r="C261" s="5"/>
      <c r="D261" s="5"/>
      <c r="E261" s="5"/>
      <c r="F261" s="17"/>
      <c r="G261" s="17"/>
      <c r="H261" s="17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6"/>
    </row>
    <row r="262" spans="1:35" x14ac:dyDescent="0.25">
      <c r="A262" s="3"/>
      <c r="B262" s="5" t="s">
        <v>47</v>
      </c>
      <c r="C262" s="18"/>
      <c r="D262" s="18"/>
      <c r="E262" s="18"/>
      <c r="F262" s="5"/>
      <c r="G262" s="5"/>
      <c r="H262" s="5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6"/>
    </row>
    <row r="263" spans="1:35" ht="15" customHeight="1" x14ac:dyDescent="0.25">
      <c r="A263" s="3"/>
      <c r="B263" s="42" t="str">
        <f>"0x"&amp;DEC2HEX(Sheet3!$I$4,8)</f>
        <v>0x00400320</v>
      </c>
      <c r="C263" s="42"/>
      <c r="D263" s="42"/>
      <c r="E263" s="16"/>
      <c r="F263" s="322" t="str">
        <f>F258&amp;BIN2HEX(MID(J258,3,8),2)&amp;BIN2HEX(RIGHT(J258,7)&amp;MID(O258,3,1),2)&amp;BIN2HEX(MID(O258,4,8),2)&amp;BIN2HEX(RIGHT(O258,6)&amp;T258&amp;U258,2)</f>
        <v>0x0000000000080100</v>
      </c>
      <c r="G263" s="322"/>
      <c r="H263" s="322"/>
      <c r="I263" s="322"/>
      <c r="J263" s="5"/>
      <c r="K263" s="5"/>
      <c r="L263" s="5"/>
      <c r="M263" s="5"/>
      <c r="N263" s="5"/>
      <c r="O263" s="5"/>
      <c r="P263" s="16"/>
      <c r="Q263" s="16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5"/>
      <c r="AH263" s="5"/>
      <c r="AI263" s="6"/>
    </row>
    <row r="264" spans="1:35" x14ac:dyDescent="0.25">
      <c r="A264" s="3"/>
      <c r="B264" s="37"/>
      <c r="C264" s="37"/>
      <c r="D264" s="37"/>
      <c r="E264" s="5"/>
      <c r="F264" s="38"/>
      <c r="G264" s="38"/>
      <c r="H264" s="38"/>
      <c r="I264" s="38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6"/>
    </row>
    <row r="265" spans="1:35" x14ac:dyDescent="0.25">
      <c r="A265" s="3"/>
      <c r="B265" s="37"/>
      <c r="C265" s="37"/>
      <c r="D265" s="37"/>
      <c r="E265" s="5"/>
      <c r="F265" s="38"/>
      <c r="G265" s="38"/>
      <c r="H265" s="38"/>
      <c r="I265" s="38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6"/>
    </row>
    <row r="266" spans="1:35" x14ac:dyDescent="0.25">
      <c r="A266" s="20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2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3"/>
    </row>
    <row r="267" spans="1:35" x14ac:dyDescent="0.25">
      <c r="A267" s="24"/>
      <c r="B267" s="28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6"/>
    </row>
    <row r="268" spans="1:35" x14ac:dyDescent="0.25">
      <c r="A268" s="3"/>
      <c r="B268" s="4" t="s">
        <v>140</v>
      </c>
      <c r="C268" s="5"/>
      <c r="D268" s="5"/>
      <c r="E268" s="5"/>
      <c r="F268" s="5"/>
      <c r="G268" s="5"/>
      <c r="H268" s="5"/>
      <c r="I268" s="5" t="str">
        <f>"0x"&amp;BIN2HEX(CONCATENATE(C273,D273,E273,F273,G273,H273,I273,J273),2)&amp;BIN2HEX(CONCATENATE(K273,L273,M273,N273,O273,P273,Q273,R273),2)&amp;BIN2HEX(CONCATENATE(S273,T273,U273,V273,W273,X273,Y273,Z273),2)&amp;BIN2HEX(CONCATENATE(AA273,AB273,AC273,AD273,AE273,AF273,AG273,AH273),2)&amp;"_"&amp;BIN2HEX(CONCATENATE(C277,D277,E277,F277,G277,H277,I277,J277),2)&amp;BIN2HEX(CONCATENATE(K277,L277,M277,N277,O277,P277,Q277,R277),2)&amp;BIN2HEX(CONCATENATE(S277,T277,U277,V277,W277,X277,Y277,Z277),2)&amp;BIN2HEX(CONCATENATE(AA277,AB277,AC277,AD277,AE277,AF277,AG277,AH277),2)</f>
        <v>0x00000000_00080104</v>
      </c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6"/>
    </row>
    <row r="269" spans="1:35" ht="15.75" thickBot="1" x14ac:dyDescent="0.3">
      <c r="A269" s="3"/>
      <c r="B269" s="5"/>
      <c r="C269" s="7">
        <v>0</v>
      </c>
      <c r="D269" s="7">
        <v>1</v>
      </c>
      <c r="E269" s="7">
        <v>2</v>
      </c>
      <c r="F269" s="7">
        <v>3</v>
      </c>
      <c r="G269" s="7">
        <v>4</v>
      </c>
      <c r="H269" s="7">
        <v>5</v>
      </c>
      <c r="I269" s="7">
        <v>6</v>
      </c>
      <c r="J269" s="7">
        <v>7</v>
      </c>
      <c r="K269" s="7">
        <v>8</v>
      </c>
      <c r="L269" s="7">
        <v>9</v>
      </c>
      <c r="M269" s="7">
        <v>10</v>
      </c>
      <c r="N269" s="7">
        <v>11</v>
      </c>
      <c r="O269" s="7">
        <v>12</v>
      </c>
      <c r="P269" s="7">
        <v>13</v>
      </c>
      <c r="Q269" s="7">
        <v>14</v>
      </c>
      <c r="R269" s="7">
        <v>15</v>
      </c>
      <c r="S269" s="7">
        <v>16</v>
      </c>
      <c r="T269" s="7">
        <v>17</v>
      </c>
      <c r="U269" s="7">
        <v>18</v>
      </c>
      <c r="V269" s="7">
        <v>19</v>
      </c>
      <c r="W269" s="7">
        <v>20</v>
      </c>
      <c r="X269" s="7">
        <v>21</v>
      </c>
      <c r="Y269" s="7">
        <v>22</v>
      </c>
      <c r="Z269" s="7">
        <v>23</v>
      </c>
      <c r="AA269" s="7">
        <v>24</v>
      </c>
      <c r="AB269" s="7">
        <v>25</v>
      </c>
      <c r="AC269" s="7">
        <v>26</v>
      </c>
      <c r="AD269" s="7">
        <v>27</v>
      </c>
      <c r="AE269" s="7">
        <v>28</v>
      </c>
      <c r="AF269" s="7">
        <v>29</v>
      </c>
      <c r="AG269" s="7">
        <v>30</v>
      </c>
      <c r="AH269" s="7">
        <v>31</v>
      </c>
      <c r="AI269" s="6"/>
    </row>
    <row r="270" spans="1:35" ht="15" customHeight="1" x14ac:dyDescent="0.25">
      <c r="A270" s="3"/>
      <c r="B270" s="5" t="s">
        <v>31</v>
      </c>
      <c r="C270" s="349">
        <v>0</v>
      </c>
      <c r="D270" s="337"/>
      <c r="E270" s="337"/>
      <c r="F270" s="337"/>
      <c r="G270" s="337"/>
      <c r="H270" s="350"/>
      <c r="I270" s="330" t="s">
        <v>141</v>
      </c>
      <c r="J270" s="331"/>
      <c r="K270" s="331"/>
      <c r="L270" s="331"/>
      <c r="M270" s="331"/>
      <c r="N270" s="331"/>
      <c r="O270" s="331"/>
      <c r="P270" s="331"/>
      <c r="Q270" s="331"/>
      <c r="R270" s="331"/>
      <c r="S270" s="331"/>
      <c r="T270" s="331"/>
      <c r="U270" s="331"/>
      <c r="V270" s="331"/>
      <c r="W270" s="331"/>
      <c r="X270" s="331"/>
      <c r="Y270" s="331"/>
      <c r="Z270" s="331"/>
      <c r="AA270" s="331"/>
      <c r="AB270" s="331"/>
      <c r="AC270" s="331"/>
      <c r="AD270" s="331"/>
      <c r="AE270" s="331"/>
      <c r="AF270" s="331"/>
      <c r="AG270" s="331"/>
      <c r="AH270" s="355"/>
      <c r="AI270" s="6"/>
    </row>
    <row r="271" spans="1:35" x14ac:dyDescent="0.25">
      <c r="A271" s="3"/>
      <c r="B271" s="5" t="s">
        <v>32</v>
      </c>
      <c r="C271" s="358"/>
      <c r="D271" s="340"/>
      <c r="E271" s="340"/>
      <c r="F271" s="340"/>
      <c r="G271" s="340"/>
      <c r="H271" s="359"/>
      <c r="I271" s="333"/>
      <c r="J271" s="334"/>
      <c r="K271" s="334"/>
      <c r="L271" s="334"/>
      <c r="M271" s="334"/>
      <c r="N271" s="334"/>
      <c r="O271" s="334"/>
      <c r="P271" s="334"/>
      <c r="Q271" s="334"/>
      <c r="R271" s="334"/>
      <c r="S271" s="334"/>
      <c r="T271" s="334"/>
      <c r="U271" s="334"/>
      <c r="V271" s="334"/>
      <c r="W271" s="334"/>
      <c r="X271" s="334"/>
      <c r="Y271" s="334"/>
      <c r="Z271" s="334"/>
      <c r="AA271" s="334"/>
      <c r="AB271" s="334"/>
      <c r="AC271" s="334"/>
      <c r="AD271" s="334"/>
      <c r="AE271" s="334"/>
      <c r="AF271" s="334"/>
      <c r="AG271" s="334"/>
      <c r="AH271" s="357"/>
      <c r="AI271" s="6"/>
    </row>
    <row r="272" spans="1:35" x14ac:dyDescent="0.25">
      <c r="A272" s="3"/>
      <c r="B272" s="5" t="s">
        <v>11</v>
      </c>
      <c r="C272" s="56">
        <v>0</v>
      </c>
      <c r="D272" s="57">
        <v>0</v>
      </c>
      <c r="E272" s="57">
        <v>0</v>
      </c>
      <c r="F272" s="57">
        <v>0</v>
      </c>
      <c r="G272" s="57">
        <v>0</v>
      </c>
      <c r="H272" s="57">
        <v>0</v>
      </c>
      <c r="I272" s="57">
        <v>0</v>
      </c>
      <c r="J272" s="57">
        <v>0</v>
      </c>
      <c r="K272" s="57">
        <v>0</v>
      </c>
      <c r="L272" s="57">
        <v>0</v>
      </c>
      <c r="M272" s="57">
        <v>0</v>
      </c>
      <c r="N272" s="57">
        <v>0</v>
      </c>
      <c r="O272" s="57">
        <v>0</v>
      </c>
      <c r="P272" s="57">
        <v>0</v>
      </c>
      <c r="Q272" s="57">
        <v>0</v>
      </c>
      <c r="R272" s="57">
        <v>0</v>
      </c>
      <c r="S272" s="57">
        <v>0</v>
      </c>
      <c r="T272" s="57">
        <v>0</v>
      </c>
      <c r="U272" s="57">
        <v>0</v>
      </c>
      <c r="V272" s="57">
        <v>0</v>
      </c>
      <c r="W272" s="57">
        <v>0</v>
      </c>
      <c r="X272" s="57">
        <v>0</v>
      </c>
      <c r="Y272" s="57">
        <v>0</v>
      </c>
      <c r="Z272" s="57">
        <v>0</v>
      </c>
      <c r="AA272" s="57">
        <v>0</v>
      </c>
      <c r="AB272" s="57">
        <v>0</v>
      </c>
      <c r="AC272" s="57">
        <v>0</v>
      </c>
      <c r="AD272" s="57">
        <v>0</v>
      </c>
      <c r="AE272" s="57">
        <v>0</v>
      </c>
      <c r="AF272" s="57">
        <v>0</v>
      </c>
      <c r="AG272" s="57">
        <v>0</v>
      </c>
      <c r="AH272" s="58">
        <v>0</v>
      </c>
      <c r="AI272" s="6"/>
    </row>
    <row r="273" spans="1:35" ht="15.75" thickBot="1" x14ac:dyDescent="0.3">
      <c r="A273" s="3"/>
      <c r="B273" s="5" t="s">
        <v>12</v>
      </c>
      <c r="C273" s="61">
        <v>0</v>
      </c>
      <c r="D273" s="62">
        <v>0</v>
      </c>
      <c r="E273" s="62">
        <v>0</v>
      </c>
      <c r="F273" s="62">
        <v>0</v>
      </c>
      <c r="G273" s="62">
        <v>0</v>
      </c>
      <c r="H273" s="62">
        <v>0</v>
      </c>
      <c r="I273" s="88">
        <v>0</v>
      </c>
      <c r="J273" s="88">
        <v>0</v>
      </c>
      <c r="K273" s="88">
        <v>0</v>
      </c>
      <c r="L273" s="88">
        <v>0</v>
      </c>
      <c r="M273" s="88">
        <v>0</v>
      </c>
      <c r="N273" s="88">
        <v>0</v>
      </c>
      <c r="O273" s="88">
        <v>0</v>
      </c>
      <c r="P273" s="88">
        <v>0</v>
      </c>
      <c r="Q273" s="88">
        <v>0</v>
      </c>
      <c r="R273" s="88">
        <v>0</v>
      </c>
      <c r="S273" s="88">
        <v>0</v>
      </c>
      <c r="T273" s="88">
        <v>0</v>
      </c>
      <c r="U273" s="88">
        <v>0</v>
      </c>
      <c r="V273" s="88">
        <v>0</v>
      </c>
      <c r="W273" s="88">
        <v>0</v>
      </c>
      <c r="X273" s="88">
        <v>0</v>
      </c>
      <c r="Y273" s="88">
        <v>0</v>
      </c>
      <c r="Z273" s="88">
        <v>0</v>
      </c>
      <c r="AA273" s="88">
        <v>0</v>
      </c>
      <c r="AB273" s="88">
        <v>0</v>
      </c>
      <c r="AC273" s="88">
        <v>0</v>
      </c>
      <c r="AD273" s="88">
        <v>0</v>
      </c>
      <c r="AE273" s="88">
        <v>0</v>
      </c>
      <c r="AF273" s="88">
        <v>0</v>
      </c>
      <c r="AG273" s="88">
        <v>0</v>
      </c>
      <c r="AH273" s="89">
        <v>0</v>
      </c>
      <c r="AI273" s="6"/>
    </row>
    <row r="274" spans="1:35" x14ac:dyDescent="0.25">
      <c r="A274" s="3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6"/>
    </row>
    <row r="275" spans="1:35" ht="15.75" thickBot="1" x14ac:dyDescent="0.3">
      <c r="A275" s="3"/>
      <c r="B275" s="5"/>
      <c r="C275" s="7">
        <v>32</v>
      </c>
      <c r="D275" s="7">
        <v>33</v>
      </c>
      <c r="E275" s="7">
        <v>34</v>
      </c>
      <c r="F275" s="7">
        <v>35</v>
      </c>
      <c r="G275" s="7">
        <v>36</v>
      </c>
      <c r="H275" s="7">
        <v>37</v>
      </c>
      <c r="I275" s="7">
        <v>38</v>
      </c>
      <c r="J275" s="7">
        <v>39</v>
      </c>
      <c r="K275" s="7">
        <v>40</v>
      </c>
      <c r="L275" s="7">
        <v>41</v>
      </c>
      <c r="M275" s="7">
        <v>42</v>
      </c>
      <c r="N275" s="7">
        <v>43</v>
      </c>
      <c r="O275" s="7">
        <v>44</v>
      </c>
      <c r="P275" s="7">
        <v>45</v>
      </c>
      <c r="Q275" s="7">
        <v>46</v>
      </c>
      <c r="R275" s="7">
        <v>47</v>
      </c>
      <c r="S275" s="7">
        <v>48</v>
      </c>
      <c r="T275" s="7">
        <v>49</v>
      </c>
      <c r="U275" s="7">
        <v>50</v>
      </c>
      <c r="V275" s="7">
        <v>51</v>
      </c>
      <c r="W275" s="7">
        <v>52</v>
      </c>
      <c r="X275" s="7">
        <v>53</v>
      </c>
      <c r="Y275" s="7">
        <v>54</v>
      </c>
      <c r="Z275" s="7">
        <v>55</v>
      </c>
      <c r="AA275" s="7">
        <v>56</v>
      </c>
      <c r="AB275" s="7">
        <v>57</v>
      </c>
      <c r="AC275" s="7">
        <v>58</v>
      </c>
      <c r="AD275" s="7">
        <v>59</v>
      </c>
      <c r="AE275" s="7">
        <v>60</v>
      </c>
      <c r="AF275" s="7">
        <v>61</v>
      </c>
      <c r="AG275" s="7">
        <v>62</v>
      </c>
      <c r="AH275" s="7">
        <v>63</v>
      </c>
      <c r="AI275" s="6"/>
    </row>
    <row r="276" spans="1:35" ht="15.75" thickBot="1" x14ac:dyDescent="0.3">
      <c r="A276" s="3"/>
      <c r="B276" s="5"/>
      <c r="C276" s="147" t="s">
        <v>13</v>
      </c>
      <c r="D276" s="148" t="s">
        <v>14</v>
      </c>
      <c r="E276" s="148" t="s">
        <v>15</v>
      </c>
      <c r="F276" s="148" t="s">
        <v>16</v>
      </c>
      <c r="G276" s="148" t="s">
        <v>17</v>
      </c>
      <c r="H276" s="148" t="s">
        <v>18</v>
      </c>
      <c r="I276" s="148" t="s">
        <v>19</v>
      </c>
      <c r="J276" s="148" t="s">
        <v>20</v>
      </c>
      <c r="K276" s="148" t="s">
        <v>21</v>
      </c>
      <c r="L276" s="148" t="s">
        <v>22</v>
      </c>
      <c r="M276" s="148" t="s">
        <v>23</v>
      </c>
      <c r="N276" s="148" t="s">
        <v>24</v>
      </c>
      <c r="O276" s="148" t="s">
        <v>25</v>
      </c>
      <c r="P276" s="148" t="s">
        <v>26</v>
      </c>
      <c r="Q276" s="148" t="s">
        <v>27</v>
      </c>
      <c r="R276" s="342" t="s">
        <v>30</v>
      </c>
      <c r="S276" s="343"/>
      <c r="T276" s="343"/>
      <c r="U276" s="343"/>
      <c r="V276" s="343"/>
      <c r="W276" s="343"/>
      <c r="X276" s="343"/>
      <c r="Y276" s="343"/>
      <c r="Z276" s="343"/>
      <c r="AA276" s="343"/>
      <c r="AB276" s="343"/>
      <c r="AC276" s="343"/>
      <c r="AD276" s="343"/>
      <c r="AE276" s="343"/>
      <c r="AF276" s="344"/>
      <c r="AG276" s="67" t="s">
        <v>28</v>
      </c>
      <c r="AH276" s="149" t="s">
        <v>29</v>
      </c>
      <c r="AI276" s="6"/>
    </row>
    <row r="277" spans="1:35" ht="15.75" thickBot="1" x14ac:dyDescent="0.3">
      <c r="A277" s="3"/>
      <c r="B277" s="5"/>
      <c r="C277" s="150">
        <v>0</v>
      </c>
      <c r="D277" s="151">
        <v>0</v>
      </c>
      <c r="E277" s="151">
        <v>0</v>
      </c>
      <c r="F277" s="151">
        <v>0</v>
      </c>
      <c r="G277" s="151">
        <v>0</v>
      </c>
      <c r="H277" s="151">
        <v>0</v>
      </c>
      <c r="I277" s="151">
        <v>0</v>
      </c>
      <c r="J277" s="151">
        <v>0</v>
      </c>
      <c r="K277" s="151">
        <v>0</v>
      </c>
      <c r="L277" s="151">
        <v>0</v>
      </c>
      <c r="M277" s="151">
        <v>0</v>
      </c>
      <c r="N277" s="151">
        <v>0</v>
      </c>
      <c r="O277" s="151">
        <v>1</v>
      </c>
      <c r="P277" s="151">
        <v>0</v>
      </c>
      <c r="Q277" s="151">
        <v>0</v>
      </c>
      <c r="R277" s="151">
        <v>0</v>
      </c>
      <c r="S277" s="151">
        <v>0</v>
      </c>
      <c r="T277" s="151">
        <v>0</v>
      </c>
      <c r="U277" s="151">
        <v>0</v>
      </c>
      <c r="V277" s="151">
        <v>0</v>
      </c>
      <c r="W277" s="151">
        <v>0</v>
      </c>
      <c r="X277" s="151">
        <v>0</v>
      </c>
      <c r="Y277" s="151">
        <v>0</v>
      </c>
      <c r="Z277" s="151">
        <v>1</v>
      </c>
      <c r="AA277" s="151">
        <v>0</v>
      </c>
      <c r="AB277" s="151">
        <v>0</v>
      </c>
      <c r="AC277" s="151">
        <v>0</v>
      </c>
      <c r="AD277" s="151">
        <v>0</v>
      </c>
      <c r="AE277" s="151">
        <v>0</v>
      </c>
      <c r="AF277" s="151">
        <v>1</v>
      </c>
      <c r="AG277" s="151">
        <v>0</v>
      </c>
      <c r="AH277" s="152">
        <v>0</v>
      </c>
      <c r="AI277" s="6"/>
    </row>
    <row r="278" spans="1:35" x14ac:dyDescent="0.25">
      <c r="A278" s="3"/>
      <c r="B278" s="4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6"/>
    </row>
    <row r="279" spans="1:35" x14ac:dyDescent="0.25">
      <c r="A279" s="3"/>
      <c r="B279" s="8" t="s">
        <v>43</v>
      </c>
      <c r="C279" s="9"/>
      <c r="D279" s="9"/>
      <c r="E279" s="9"/>
      <c r="F279" s="44" t="s">
        <v>44</v>
      </c>
      <c r="G279" s="44"/>
      <c r="H279" s="44"/>
      <c r="I279" s="9"/>
      <c r="J279" s="45" t="s">
        <v>45</v>
      </c>
      <c r="K279" s="45"/>
      <c r="L279" s="45"/>
      <c r="M279" s="45"/>
      <c r="N279" s="9"/>
      <c r="O279" s="46" t="s">
        <v>46</v>
      </c>
      <c r="P279" s="46"/>
      <c r="Q279" s="46"/>
      <c r="R279" s="46"/>
      <c r="S279" s="9"/>
      <c r="T279" s="1" t="s">
        <v>49</v>
      </c>
      <c r="U279" s="10" t="s">
        <v>48</v>
      </c>
      <c r="V279" s="5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6"/>
    </row>
    <row r="280" spans="1:35" ht="15" customHeight="1" x14ac:dyDescent="0.25">
      <c r="A280" s="3"/>
      <c r="B280" s="42" t="str">
        <f>"0x"&amp;DEC2HEX(Sheet3!$I$4,8)</f>
        <v>0x00400320</v>
      </c>
      <c r="C280" s="42"/>
      <c r="D280" s="42"/>
      <c r="E280" s="12"/>
      <c r="F280" s="319" t="str">
        <f>"0x"&amp;BIN2HEX(CONCATENATE(C273,D273,E273,F273,G273,H273,I273,J273),2)&amp;BIN2HEX(CONCATENATE(K273,L273,M273,N273,O273,P273,Q273,R273),2)&amp;BIN2HEX(CONCATENATE(S273,T273,U273,V273,W273,X273,Y273,Z273),2)&amp;BIN2HEX(CONCATENATE(AA273,AB273,AC273,AD273,AE273,AF273,AG273,AH273),2)</f>
        <v>0x00000000</v>
      </c>
      <c r="G280" s="319"/>
      <c r="H280" s="319"/>
      <c r="I280" s="12"/>
      <c r="J280" s="319" t="str">
        <f>"0b"&amp;C277&amp;D277&amp;E277&amp;F277&amp;G277&amp;H277&amp;I277&amp;J277&amp;K277&amp;L277&amp;M277&amp;N277&amp;O277&amp;P277&amp;Q277</f>
        <v>0b000000000000100</v>
      </c>
      <c r="K280" s="319"/>
      <c r="L280" s="319"/>
      <c r="M280" s="319"/>
      <c r="N280" s="12"/>
      <c r="O280" s="319" t="str">
        <f>"0b"&amp;DEC2BIN(((AF277+AE277*2+AD277*4+AC277*8+AB277*16+AA277*32+Z277*64+Y277*128+X277*256+W277*512+V277*1024+U277*2048+T277*4096+S277*2^13+R277*2^14)/512),6)&amp;DEC2BIN(MOD((AF277+AE277*2+AD277*4+AC277*8+AB277*16+AA277*32+Z277*64+Y277*128+X277*256+W277*512+V277*1024+U277*2048+T277*4096+S277*2^13+R277*2^14),512),9)</f>
        <v>0b000000001000001</v>
      </c>
      <c r="P280" s="319"/>
      <c r="Q280" s="319"/>
      <c r="R280" s="319"/>
      <c r="S280" s="12"/>
      <c r="T280" s="13">
        <v>0</v>
      </c>
      <c r="U280" s="13">
        <f>AH277</f>
        <v>0</v>
      </c>
      <c r="V280" s="5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6"/>
    </row>
    <row r="281" spans="1:35" x14ac:dyDescent="0.25">
      <c r="A281" s="3"/>
      <c r="B281" s="42"/>
      <c r="C281" s="42"/>
      <c r="D281" s="42"/>
      <c r="E281" s="15"/>
      <c r="F281" s="43"/>
      <c r="G281" s="43"/>
      <c r="H281" s="43"/>
      <c r="I281" s="15"/>
      <c r="J281" s="42"/>
      <c r="K281" s="42"/>
      <c r="L281" s="42"/>
      <c r="M281" s="42"/>
      <c r="N281" s="15"/>
      <c r="O281" s="42"/>
      <c r="P281" s="42"/>
      <c r="Q281" s="42"/>
      <c r="R281" s="42"/>
      <c r="S281" s="15"/>
      <c r="T281" s="13"/>
      <c r="U281" s="15"/>
      <c r="V281" s="5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6"/>
    </row>
    <row r="282" spans="1:35" x14ac:dyDescent="0.25">
      <c r="A282" s="3"/>
      <c r="B282" s="42"/>
      <c r="C282" s="42"/>
      <c r="D282" s="42"/>
      <c r="E282" s="15"/>
      <c r="F282" s="43"/>
      <c r="G282" s="43"/>
      <c r="H282" s="43"/>
      <c r="I282" s="15"/>
      <c r="J282" s="42"/>
      <c r="K282" s="42"/>
      <c r="L282" s="42"/>
      <c r="M282" s="42"/>
      <c r="N282" s="15"/>
      <c r="O282" s="42"/>
      <c r="P282" s="42"/>
      <c r="Q282" s="42"/>
      <c r="R282" s="42"/>
      <c r="S282" s="15"/>
      <c r="T282" s="13"/>
      <c r="U282" s="15"/>
      <c r="V282" s="5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6"/>
    </row>
    <row r="283" spans="1:35" x14ac:dyDescent="0.25">
      <c r="A283" s="3"/>
      <c r="B283" s="5"/>
      <c r="C283" s="5"/>
      <c r="D283" s="5"/>
      <c r="E283" s="5"/>
      <c r="F283" s="17"/>
      <c r="G283" s="17"/>
      <c r="H283" s="17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6"/>
    </row>
    <row r="284" spans="1:35" x14ac:dyDescent="0.25">
      <c r="A284" s="3"/>
      <c r="B284" s="5" t="s">
        <v>47</v>
      </c>
      <c r="C284" s="18"/>
      <c r="D284" s="18"/>
      <c r="E284" s="18"/>
      <c r="F284" s="5"/>
      <c r="G284" s="5"/>
      <c r="H284" s="5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6"/>
    </row>
    <row r="285" spans="1:35" ht="15" customHeight="1" x14ac:dyDescent="0.25">
      <c r="A285" s="3"/>
      <c r="B285" s="42" t="str">
        <f>"0x"&amp;DEC2HEX(Sheet3!$I$4,8)</f>
        <v>0x00400320</v>
      </c>
      <c r="C285" s="42"/>
      <c r="D285" s="42"/>
      <c r="E285" s="16"/>
      <c r="F285" s="322" t="str">
        <f>F280&amp;BIN2HEX(MID(J280,3,8),2)&amp;BIN2HEX(RIGHT(J280,7)&amp;MID(O280,3,1),2)&amp;BIN2HEX(MID(O280,4,8),2)&amp;BIN2HEX(RIGHT(O280,6)&amp;T280&amp;U280,2)</f>
        <v>0x0000000000080104</v>
      </c>
      <c r="G285" s="322"/>
      <c r="H285" s="322"/>
      <c r="I285" s="322"/>
      <c r="J285" s="5"/>
      <c r="K285" s="5"/>
      <c r="L285" s="5"/>
      <c r="M285" s="5"/>
      <c r="N285" s="5"/>
      <c r="O285" s="5"/>
      <c r="P285" s="16"/>
      <c r="Q285" s="16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5"/>
      <c r="AH285" s="5"/>
      <c r="AI285" s="6"/>
    </row>
    <row r="286" spans="1:35" x14ac:dyDescent="0.25">
      <c r="A286" s="3"/>
      <c r="B286" s="37"/>
      <c r="C286" s="37"/>
      <c r="D286" s="37"/>
      <c r="E286" s="5"/>
      <c r="F286" s="38"/>
      <c r="G286" s="38"/>
      <c r="H286" s="38"/>
      <c r="I286" s="38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6"/>
    </row>
    <row r="287" spans="1:35" x14ac:dyDescent="0.25">
      <c r="A287" s="3"/>
      <c r="B287" s="37"/>
      <c r="C287" s="37"/>
      <c r="D287" s="37"/>
      <c r="E287" s="5"/>
      <c r="F287" s="38"/>
      <c r="G287" s="38"/>
      <c r="H287" s="38"/>
      <c r="I287" s="38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6"/>
    </row>
    <row r="288" spans="1:35" x14ac:dyDescent="0.25">
      <c r="A288" s="20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2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3"/>
    </row>
    <row r="289" spans="1:35" x14ac:dyDescent="0.25">
      <c r="A289" s="24"/>
      <c r="B289" s="28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6"/>
    </row>
    <row r="290" spans="1:35" x14ac:dyDescent="0.25">
      <c r="A290" s="3"/>
      <c r="B290" s="4" t="s">
        <v>142</v>
      </c>
      <c r="C290" s="5"/>
      <c r="D290" s="5"/>
      <c r="E290" s="5"/>
      <c r="F290" s="5"/>
      <c r="G290" s="5"/>
      <c r="H290" s="5"/>
      <c r="I290" s="5" t="str">
        <f>"0x"&amp;BIN2HEX(CONCATENATE(C295,D295,E295,F295,G295,H295,I295,J295),2)&amp;BIN2HEX(CONCATENATE(K295,L295,M295,N295,O295,P295,Q295,R295),2)&amp;BIN2HEX(CONCATENATE(S295,T295,U295,V295,W295,X295,Y295,Z295),2)&amp;BIN2HEX(CONCATENATE(AA295,AB295,AC295,AD295,AE295,AF295,AG295,AH295),2)&amp;"_"&amp;BIN2HEX(CONCATENATE(C299,D299,E299,F299,G299,H299,I299,J299),2)&amp;BIN2HEX(CONCATENATE(K299,L299,M299,N299,O299,P299,Q299,R299),2)&amp;BIN2HEX(CONCATENATE(S299,T299,U299,V299,W299,X299,Y299,Z299),2)&amp;BIN2HEX(CONCATENATE(AA299,AB299,AC299,AD299,AE299,AF299,AG299,AH299),2)</f>
        <v>0xFFFFFFFF_00080110</v>
      </c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6"/>
    </row>
    <row r="291" spans="1:35" ht="15.75" thickBot="1" x14ac:dyDescent="0.3">
      <c r="A291" s="3"/>
      <c r="B291" s="5"/>
      <c r="C291" s="7">
        <v>0</v>
      </c>
      <c r="D291" s="7">
        <v>1</v>
      </c>
      <c r="E291" s="7">
        <v>2</v>
      </c>
      <c r="F291" s="7">
        <v>3</v>
      </c>
      <c r="G291" s="7">
        <v>4</v>
      </c>
      <c r="H291" s="7">
        <v>5</v>
      </c>
      <c r="I291" s="7">
        <v>6</v>
      </c>
      <c r="J291" s="7">
        <v>7</v>
      </c>
      <c r="K291" s="7">
        <v>8</v>
      </c>
      <c r="L291" s="7">
        <v>9</v>
      </c>
      <c r="M291" s="7">
        <v>10</v>
      </c>
      <c r="N291" s="7">
        <v>11</v>
      </c>
      <c r="O291" s="7">
        <v>12</v>
      </c>
      <c r="P291" s="7">
        <v>13</v>
      </c>
      <c r="Q291" s="7">
        <v>14</v>
      </c>
      <c r="R291" s="7">
        <v>15</v>
      </c>
      <c r="S291" s="7">
        <v>16</v>
      </c>
      <c r="T291" s="7">
        <v>17</v>
      </c>
      <c r="U291" s="7">
        <v>18</v>
      </c>
      <c r="V291" s="7">
        <v>19</v>
      </c>
      <c r="W291" s="7">
        <v>20</v>
      </c>
      <c r="X291" s="7">
        <v>21</v>
      </c>
      <c r="Y291" s="7">
        <v>22</v>
      </c>
      <c r="Z291" s="7">
        <v>23</v>
      </c>
      <c r="AA291" s="7">
        <v>24</v>
      </c>
      <c r="AB291" s="7">
        <v>25</v>
      </c>
      <c r="AC291" s="7">
        <v>26</v>
      </c>
      <c r="AD291" s="7">
        <v>27</v>
      </c>
      <c r="AE291" s="7">
        <v>28</v>
      </c>
      <c r="AF291" s="7">
        <v>29</v>
      </c>
      <c r="AG291" s="7">
        <v>30</v>
      </c>
      <c r="AH291" s="7">
        <v>31</v>
      </c>
      <c r="AI291" s="6"/>
    </row>
    <row r="292" spans="1:35" ht="18" customHeight="1" x14ac:dyDescent="0.25">
      <c r="A292" s="3"/>
      <c r="B292" s="5" t="s">
        <v>31</v>
      </c>
      <c r="C292" s="354" t="s">
        <v>143</v>
      </c>
      <c r="D292" s="331"/>
      <c r="E292" s="331"/>
      <c r="F292" s="331"/>
      <c r="G292" s="331"/>
      <c r="H292" s="331"/>
      <c r="I292" s="331"/>
      <c r="J292" s="331"/>
      <c r="K292" s="331"/>
      <c r="L292" s="331"/>
      <c r="M292" s="331"/>
      <c r="N292" s="331"/>
      <c r="O292" s="331"/>
      <c r="P292" s="331"/>
      <c r="Q292" s="331"/>
      <c r="R292" s="331"/>
      <c r="S292" s="331"/>
      <c r="T292" s="331"/>
      <c r="U292" s="331"/>
      <c r="V292" s="331"/>
      <c r="W292" s="331"/>
      <c r="X292" s="331"/>
      <c r="Y292" s="331"/>
      <c r="Z292" s="331"/>
      <c r="AA292" s="331"/>
      <c r="AB292" s="331"/>
      <c r="AC292" s="331"/>
      <c r="AD292" s="331"/>
      <c r="AE292" s="331"/>
      <c r="AF292" s="331"/>
      <c r="AG292" s="331"/>
      <c r="AH292" s="355"/>
      <c r="AI292" s="6"/>
    </row>
    <row r="293" spans="1:35" x14ac:dyDescent="0.25">
      <c r="A293" s="3"/>
      <c r="B293" s="5" t="s">
        <v>32</v>
      </c>
      <c r="C293" s="356"/>
      <c r="D293" s="334"/>
      <c r="E293" s="334"/>
      <c r="F293" s="334"/>
      <c r="G293" s="334"/>
      <c r="H293" s="334"/>
      <c r="I293" s="334"/>
      <c r="J293" s="334"/>
      <c r="K293" s="334"/>
      <c r="L293" s="334"/>
      <c r="M293" s="334"/>
      <c r="N293" s="334"/>
      <c r="O293" s="334"/>
      <c r="P293" s="334"/>
      <c r="Q293" s="334"/>
      <c r="R293" s="334"/>
      <c r="S293" s="334"/>
      <c r="T293" s="334"/>
      <c r="U293" s="334"/>
      <c r="V293" s="334"/>
      <c r="W293" s="334"/>
      <c r="X293" s="334"/>
      <c r="Y293" s="334"/>
      <c r="Z293" s="334"/>
      <c r="AA293" s="334"/>
      <c r="AB293" s="334"/>
      <c r="AC293" s="334"/>
      <c r="AD293" s="334"/>
      <c r="AE293" s="334"/>
      <c r="AF293" s="334"/>
      <c r="AG293" s="334"/>
      <c r="AH293" s="357"/>
      <c r="AI293" s="6"/>
    </row>
    <row r="294" spans="1:35" x14ac:dyDescent="0.25">
      <c r="A294" s="3"/>
      <c r="B294" s="5" t="s">
        <v>11</v>
      </c>
      <c r="C294" s="56">
        <v>1</v>
      </c>
      <c r="D294" s="57">
        <v>1</v>
      </c>
      <c r="E294" s="57">
        <v>1</v>
      </c>
      <c r="F294" s="57">
        <v>1</v>
      </c>
      <c r="G294" s="57">
        <v>1</v>
      </c>
      <c r="H294" s="57">
        <v>1</v>
      </c>
      <c r="I294" s="57">
        <v>1</v>
      </c>
      <c r="J294" s="57">
        <v>1</v>
      </c>
      <c r="K294" s="57">
        <v>1</v>
      </c>
      <c r="L294" s="57">
        <v>1</v>
      </c>
      <c r="M294" s="57">
        <v>1</v>
      </c>
      <c r="N294" s="57">
        <v>1</v>
      </c>
      <c r="O294" s="57">
        <v>1</v>
      </c>
      <c r="P294" s="57">
        <v>1</v>
      </c>
      <c r="Q294" s="57">
        <v>1</v>
      </c>
      <c r="R294" s="57">
        <v>1</v>
      </c>
      <c r="S294" s="57">
        <v>1</v>
      </c>
      <c r="T294" s="57">
        <v>1</v>
      </c>
      <c r="U294" s="57">
        <v>1</v>
      </c>
      <c r="V294" s="57">
        <v>1</v>
      </c>
      <c r="W294" s="57">
        <v>1</v>
      </c>
      <c r="X294" s="57">
        <v>1</v>
      </c>
      <c r="Y294" s="57">
        <v>1</v>
      </c>
      <c r="Z294" s="57">
        <v>1</v>
      </c>
      <c r="AA294" s="57">
        <v>1</v>
      </c>
      <c r="AB294" s="57">
        <v>1</v>
      </c>
      <c r="AC294" s="57">
        <v>1</v>
      </c>
      <c r="AD294" s="57">
        <v>1</v>
      </c>
      <c r="AE294" s="57">
        <v>1</v>
      </c>
      <c r="AF294" s="57">
        <v>1</v>
      </c>
      <c r="AG294" s="57">
        <v>1</v>
      </c>
      <c r="AH294" s="58">
        <v>1</v>
      </c>
      <c r="AI294" s="6"/>
    </row>
    <row r="295" spans="1:35" ht="15.75" thickBot="1" x14ac:dyDescent="0.3">
      <c r="A295" s="3"/>
      <c r="B295" s="5" t="s">
        <v>12</v>
      </c>
      <c r="C295" s="145">
        <v>1</v>
      </c>
      <c r="D295" s="88">
        <v>1</v>
      </c>
      <c r="E295" s="88">
        <v>1</v>
      </c>
      <c r="F295" s="88">
        <v>1</v>
      </c>
      <c r="G295" s="88">
        <v>1</v>
      </c>
      <c r="H295" s="88">
        <v>1</v>
      </c>
      <c r="I295" s="88">
        <v>1</v>
      </c>
      <c r="J295" s="88">
        <v>1</v>
      </c>
      <c r="K295" s="88">
        <v>1</v>
      </c>
      <c r="L295" s="88">
        <v>1</v>
      </c>
      <c r="M295" s="88">
        <v>1</v>
      </c>
      <c r="N295" s="88">
        <v>1</v>
      </c>
      <c r="O295" s="88">
        <v>1</v>
      </c>
      <c r="P295" s="88">
        <v>1</v>
      </c>
      <c r="Q295" s="88">
        <v>1</v>
      </c>
      <c r="R295" s="88">
        <v>1</v>
      </c>
      <c r="S295" s="88">
        <v>1</v>
      </c>
      <c r="T295" s="88">
        <v>1</v>
      </c>
      <c r="U295" s="88">
        <v>1</v>
      </c>
      <c r="V295" s="88">
        <v>1</v>
      </c>
      <c r="W295" s="88">
        <v>1</v>
      </c>
      <c r="X295" s="88">
        <v>1</v>
      </c>
      <c r="Y295" s="88">
        <v>1</v>
      </c>
      <c r="Z295" s="88">
        <v>1</v>
      </c>
      <c r="AA295" s="88">
        <v>1</v>
      </c>
      <c r="AB295" s="88">
        <v>1</v>
      </c>
      <c r="AC295" s="88">
        <v>1</v>
      </c>
      <c r="AD295" s="88">
        <v>1</v>
      </c>
      <c r="AE295" s="88">
        <v>1</v>
      </c>
      <c r="AF295" s="88">
        <v>1</v>
      </c>
      <c r="AG295" s="88">
        <v>1</v>
      </c>
      <c r="AH295" s="89">
        <v>1</v>
      </c>
      <c r="AI295" s="6"/>
    </row>
    <row r="296" spans="1:35" x14ac:dyDescent="0.25">
      <c r="A296" s="3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6"/>
    </row>
    <row r="297" spans="1:35" ht="15.75" thickBot="1" x14ac:dyDescent="0.3">
      <c r="A297" s="3"/>
      <c r="B297" s="5"/>
      <c r="C297" s="7">
        <v>32</v>
      </c>
      <c r="D297" s="7">
        <v>33</v>
      </c>
      <c r="E297" s="7">
        <v>34</v>
      </c>
      <c r="F297" s="7">
        <v>35</v>
      </c>
      <c r="G297" s="7">
        <v>36</v>
      </c>
      <c r="H297" s="7">
        <v>37</v>
      </c>
      <c r="I297" s="7">
        <v>38</v>
      </c>
      <c r="J297" s="7">
        <v>39</v>
      </c>
      <c r="K297" s="7">
        <v>40</v>
      </c>
      <c r="L297" s="7">
        <v>41</v>
      </c>
      <c r="M297" s="7">
        <v>42</v>
      </c>
      <c r="N297" s="7">
        <v>43</v>
      </c>
      <c r="O297" s="7">
        <v>44</v>
      </c>
      <c r="P297" s="7">
        <v>45</v>
      </c>
      <c r="Q297" s="7">
        <v>46</v>
      </c>
      <c r="R297" s="7">
        <v>47</v>
      </c>
      <c r="S297" s="7">
        <v>48</v>
      </c>
      <c r="T297" s="7">
        <v>49</v>
      </c>
      <c r="U297" s="7">
        <v>50</v>
      </c>
      <c r="V297" s="7">
        <v>51</v>
      </c>
      <c r="W297" s="7">
        <v>52</v>
      </c>
      <c r="X297" s="7">
        <v>53</v>
      </c>
      <c r="Y297" s="7">
        <v>54</v>
      </c>
      <c r="Z297" s="7">
        <v>55</v>
      </c>
      <c r="AA297" s="7">
        <v>56</v>
      </c>
      <c r="AB297" s="7">
        <v>57</v>
      </c>
      <c r="AC297" s="7">
        <v>58</v>
      </c>
      <c r="AD297" s="7">
        <v>59</v>
      </c>
      <c r="AE297" s="7">
        <v>60</v>
      </c>
      <c r="AF297" s="7">
        <v>61</v>
      </c>
      <c r="AG297" s="7">
        <v>62</v>
      </c>
      <c r="AH297" s="7">
        <v>63</v>
      </c>
      <c r="AI297" s="6"/>
    </row>
    <row r="298" spans="1:35" ht="15.75" thickBot="1" x14ac:dyDescent="0.3">
      <c r="A298" s="3"/>
      <c r="B298" s="5"/>
      <c r="C298" s="147" t="s">
        <v>13</v>
      </c>
      <c r="D298" s="148" t="s">
        <v>14</v>
      </c>
      <c r="E298" s="148" t="s">
        <v>15</v>
      </c>
      <c r="F298" s="148" t="s">
        <v>16</v>
      </c>
      <c r="G298" s="148" t="s">
        <v>17</v>
      </c>
      <c r="H298" s="148" t="s">
        <v>18</v>
      </c>
      <c r="I298" s="148" t="s">
        <v>19</v>
      </c>
      <c r="J298" s="148" t="s">
        <v>20</v>
      </c>
      <c r="K298" s="148" t="s">
        <v>21</v>
      </c>
      <c r="L298" s="148" t="s">
        <v>22</v>
      </c>
      <c r="M298" s="148" t="s">
        <v>23</v>
      </c>
      <c r="N298" s="148" t="s">
        <v>24</v>
      </c>
      <c r="O298" s="148" t="s">
        <v>25</v>
      </c>
      <c r="P298" s="148" t="s">
        <v>26</v>
      </c>
      <c r="Q298" s="148" t="s">
        <v>27</v>
      </c>
      <c r="R298" s="342" t="s">
        <v>30</v>
      </c>
      <c r="S298" s="343"/>
      <c r="T298" s="343"/>
      <c r="U298" s="343"/>
      <c r="V298" s="343"/>
      <c r="W298" s="343"/>
      <c r="X298" s="343"/>
      <c r="Y298" s="343"/>
      <c r="Z298" s="343"/>
      <c r="AA298" s="343"/>
      <c r="AB298" s="343"/>
      <c r="AC298" s="343"/>
      <c r="AD298" s="343"/>
      <c r="AE298" s="343"/>
      <c r="AF298" s="344"/>
      <c r="AG298" s="67" t="s">
        <v>28</v>
      </c>
      <c r="AH298" s="149" t="s">
        <v>29</v>
      </c>
      <c r="AI298" s="6"/>
    </row>
    <row r="299" spans="1:35" ht="15.75" thickBot="1" x14ac:dyDescent="0.3">
      <c r="A299" s="3"/>
      <c r="B299" s="5"/>
      <c r="C299" s="150">
        <v>0</v>
      </c>
      <c r="D299" s="151">
        <v>0</v>
      </c>
      <c r="E299" s="151">
        <v>0</v>
      </c>
      <c r="F299" s="151">
        <v>0</v>
      </c>
      <c r="G299" s="151">
        <v>0</v>
      </c>
      <c r="H299" s="151">
        <v>0</v>
      </c>
      <c r="I299" s="151">
        <v>0</v>
      </c>
      <c r="J299" s="151">
        <v>0</v>
      </c>
      <c r="K299" s="151">
        <v>0</v>
      </c>
      <c r="L299" s="151">
        <v>0</v>
      </c>
      <c r="M299" s="151">
        <v>0</v>
      </c>
      <c r="N299" s="151">
        <v>0</v>
      </c>
      <c r="O299" s="151">
        <v>1</v>
      </c>
      <c r="P299" s="151">
        <v>0</v>
      </c>
      <c r="Q299" s="151">
        <v>0</v>
      </c>
      <c r="R299" s="151">
        <v>0</v>
      </c>
      <c r="S299" s="151">
        <v>0</v>
      </c>
      <c r="T299" s="151">
        <v>0</v>
      </c>
      <c r="U299" s="151">
        <v>0</v>
      </c>
      <c r="V299" s="151">
        <v>0</v>
      </c>
      <c r="W299" s="151">
        <v>0</v>
      </c>
      <c r="X299" s="151">
        <v>0</v>
      </c>
      <c r="Y299" s="151">
        <v>0</v>
      </c>
      <c r="Z299" s="151">
        <v>1</v>
      </c>
      <c r="AA299" s="151">
        <v>0</v>
      </c>
      <c r="AB299" s="151">
        <v>0</v>
      </c>
      <c r="AC299" s="151">
        <v>0</v>
      </c>
      <c r="AD299" s="151">
        <v>1</v>
      </c>
      <c r="AE299" s="151">
        <v>0</v>
      </c>
      <c r="AF299" s="151">
        <v>0</v>
      </c>
      <c r="AG299" s="151">
        <v>0</v>
      </c>
      <c r="AH299" s="152">
        <v>0</v>
      </c>
      <c r="AI299" s="6"/>
    </row>
    <row r="300" spans="1:35" x14ac:dyDescent="0.25">
      <c r="A300" s="3"/>
      <c r="B300" s="4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6"/>
    </row>
    <row r="301" spans="1:35" x14ac:dyDescent="0.25">
      <c r="A301" s="3"/>
      <c r="B301" s="8" t="s">
        <v>43</v>
      </c>
      <c r="C301" s="9"/>
      <c r="D301" s="9"/>
      <c r="E301" s="9"/>
      <c r="F301" s="44" t="s">
        <v>44</v>
      </c>
      <c r="G301" s="44"/>
      <c r="H301" s="44"/>
      <c r="I301" s="9"/>
      <c r="J301" s="45" t="s">
        <v>45</v>
      </c>
      <c r="K301" s="45"/>
      <c r="L301" s="45"/>
      <c r="M301" s="45"/>
      <c r="N301" s="9"/>
      <c r="O301" s="46" t="s">
        <v>46</v>
      </c>
      <c r="P301" s="46"/>
      <c r="Q301" s="46"/>
      <c r="R301" s="46"/>
      <c r="S301" s="9"/>
      <c r="T301" s="1" t="s">
        <v>49</v>
      </c>
      <c r="U301" s="10" t="s">
        <v>48</v>
      </c>
      <c r="V301" s="5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6"/>
    </row>
    <row r="302" spans="1:35" ht="15" customHeight="1" x14ac:dyDescent="0.25">
      <c r="A302" s="3"/>
      <c r="B302" s="42" t="str">
        <f>"0x"&amp;DEC2HEX(Sheet3!$I$4,8)</f>
        <v>0x00400320</v>
      </c>
      <c r="C302" s="42"/>
      <c r="D302" s="42"/>
      <c r="E302" s="12"/>
      <c r="F302" s="319" t="str">
        <f>"0x"&amp;BIN2HEX(CONCATENATE(C295,D295,E295,F295,G295,H295,I295,J295),2)&amp;BIN2HEX(CONCATENATE(K295,L295,M295,N295,O295,P295,Q295,R295),2)&amp;BIN2HEX(CONCATENATE(S295,T295,U295,V295,W295,X295,Y295,Z295),2)&amp;BIN2HEX(CONCATENATE(AA295,AB295,AC295,AD295,AE295,AF295,AG295,AH295),2)</f>
        <v>0xFFFFFFFF</v>
      </c>
      <c r="G302" s="319"/>
      <c r="H302" s="319"/>
      <c r="I302" s="12"/>
      <c r="J302" s="319" t="str">
        <f>"0b"&amp;C299&amp;D299&amp;E299&amp;F299&amp;G299&amp;H299&amp;I299&amp;J299&amp;K299&amp;L299&amp;M299&amp;N299&amp;O299&amp;P299&amp;Q299</f>
        <v>0b000000000000100</v>
      </c>
      <c r="K302" s="319"/>
      <c r="L302" s="319"/>
      <c r="M302" s="319"/>
      <c r="N302" s="12"/>
      <c r="O302" s="319" t="str">
        <f>"0b"&amp;DEC2BIN(((AF299+AE299*2+AD299*4+AC299*8+AB299*16+AA299*32+Z299*64+Y299*128+X299*256+W299*512+V299*1024+U299*2048+T299*4096+S299*2^13+R299*2^14)/512),6)&amp;DEC2BIN(MOD((AF299+AE299*2+AD299*4+AC299*8+AB299*16+AA299*32+Z299*64+Y299*128+X299*256+W299*512+V299*1024+U299*2048+T299*4096+S299*2^13+R299*2^14),512),9)</f>
        <v>0b000000001000100</v>
      </c>
      <c r="P302" s="319"/>
      <c r="Q302" s="319"/>
      <c r="R302" s="319"/>
      <c r="S302" s="12"/>
      <c r="T302" s="13">
        <v>0</v>
      </c>
      <c r="U302" s="13">
        <f>AH299</f>
        <v>0</v>
      </c>
      <c r="V302" s="5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6"/>
    </row>
    <row r="303" spans="1:35" x14ac:dyDescent="0.25">
      <c r="A303" s="3"/>
      <c r="B303" s="42"/>
      <c r="C303" s="42"/>
      <c r="D303" s="42"/>
      <c r="E303" s="15"/>
      <c r="F303" s="43"/>
      <c r="G303" s="43"/>
      <c r="H303" s="43"/>
      <c r="I303" s="15"/>
      <c r="J303" s="42"/>
      <c r="K303" s="42"/>
      <c r="L303" s="42"/>
      <c r="M303" s="42"/>
      <c r="N303" s="15"/>
      <c r="O303" s="42"/>
      <c r="P303" s="42"/>
      <c r="Q303" s="42"/>
      <c r="R303" s="42"/>
      <c r="S303" s="15"/>
      <c r="T303" s="13"/>
      <c r="U303" s="15"/>
      <c r="V303" s="5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6"/>
    </row>
    <row r="304" spans="1:35" x14ac:dyDescent="0.25">
      <c r="A304" s="3"/>
      <c r="B304" s="42"/>
      <c r="C304" s="42"/>
      <c r="D304" s="42"/>
      <c r="E304" s="15"/>
      <c r="F304" s="43"/>
      <c r="G304" s="43"/>
      <c r="H304" s="43"/>
      <c r="I304" s="15"/>
      <c r="J304" s="42"/>
      <c r="K304" s="42"/>
      <c r="L304" s="42"/>
      <c r="M304" s="42"/>
      <c r="N304" s="15"/>
      <c r="O304" s="42"/>
      <c r="P304" s="42"/>
      <c r="Q304" s="42"/>
      <c r="R304" s="42"/>
      <c r="S304" s="15"/>
      <c r="T304" s="13"/>
      <c r="U304" s="15"/>
      <c r="V304" s="5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6"/>
    </row>
    <row r="305" spans="1:35" x14ac:dyDescent="0.25">
      <c r="A305" s="3"/>
      <c r="B305" s="5"/>
      <c r="C305" s="5"/>
      <c r="D305" s="5"/>
      <c r="E305" s="5"/>
      <c r="F305" s="17"/>
      <c r="G305" s="17"/>
      <c r="H305" s="17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6"/>
    </row>
    <row r="306" spans="1:35" x14ac:dyDescent="0.25">
      <c r="A306" s="3"/>
      <c r="B306" s="5" t="s">
        <v>47</v>
      </c>
      <c r="C306" s="18"/>
      <c r="D306" s="18"/>
      <c r="E306" s="18"/>
      <c r="F306" s="5"/>
      <c r="G306" s="5"/>
      <c r="H306" s="5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6"/>
    </row>
    <row r="307" spans="1:35" ht="15" customHeight="1" x14ac:dyDescent="0.25">
      <c r="A307" s="3"/>
      <c r="B307" s="42" t="str">
        <f>"0x"&amp;DEC2HEX(Sheet3!$I$4,8)</f>
        <v>0x00400320</v>
      </c>
      <c r="C307" s="42"/>
      <c r="D307" s="42"/>
      <c r="E307" s="16"/>
      <c r="F307" s="322" t="str">
        <f>F302&amp;BIN2HEX(MID(J302,3,8),2)&amp;BIN2HEX(RIGHT(J302,7)&amp;MID(O302,3,1),2)&amp;BIN2HEX(MID(O302,4,8),2)&amp;BIN2HEX(RIGHT(O302,6)&amp;T302&amp;U302,2)</f>
        <v>0xFFFFFFFF00080110</v>
      </c>
      <c r="G307" s="322"/>
      <c r="H307" s="322"/>
      <c r="I307" s="322"/>
      <c r="J307" s="5"/>
      <c r="K307" s="5"/>
      <c r="L307" s="5"/>
      <c r="M307" s="5"/>
      <c r="N307" s="5"/>
      <c r="O307" s="5"/>
      <c r="P307" s="16"/>
      <c r="Q307" s="16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5"/>
      <c r="AH307" s="5"/>
      <c r="AI307" s="6"/>
    </row>
    <row r="308" spans="1:35" x14ac:dyDescent="0.25">
      <c r="A308" s="3"/>
      <c r="B308" s="37"/>
      <c r="C308" s="37"/>
      <c r="D308" s="37"/>
      <c r="E308" s="5"/>
      <c r="F308" s="38"/>
      <c r="G308" s="38"/>
      <c r="H308" s="38"/>
      <c r="I308" s="38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6"/>
    </row>
    <row r="309" spans="1:35" x14ac:dyDescent="0.25">
      <c r="A309" s="3"/>
      <c r="B309" s="37"/>
      <c r="C309" s="37"/>
      <c r="D309" s="37"/>
      <c r="E309" s="5"/>
      <c r="F309" s="38"/>
      <c r="G309" s="38"/>
      <c r="H309" s="38"/>
      <c r="I309" s="38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6"/>
    </row>
    <row r="310" spans="1:35" x14ac:dyDescent="0.25">
      <c r="A310" s="20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2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3"/>
    </row>
    <row r="311" spans="1:35" x14ac:dyDescent="0.25">
      <c r="A311" s="24"/>
      <c r="B311" s="28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6"/>
    </row>
    <row r="312" spans="1:35" x14ac:dyDescent="0.25">
      <c r="A312" s="3"/>
      <c r="B312" s="4" t="s">
        <v>144</v>
      </c>
      <c r="C312" s="5"/>
      <c r="D312" s="5"/>
      <c r="E312" s="5"/>
      <c r="F312" s="5"/>
      <c r="G312" s="5"/>
      <c r="H312" s="5"/>
      <c r="I312" s="5" t="str">
        <f>"0x"&amp;BIN2HEX(CONCATENATE(C317,D317,E317,F317,G317,H317,I317,J317),2)&amp;BIN2HEX(CONCATENATE(K317,L317,M317,N317,O317,P317,Q317,R317),2)&amp;BIN2HEX(CONCATENATE(S317,T317,U317,V317,W317,X317,Y317,Z317),2)&amp;BIN2HEX(CONCATENATE(AA317,AB317,AC317,AD317,AE317,AF317,AG317,AH317),2)&amp;"_"&amp;BIN2HEX(CONCATENATE(C321,D321,E321,F321,G321,H321,I321,J321),2)&amp;BIN2HEX(CONCATENATE(K321,L321,M321,N321,O321,P321,Q321,R321),2)&amp;BIN2HEX(CONCATENATE(S321,T321,U321,V321,W321,X321,Y321,Z321),2)&amp;BIN2HEX(CONCATENATE(AA321,AB321,AC321,AD321,AE321,AF321,AG321,AH321),2)</f>
        <v>0xFFFFFFFF_00080114</v>
      </c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6"/>
    </row>
    <row r="313" spans="1:35" ht="15.75" thickBot="1" x14ac:dyDescent="0.3">
      <c r="A313" s="3"/>
      <c r="B313" s="5"/>
      <c r="C313" s="7">
        <v>0</v>
      </c>
      <c r="D313" s="7">
        <v>1</v>
      </c>
      <c r="E313" s="7">
        <v>2</v>
      </c>
      <c r="F313" s="7">
        <v>3</v>
      </c>
      <c r="G313" s="7">
        <v>4</v>
      </c>
      <c r="H313" s="7">
        <v>5</v>
      </c>
      <c r="I313" s="7">
        <v>6</v>
      </c>
      <c r="J313" s="7">
        <v>7</v>
      </c>
      <c r="K313" s="7">
        <v>8</v>
      </c>
      <c r="L313" s="7">
        <v>9</v>
      </c>
      <c r="M313" s="7">
        <v>10</v>
      </c>
      <c r="N313" s="7">
        <v>11</v>
      </c>
      <c r="O313" s="7">
        <v>12</v>
      </c>
      <c r="P313" s="7">
        <v>13</v>
      </c>
      <c r="Q313" s="7">
        <v>14</v>
      </c>
      <c r="R313" s="7">
        <v>15</v>
      </c>
      <c r="S313" s="7">
        <v>16</v>
      </c>
      <c r="T313" s="7">
        <v>17</v>
      </c>
      <c r="U313" s="7">
        <v>18</v>
      </c>
      <c r="V313" s="7">
        <v>19</v>
      </c>
      <c r="W313" s="7">
        <v>20</v>
      </c>
      <c r="X313" s="7">
        <v>21</v>
      </c>
      <c r="Y313" s="7">
        <v>22</v>
      </c>
      <c r="Z313" s="7">
        <v>23</v>
      </c>
      <c r="AA313" s="7">
        <v>24</v>
      </c>
      <c r="AB313" s="7">
        <v>25</v>
      </c>
      <c r="AC313" s="7">
        <v>26</v>
      </c>
      <c r="AD313" s="7">
        <v>27</v>
      </c>
      <c r="AE313" s="7">
        <v>28</v>
      </c>
      <c r="AF313" s="7">
        <v>29</v>
      </c>
      <c r="AG313" s="7">
        <v>30</v>
      </c>
      <c r="AH313" s="7">
        <v>31</v>
      </c>
      <c r="AI313" s="6"/>
    </row>
    <row r="314" spans="1:35" ht="15" customHeight="1" x14ac:dyDescent="0.25">
      <c r="A314" s="3"/>
      <c r="B314" s="5" t="s">
        <v>31</v>
      </c>
      <c r="C314" s="354" t="s">
        <v>143</v>
      </c>
      <c r="D314" s="331"/>
      <c r="E314" s="331"/>
      <c r="F314" s="331"/>
      <c r="G314" s="331"/>
      <c r="H314" s="331"/>
      <c r="I314" s="331"/>
      <c r="J314" s="331"/>
      <c r="K314" s="331"/>
      <c r="L314" s="331"/>
      <c r="M314" s="331"/>
      <c r="N314" s="331"/>
      <c r="O314" s="331"/>
      <c r="P314" s="331"/>
      <c r="Q314" s="331"/>
      <c r="R314" s="331"/>
      <c r="S314" s="331"/>
      <c r="T314" s="331"/>
      <c r="U314" s="331"/>
      <c r="V314" s="331"/>
      <c r="W314" s="331"/>
      <c r="X314" s="331"/>
      <c r="Y314" s="331"/>
      <c r="Z314" s="331"/>
      <c r="AA314" s="331"/>
      <c r="AB314" s="331"/>
      <c r="AC314" s="331"/>
      <c r="AD314" s="331"/>
      <c r="AE314" s="331"/>
      <c r="AF314" s="331"/>
      <c r="AG314" s="331"/>
      <c r="AH314" s="355"/>
      <c r="AI314" s="6"/>
    </row>
    <row r="315" spans="1:35" x14ac:dyDescent="0.25">
      <c r="A315" s="3"/>
      <c r="B315" s="5" t="s">
        <v>32</v>
      </c>
      <c r="C315" s="356"/>
      <c r="D315" s="334"/>
      <c r="E315" s="334"/>
      <c r="F315" s="334"/>
      <c r="G315" s="334"/>
      <c r="H315" s="334"/>
      <c r="I315" s="334"/>
      <c r="J315" s="334"/>
      <c r="K315" s="334"/>
      <c r="L315" s="334"/>
      <c r="M315" s="334"/>
      <c r="N315" s="334"/>
      <c r="O315" s="334"/>
      <c r="P315" s="334"/>
      <c r="Q315" s="334"/>
      <c r="R315" s="334"/>
      <c r="S315" s="334"/>
      <c r="T315" s="334"/>
      <c r="U315" s="334"/>
      <c r="V315" s="334"/>
      <c r="W315" s="334"/>
      <c r="X315" s="334"/>
      <c r="Y315" s="334"/>
      <c r="Z315" s="334"/>
      <c r="AA315" s="334"/>
      <c r="AB315" s="334"/>
      <c r="AC315" s="334"/>
      <c r="AD315" s="334"/>
      <c r="AE315" s="334"/>
      <c r="AF315" s="334"/>
      <c r="AG315" s="334"/>
      <c r="AH315" s="357"/>
      <c r="AI315" s="6"/>
    </row>
    <row r="316" spans="1:35" x14ac:dyDescent="0.25">
      <c r="A316" s="3"/>
      <c r="B316" s="5" t="s">
        <v>11</v>
      </c>
      <c r="C316" s="56">
        <v>1</v>
      </c>
      <c r="D316" s="57">
        <v>1</v>
      </c>
      <c r="E316" s="57">
        <v>1</v>
      </c>
      <c r="F316" s="57">
        <v>1</v>
      </c>
      <c r="G316" s="57">
        <v>1</v>
      </c>
      <c r="H316" s="57">
        <v>1</v>
      </c>
      <c r="I316" s="57">
        <v>1</v>
      </c>
      <c r="J316" s="57">
        <v>1</v>
      </c>
      <c r="K316" s="57">
        <v>1</v>
      </c>
      <c r="L316" s="57">
        <v>1</v>
      </c>
      <c r="M316" s="57">
        <v>1</v>
      </c>
      <c r="N316" s="57">
        <v>1</v>
      </c>
      <c r="O316" s="57">
        <v>1</v>
      </c>
      <c r="P316" s="57">
        <v>1</v>
      </c>
      <c r="Q316" s="57">
        <v>1</v>
      </c>
      <c r="R316" s="57">
        <v>1</v>
      </c>
      <c r="S316" s="57">
        <v>1</v>
      </c>
      <c r="T316" s="57">
        <v>1</v>
      </c>
      <c r="U316" s="57">
        <v>1</v>
      </c>
      <c r="V316" s="57">
        <v>1</v>
      </c>
      <c r="W316" s="57">
        <v>1</v>
      </c>
      <c r="X316" s="57">
        <v>1</v>
      </c>
      <c r="Y316" s="57">
        <v>1</v>
      </c>
      <c r="Z316" s="57">
        <v>1</v>
      </c>
      <c r="AA316" s="57">
        <v>1</v>
      </c>
      <c r="AB316" s="57">
        <v>1</v>
      </c>
      <c r="AC316" s="57">
        <v>1</v>
      </c>
      <c r="AD316" s="57">
        <v>1</v>
      </c>
      <c r="AE316" s="57">
        <v>1</v>
      </c>
      <c r="AF316" s="57">
        <v>1</v>
      </c>
      <c r="AG316" s="57">
        <v>1</v>
      </c>
      <c r="AH316" s="58">
        <v>1</v>
      </c>
      <c r="AI316" s="6"/>
    </row>
    <row r="317" spans="1:35" ht="15.75" thickBot="1" x14ac:dyDescent="0.3">
      <c r="A317" s="3"/>
      <c r="B317" s="5" t="s">
        <v>12</v>
      </c>
      <c r="C317" s="145">
        <v>1</v>
      </c>
      <c r="D317" s="88">
        <v>1</v>
      </c>
      <c r="E317" s="88">
        <v>1</v>
      </c>
      <c r="F317" s="88">
        <v>1</v>
      </c>
      <c r="G317" s="88">
        <v>1</v>
      </c>
      <c r="H317" s="88">
        <v>1</v>
      </c>
      <c r="I317" s="88">
        <v>1</v>
      </c>
      <c r="J317" s="88">
        <v>1</v>
      </c>
      <c r="K317" s="88">
        <v>1</v>
      </c>
      <c r="L317" s="88">
        <v>1</v>
      </c>
      <c r="M317" s="88">
        <v>1</v>
      </c>
      <c r="N317" s="88">
        <v>1</v>
      </c>
      <c r="O317" s="88">
        <v>1</v>
      </c>
      <c r="P317" s="88">
        <v>1</v>
      </c>
      <c r="Q317" s="88">
        <v>1</v>
      </c>
      <c r="R317" s="88">
        <v>1</v>
      </c>
      <c r="S317" s="88">
        <v>1</v>
      </c>
      <c r="T317" s="88">
        <v>1</v>
      </c>
      <c r="U317" s="88">
        <v>1</v>
      </c>
      <c r="V317" s="88">
        <v>1</v>
      </c>
      <c r="W317" s="88">
        <v>1</v>
      </c>
      <c r="X317" s="88">
        <v>1</v>
      </c>
      <c r="Y317" s="88">
        <v>1</v>
      </c>
      <c r="Z317" s="88">
        <v>1</v>
      </c>
      <c r="AA317" s="88">
        <v>1</v>
      </c>
      <c r="AB317" s="88">
        <v>1</v>
      </c>
      <c r="AC317" s="88">
        <v>1</v>
      </c>
      <c r="AD317" s="88">
        <v>1</v>
      </c>
      <c r="AE317" s="88">
        <v>1</v>
      </c>
      <c r="AF317" s="88">
        <v>1</v>
      </c>
      <c r="AG317" s="88">
        <v>1</v>
      </c>
      <c r="AH317" s="89">
        <v>1</v>
      </c>
      <c r="AI317" s="6"/>
    </row>
    <row r="318" spans="1:35" x14ac:dyDescent="0.25">
      <c r="A318" s="3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6"/>
    </row>
    <row r="319" spans="1:35" ht="15.75" thickBot="1" x14ac:dyDescent="0.3">
      <c r="A319" s="3"/>
      <c r="B319" s="5"/>
      <c r="C319" s="7">
        <v>32</v>
      </c>
      <c r="D319" s="7">
        <v>33</v>
      </c>
      <c r="E319" s="7">
        <v>34</v>
      </c>
      <c r="F319" s="7">
        <v>35</v>
      </c>
      <c r="G319" s="7">
        <v>36</v>
      </c>
      <c r="H319" s="7">
        <v>37</v>
      </c>
      <c r="I319" s="7">
        <v>38</v>
      </c>
      <c r="J319" s="7">
        <v>39</v>
      </c>
      <c r="K319" s="7">
        <v>40</v>
      </c>
      <c r="L319" s="7">
        <v>41</v>
      </c>
      <c r="M319" s="7">
        <v>42</v>
      </c>
      <c r="N319" s="7">
        <v>43</v>
      </c>
      <c r="O319" s="7">
        <v>44</v>
      </c>
      <c r="P319" s="7">
        <v>45</v>
      </c>
      <c r="Q319" s="7">
        <v>46</v>
      </c>
      <c r="R319" s="7">
        <v>47</v>
      </c>
      <c r="S319" s="7">
        <v>48</v>
      </c>
      <c r="T319" s="7">
        <v>49</v>
      </c>
      <c r="U319" s="7">
        <v>50</v>
      </c>
      <c r="V319" s="7">
        <v>51</v>
      </c>
      <c r="W319" s="7">
        <v>52</v>
      </c>
      <c r="X319" s="7">
        <v>53</v>
      </c>
      <c r="Y319" s="7">
        <v>54</v>
      </c>
      <c r="Z319" s="7">
        <v>55</v>
      </c>
      <c r="AA319" s="7">
        <v>56</v>
      </c>
      <c r="AB319" s="7">
        <v>57</v>
      </c>
      <c r="AC319" s="7">
        <v>58</v>
      </c>
      <c r="AD319" s="7">
        <v>59</v>
      </c>
      <c r="AE319" s="7">
        <v>60</v>
      </c>
      <c r="AF319" s="7">
        <v>61</v>
      </c>
      <c r="AG319" s="7">
        <v>62</v>
      </c>
      <c r="AH319" s="7">
        <v>63</v>
      </c>
      <c r="AI319" s="6"/>
    </row>
    <row r="320" spans="1:35" ht="15.75" thickBot="1" x14ac:dyDescent="0.3">
      <c r="A320" s="3"/>
      <c r="B320" s="5"/>
      <c r="C320" s="147" t="s">
        <v>13</v>
      </c>
      <c r="D320" s="148" t="s">
        <v>14</v>
      </c>
      <c r="E320" s="148" t="s">
        <v>15</v>
      </c>
      <c r="F320" s="148" t="s">
        <v>16</v>
      </c>
      <c r="G320" s="148" t="s">
        <v>17</v>
      </c>
      <c r="H320" s="148" t="s">
        <v>18</v>
      </c>
      <c r="I320" s="148" t="s">
        <v>19</v>
      </c>
      <c r="J320" s="148" t="s">
        <v>20</v>
      </c>
      <c r="K320" s="148" t="s">
        <v>21</v>
      </c>
      <c r="L320" s="148" t="s">
        <v>22</v>
      </c>
      <c r="M320" s="148" t="s">
        <v>23</v>
      </c>
      <c r="N320" s="148" t="s">
        <v>24</v>
      </c>
      <c r="O320" s="148" t="s">
        <v>25</v>
      </c>
      <c r="P320" s="148" t="s">
        <v>26</v>
      </c>
      <c r="Q320" s="148" t="s">
        <v>27</v>
      </c>
      <c r="R320" s="342" t="s">
        <v>30</v>
      </c>
      <c r="S320" s="343"/>
      <c r="T320" s="343"/>
      <c r="U320" s="343"/>
      <c r="V320" s="343"/>
      <c r="W320" s="343"/>
      <c r="X320" s="343"/>
      <c r="Y320" s="343"/>
      <c r="Z320" s="343"/>
      <c r="AA320" s="343"/>
      <c r="AB320" s="343"/>
      <c r="AC320" s="343"/>
      <c r="AD320" s="343"/>
      <c r="AE320" s="343"/>
      <c r="AF320" s="344"/>
      <c r="AG320" s="67" t="s">
        <v>28</v>
      </c>
      <c r="AH320" s="149" t="s">
        <v>29</v>
      </c>
      <c r="AI320" s="6"/>
    </row>
    <row r="321" spans="1:35" ht="15.75" thickBot="1" x14ac:dyDescent="0.3">
      <c r="A321" s="3"/>
      <c r="B321" s="5"/>
      <c r="C321" s="150">
        <v>0</v>
      </c>
      <c r="D321" s="151">
        <v>0</v>
      </c>
      <c r="E321" s="151">
        <v>0</v>
      </c>
      <c r="F321" s="151">
        <v>0</v>
      </c>
      <c r="G321" s="151">
        <v>0</v>
      </c>
      <c r="H321" s="151">
        <v>0</v>
      </c>
      <c r="I321" s="151">
        <v>0</v>
      </c>
      <c r="J321" s="151">
        <v>0</v>
      </c>
      <c r="K321" s="151">
        <v>0</v>
      </c>
      <c r="L321" s="151">
        <v>0</v>
      </c>
      <c r="M321" s="151">
        <v>0</v>
      </c>
      <c r="N321" s="151">
        <v>0</v>
      </c>
      <c r="O321" s="151">
        <v>1</v>
      </c>
      <c r="P321" s="151">
        <v>0</v>
      </c>
      <c r="Q321" s="151">
        <v>0</v>
      </c>
      <c r="R321" s="151">
        <v>0</v>
      </c>
      <c r="S321" s="151">
        <v>0</v>
      </c>
      <c r="T321" s="151">
        <v>0</v>
      </c>
      <c r="U321" s="151">
        <v>0</v>
      </c>
      <c r="V321" s="151">
        <v>0</v>
      </c>
      <c r="W321" s="151">
        <v>0</v>
      </c>
      <c r="X321" s="151">
        <v>0</v>
      </c>
      <c r="Y321" s="151">
        <v>0</v>
      </c>
      <c r="Z321" s="151">
        <v>1</v>
      </c>
      <c r="AA321" s="151">
        <v>0</v>
      </c>
      <c r="AB321" s="151">
        <v>0</v>
      </c>
      <c r="AC321" s="151">
        <v>0</v>
      </c>
      <c r="AD321" s="151">
        <v>1</v>
      </c>
      <c r="AE321" s="151">
        <v>0</v>
      </c>
      <c r="AF321" s="151">
        <v>1</v>
      </c>
      <c r="AG321" s="151">
        <v>0</v>
      </c>
      <c r="AH321" s="152">
        <v>0</v>
      </c>
      <c r="AI321" s="6"/>
    </row>
    <row r="322" spans="1:35" x14ac:dyDescent="0.25">
      <c r="A322" s="3"/>
      <c r="B322" s="4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6"/>
    </row>
    <row r="323" spans="1:35" x14ac:dyDescent="0.25">
      <c r="A323" s="3"/>
      <c r="B323" s="8" t="s">
        <v>43</v>
      </c>
      <c r="C323" s="9"/>
      <c r="D323" s="9"/>
      <c r="E323" s="9"/>
      <c r="F323" s="44" t="s">
        <v>44</v>
      </c>
      <c r="G323" s="44"/>
      <c r="H323" s="44"/>
      <c r="I323" s="9"/>
      <c r="J323" s="45" t="s">
        <v>45</v>
      </c>
      <c r="K323" s="45"/>
      <c r="L323" s="45"/>
      <c r="M323" s="45"/>
      <c r="N323" s="9"/>
      <c r="O323" s="46" t="s">
        <v>46</v>
      </c>
      <c r="P323" s="46"/>
      <c r="Q323" s="46"/>
      <c r="R323" s="46"/>
      <c r="S323" s="9"/>
      <c r="T323" s="1" t="s">
        <v>49</v>
      </c>
      <c r="U323" s="10" t="s">
        <v>48</v>
      </c>
      <c r="V323" s="5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6"/>
    </row>
    <row r="324" spans="1:35" ht="15" customHeight="1" x14ac:dyDescent="0.25">
      <c r="A324" s="3"/>
      <c r="B324" s="42" t="str">
        <f>"0x"&amp;DEC2HEX(Sheet3!$I$4,8)</f>
        <v>0x00400320</v>
      </c>
      <c r="C324" s="42"/>
      <c r="D324" s="42"/>
      <c r="E324" s="12"/>
      <c r="F324" s="319" t="str">
        <f>"0x"&amp;BIN2HEX(CONCATENATE(C317,D317,E317,F317,G317,H317,I317,J317),2)&amp;BIN2HEX(CONCATENATE(K317,L317,M317,N317,O317,P317,Q317,R317),2)&amp;BIN2HEX(CONCATENATE(S317,T317,U317,V317,W317,X317,Y317,Z317),2)&amp;BIN2HEX(CONCATENATE(AA317,AB317,AC317,AD317,AE317,AF317,AG317,AH317),2)</f>
        <v>0xFFFFFFFF</v>
      </c>
      <c r="G324" s="319"/>
      <c r="H324" s="319"/>
      <c r="I324" s="12"/>
      <c r="J324" s="319" t="str">
        <f>"0b"&amp;C321&amp;D321&amp;E321&amp;F321&amp;G321&amp;H321&amp;I321&amp;J321&amp;K321&amp;L321&amp;M321&amp;N321&amp;O321&amp;P321&amp;Q321</f>
        <v>0b000000000000100</v>
      </c>
      <c r="K324" s="319"/>
      <c r="L324" s="319"/>
      <c r="M324" s="319"/>
      <c r="N324" s="12"/>
      <c r="O324" s="319" t="str">
        <f>"0b"&amp;DEC2BIN(((AF321+AE321*2+AD321*4+AC321*8+AB321*16+AA321*32+Z321*64+Y321*128+X321*256+W321*512+V321*1024+U321*2048+T321*4096+S321*2^13+R321*2^14)/512),6)&amp;DEC2BIN(MOD((AF321+AE321*2+AD321*4+AC321*8+AB321*16+AA321*32+Z321*64+Y321*128+X321*256+W321*512+V321*1024+U321*2048+T321*4096+S321*2^13+R321*2^14),512),9)</f>
        <v>0b000000001000101</v>
      </c>
      <c r="P324" s="319"/>
      <c r="Q324" s="319"/>
      <c r="R324" s="319"/>
      <c r="S324" s="12"/>
      <c r="T324" s="13">
        <v>0</v>
      </c>
      <c r="U324" s="13">
        <f>AH321</f>
        <v>0</v>
      </c>
      <c r="V324" s="5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6"/>
    </row>
    <row r="325" spans="1:35" x14ac:dyDescent="0.25">
      <c r="A325" s="3"/>
      <c r="B325" s="42"/>
      <c r="C325" s="42"/>
      <c r="D325" s="42"/>
      <c r="E325" s="15"/>
      <c r="F325" s="43"/>
      <c r="G325" s="43"/>
      <c r="H325" s="43"/>
      <c r="I325" s="15"/>
      <c r="J325" s="42"/>
      <c r="K325" s="42"/>
      <c r="L325" s="42"/>
      <c r="M325" s="42"/>
      <c r="N325" s="15"/>
      <c r="O325" s="42"/>
      <c r="P325" s="42"/>
      <c r="Q325" s="42"/>
      <c r="R325" s="42"/>
      <c r="S325" s="15"/>
      <c r="T325" s="13"/>
      <c r="U325" s="15"/>
      <c r="V325" s="5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6"/>
    </row>
    <row r="326" spans="1:35" x14ac:dyDescent="0.25">
      <c r="A326" s="3"/>
      <c r="B326" s="42"/>
      <c r="C326" s="42"/>
      <c r="D326" s="42"/>
      <c r="E326" s="15"/>
      <c r="F326" s="43"/>
      <c r="G326" s="43"/>
      <c r="H326" s="43"/>
      <c r="I326" s="15"/>
      <c r="J326" s="42"/>
      <c r="K326" s="42"/>
      <c r="L326" s="42"/>
      <c r="M326" s="42"/>
      <c r="N326" s="15"/>
      <c r="O326" s="42"/>
      <c r="P326" s="42"/>
      <c r="Q326" s="42"/>
      <c r="R326" s="42"/>
      <c r="S326" s="15"/>
      <c r="T326" s="13"/>
      <c r="U326" s="15"/>
      <c r="V326" s="5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6"/>
    </row>
    <row r="327" spans="1:35" x14ac:dyDescent="0.25">
      <c r="A327" s="3"/>
      <c r="B327" s="5"/>
      <c r="C327" s="5"/>
      <c r="D327" s="5"/>
      <c r="E327" s="5"/>
      <c r="F327" s="17"/>
      <c r="G327" s="17"/>
      <c r="H327" s="17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6"/>
    </row>
    <row r="328" spans="1:35" x14ac:dyDescent="0.25">
      <c r="A328" s="3"/>
      <c r="B328" s="5" t="s">
        <v>47</v>
      </c>
      <c r="C328" s="18"/>
      <c r="D328" s="18"/>
      <c r="E328" s="18"/>
      <c r="F328" s="5"/>
      <c r="G328" s="5"/>
      <c r="H328" s="5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6"/>
    </row>
    <row r="329" spans="1:35" ht="15" customHeight="1" x14ac:dyDescent="0.25">
      <c r="A329" s="3"/>
      <c r="B329" s="42" t="str">
        <f>"0x"&amp;DEC2HEX(Sheet3!$I$4,8)</f>
        <v>0x00400320</v>
      </c>
      <c r="C329" s="42"/>
      <c r="D329" s="42"/>
      <c r="E329" s="16"/>
      <c r="F329" s="322" t="str">
        <f>F324&amp;BIN2HEX(MID(J324,3,8),2)&amp;BIN2HEX(RIGHT(J324,7)&amp;MID(O324,3,1),2)&amp;BIN2HEX(MID(O324,4,8),2)&amp;BIN2HEX(RIGHT(O324,6)&amp;T324&amp;U324,2)</f>
        <v>0xFFFFFFFF00080114</v>
      </c>
      <c r="G329" s="322"/>
      <c r="H329" s="322"/>
      <c r="I329" s="322"/>
      <c r="J329" s="5"/>
      <c r="K329" s="5"/>
      <c r="L329" s="5"/>
      <c r="M329" s="5"/>
      <c r="N329" s="5"/>
      <c r="O329" s="5"/>
      <c r="P329" s="16"/>
      <c r="Q329" s="16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5"/>
      <c r="AH329" s="5"/>
      <c r="AI329" s="6"/>
    </row>
    <row r="330" spans="1:35" x14ac:dyDescent="0.25">
      <c r="A330" s="3"/>
      <c r="B330" s="37"/>
      <c r="C330" s="37"/>
      <c r="D330" s="37"/>
      <c r="E330" s="5"/>
      <c r="F330" s="38"/>
      <c r="G330" s="38"/>
      <c r="H330" s="38"/>
      <c r="I330" s="38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6"/>
    </row>
    <row r="331" spans="1:35" x14ac:dyDescent="0.25">
      <c r="A331" s="3"/>
      <c r="B331" s="37"/>
      <c r="C331" s="37"/>
      <c r="D331" s="37"/>
      <c r="E331" s="5"/>
      <c r="F331" s="38"/>
      <c r="G331" s="38"/>
      <c r="H331" s="38"/>
      <c r="I331" s="38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6"/>
    </row>
    <row r="332" spans="1:35" x14ac:dyDescent="0.25">
      <c r="A332" s="20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2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3"/>
    </row>
    <row r="333" spans="1:35" x14ac:dyDescent="0.25">
      <c r="A333" s="24"/>
      <c r="B333" s="28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6"/>
    </row>
    <row r="334" spans="1:35" x14ac:dyDescent="0.25">
      <c r="A334" s="3"/>
      <c r="B334" s="4" t="s">
        <v>145</v>
      </c>
      <c r="C334" s="5"/>
      <c r="D334" s="5"/>
      <c r="E334" s="5"/>
      <c r="F334" s="5"/>
      <c r="G334" s="5"/>
      <c r="H334" s="5"/>
      <c r="I334" s="5" t="str">
        <f>"0x"&amp;BIN2HEX(CONCATENATE(C339,D339,E339,F339,G339,H339,I339,J339),2)&amp;BIN2HEX(CONCATENATE(K339,L339,M339,N339,O339,P339,Q339,R339),2)&amp;BIN2HEX(CONCATENATE(S339,T339,U339,V339,W339,X339,Y339,Z339),2)&amp;BIN2HEX(CONCATENATE(AA339,AB339,AC339,AD339,AE339,AF339,AG339,AH339),2)&amp;"_"&amp;BIN2HEX(CONCATENATE(C343,D343,E343,F343,G343,H343,I343,J343),2)&amp;BIN2HEX(CONCATENATE(K343,L343,M343,N343,O343,P343,Q343,R343),2)&amp;BIN2HEX(CONCATENATE(S343,T343,U343,V343,W343,X343,Y343,Z343),2)&amp;BIN2HEX(CONCATENATE(AA343,AB343,AC343,AD343,AE343,AF343,AG343,AH343),2)</f>
        <v>0xFFFFFFFF_00080120</v>
      </c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6"/>
    </row>
    <row r="335" spans="1:35" ht="15.75" thickBot="1" x14ac:dyDescent="0.3">
      <c r="A335" s="3"/>
      <c r="B335" s="5"/>
      <c r="C335" s="7">
        <v>0</v>
      </c>
      <c r="D335" s="7">
        <v>1</v>
      </c>
      <c r="E335" s="7">
        <v>2</v>
      </c>
      <c r="F335" s="7">
        <v>3</v>
      </c>
      <c r="G335" s="7">
        <v>4</v>
      </c>
      <c r="H335" s="7">
        <v>5</v>
      </c>
      <c r="I335" s="7">
        <v>6</v>
      </c>
      <c r="J335" s="7">
        <v>7</v>
      </c>
      <c r="K335" s="7">
        <v>8</v>
      </c>
      <c r="L335" s="7">
        <v>9</v>
      </c>
      <c r="M335" s="7">
        <v>10</v>
      </c>
      <c r="N335" s="7">
        <v>11</v>
      </c>
      <c r="O335" s="7">
        <v>12</v>
      </c>
      <c r="P335" s="7">
        <v>13</v>
      </c>
      <c r="Q335" s="7">
        <v>14</v>
      </c>
      <c r="R335" s="7">
        <v>15</v>
      </c>
      <c r="S335" s="7">
        <v>16</v>
      </c>
      <c r="T335" s="7">
        <v>17</v>
      </c>
      <c r="U335" s="7">
        <v>18</v>
      </c>
      <c r="V335" s="7">
        <v>19</v>
      </c>
      <c r="W335" s="7">
        <v>20</v>
      </c>
      <c r="X335" s="7">
        <v>21</v>
      </c>
      <c r="Y335" s="7">
        <v>22</v>
      </c>
      <c r="Z335" s="7">
        <v>23</v>
      </c>
      <c r="AA335" s="7">
        <v>24</v>
      </c>
      <c r="AB335" s="7">
        <v>25</v>
      </c>
      <c r="AC335" s="7">
        <v>26</v>
      </c>
      <c r="AD335" s="7">
        <v>27</v>
      </c>
      <c r="AE335" s="7">
        <v>28</v>
      </c>
      <c r="AF335" s="7">
        <v>29</v>
      </c>
      <c r="AG335" s="7">
        <v>30</v>
      </c>
      <c r="AH335" s="7">
        <v>31</v>
      </c>
      <c r="AI335" s="6"/>
    </row>
    <row r="336" spans="1:35" ht="15" customHeight="1" x14ac:dyDescent="0.25">
      <c r="A336" s="3"/>
      <c r="B336" s="5" t="s">
        <v>31</v>
      </c>
      <c r="C336" s="354" t="s">
        <v>146</v>
      </c>
      <c r="D336" s="331"/>
      <c r="E336" s="331"/>
      <c r="F336" s="331"/>
      <c r="G336" s="331"/>
      <c r="H336" s="331"/>
      <c r="I336" s="331"/>
      <c r="J336" s="331"/>
      <c r="K336" s="331"/>
      <c r="L336" s="331"/>
      <c r="M336" s="331"/>
      <c r="N336" s="331"/>
      <c r="O336" s="331"/>
      <c r="P336" s="331"/>
      <c r="Q336" s="331"/>
      <c r="R336" s="331"/>
      <c r="S336" s="331"/>
      <c r="T336" s="331"/>
      <c r="U336" s="331"/>
      <c r="V336" s="331"/>
      <c r="W336" s="331"/>
      <c r="X336" s="331"/>
      <c r="Y336" s="331"/>
      <c r="Z336" s="331"/>
      <c r="AA336" s="331"/>
      <c r="AB336" s="331"/>
      <c r="AC336" s="331"/>
      <c r="AD336" s="331"/>
      <c r="AE336" s="331"/>
      <c r="AF336" s="331"/>
      <c r="AG336" s="331"/>
      <c r="AH336" s="355"/>
      <c r="AI336" s="6"/>
    </row>
    <row r="337" spans="1:35" x14ac:dyDescent="0.25">
      <c r="A337" s="3"/>
      <c r="B337" s="5" t="s">
        <v>32</v>
      </c>
      <c r="C337" s="356"/>
      <c r="D337" s="334"/>
      <c r="E337" s="334"/>
      <c r="F337" s="334"/>
      <c r="G337" s="334"/>
      <c r="H337" s="334"/>
      <c r="I337" s="334"/>
      <c r="J337" s="334"/>
      <c r="K337" s="334"/>
      <c r="L337" s="334"/>
      <c r="M337" s="334"/>
      <c r="N337" s="334"/>
      <c r="O337" s="334"/>
      <c r="P337" s="334"/>
      <c r="Q337" s="334"/>
      <c r="R337" s="334"/>
      <c r="S337" s="334"/>
      <c r="T337" s="334"/>
      <c r="U337" s="334"/>
      <c r="V337" s="334"/>
      <c r="W337" s="334"/>
      <c r="X337" s="334"/>
      <c r="Y337" s="334"/>
      <c r="Z337" s="334"/>
      <c r="AA337" s="334"/>
      <c r="AB337" s="334"/>
      <c r="AC337" s="334"/>
      <c r="AD337" s="334"/>
      <c r="AE337" s="334"/>
      <c r="AF337" s="334"/>
      <c r="AG337" s="334"/>
      <c r="AH337" s="357"/>
      <c r="AI337" s="6"/>
    </row>
    <row r="338" spans="1:35" x14ac:dyDescent="0.25">
      <c r="A338" s="3"/>
      <c r="B338" s="5" t="s">
        <v>11</v>
      </c>
      <c r="C338" s="56">
        <v>1</v>
      </c>
      <c r="D338" s="57">
        <v>1</v>
      </c>
      <c r="E338" s="57">
        <v>1</v>
      </c>
      <c r="F338" s="57">
        <v>1</v>
      </c>
      <c r="G338" s="57">
        <v>1</v>
      </c>
      <c r="H338" s="57">
        <v>1</v>
      </c>
      <c r="I338" s="57">
        <v>1</v>
      </c>
      <c r="J338" s="57">
        <v>1</v>
      </c>
      <c r="K338" s="57">
        <v>1</v>
      </c>
      <c r="L338" s="57">
        <v>1</v>
      </c>
      <c r="M338" s="57">
        <v>1</v>
      </c>
      <c r="N338" s="57">
        <v>1</v>
      </c>
      <c r="O338" s="57">
        <v>1</v>
      </c>
      <c r="P338" s="57">
        <v>1</v>
      </c>
      <c r="Q338" s="57">
        <v>1</v>
      </c>
      <c r="R338" s="57">
        <v>1</v>
      </c>
      <c r="S338" s="57">
        <v>1</v>
      </c>
      <c r="T338" s="57">
        <v>1</v>
      </c>
      <c r="U338" s="57">
        <v>1</v>
      </c>
      <c r="V338" s="57">
        <v>1</v>
      </c>
      <c r="W338" s="57">
        <v>1</v>
      </c>
      <c r="X338" s="57">
        <v>1</v>
      </c>
      <c r="Y338" s="57">
        <v>1</v>
      </c>
      <c r="Z338" s="57">
        <v>1</v>
      </c>
      <c r="AA338" s="57">
        <v>1</v>
      </c>
      <c r="AB338" s="57">
        <v>1</v>
      </c>
      <c r="AC338" s="57">
        <v>1</v>
      </c>
      <c r="AD338" s="57">
        <v>1</v>
      </c>
      <c r="AE338" s="57">
        <v>1</v>
      </c>
      <c r="AF338" s="57">
        <v>1</v>
      </c>
      <c r="AG338" s="57">
        <v>1</v>
      </c>
      <c r="AH338" s="58">
        <v>1</v>
      </c>
      <c r="AI338" s="6"/>
    </row>
    <row r="339" spans="1:35" ht="15.75" thickBot="1" x14ac:dyDescent="0.3">
      <c r="A339" s="3"/>
      <c r="B339" s="5" t="s">
        <v>12</v>
      </c>
      <c r="C339" s="145">
        <v>1</v>
      </c>
      <c r="D339" s="88">
        <v>1</v>
      </c>
      <c r="E339" s="88">
        <v>1</v>
      </c>
      <c r="F339" s="88">
        <v>1</v>
      </c>
      <c r="G339" s="88">
        <v>1</v>
      </c>
      <c r="H339" s="88">
        <v>1</v>
      </c>
      <c r="I339" s="88">
        <v>1</v>
      </c>
      <c r="J339" s="88">
        <v>1</v>
      </c>
      <c r="K339" s="88">
        <v>1</v>
      </c>
      <c r="L339" s="88">
        <v>1</v>
      </c>
      <c r="M339" s="88">
        <v>1</v>
      </c>
      <c r="N339" s="88">
        <v>1</v>
      </c>
      <c r="O339" s="88">
        <v>1</v>
      </c>
      <c r="P339" s="88">
        <v>1</v>
      </c>
      <c r="Q339" s="88">
        <v>1</v>
      </c>
      <c r="R339" s="88">
        <v>1</v>
      </c>
      <c r="S339" s="88">
        <v>1</v>
      </c>
      <c r="T339" s="88">
        <v>1</v>
      </c>
      <c r="U339" s="88">
        <v>1</v>
      </c>
      <c r="V339" s="88">
        <v>1</v>
      </c>
      <c r="W339" s="88">
        <v>1</v>
      </c>
      <c r="X339" s="88">
        <v>1</v>
      </c>
      <c r="Y339" s="88">
        <v>1</v>
      </c>
      <c r="Z339" s="88">
        <v>1</v>
      </c>
      <c r="AA339" s="88">
        <v>1</v>
      </c>
      <c r="AB339" s="88">
        <v>1</v>
      </c>
      <c r="AC339" s="88">
        <v>1</v>
      </c>
      <c r="AD339" s="88">
        <v>1</v>
      </c>
      <c r="AE339" s="88">
        <v>1</v>
      </c>
      <c r="AF339" s="88">
        <v>1</v>
      </c>
      <c r="AG339" s="88">
        <v>1</v>
      </c>
      <c r="AH339" s="89">
        <v>1</v>
      </c>
      <c r="AI339" s="6"/>
    </row>
    <row r="340" spans="1:35" x14ac:dyDescent="0.25">
      <c r="A340" s="3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6"/>
    </row>
    <row r="341" spans="1:35" ht="15.75" thickBot="1" x14ac:dyDescent="0.3">
      <c r="A341" s="3"/>
      <c r="B341" s="5"/>
      <c r="C341" s="7">
        <v>32</v>
      </c>
      <c r="D341" s="7">
        <v>33</v>
      </c>
      <c r="E341" s="7">
        <v>34</v>
      </c>
      <c r="F341" s="7">
        <v>35</v>
      </c>
      <c r="G341" s="7">
        <v>36</v>
      </c>
      <c r="H341" s="7">
        <v>37</v>
      </c>
      <c r="I341" s="7">
        <v>38</v>
      </c>
      <c r="J341" s="7">
        <v>39</v>
      </c>
      <c r="K341" s="7">
        <v>40</v>
      </c>
      <c r="L341" s="7">
        <v>41</v>
      </c>
      <c r="M341" s="7">
        <v>42</v>
      </c>
      <c r="N341" s="7">
        <v>43</v>
      </c>
      <c r="O341" s="7">
        <v>44</v>
      </c>
      <c r="P341" s="7">
        <v>45</v>
      </c>
      <c r="Q341" s="7">
        <v>46</v>
      </c>
      <c r="R341" s="7">
        <v>47</v>
      </c>
      <c r="S341" s="7">
        <v>48</v>
      </c>
      <c r="T341" s="7">
        <v>49</v>
      </c>
      <c r="U341" s="7">
        <v>50</v>
      </c>
      <c r="V341" s="7">
        <v>51</v>
      </c>
      <c r="W341" s="7">
        <v>52</v>
      </c>
      <c r="X341" s="7">
        <v>53</v>
      </c>
      <c r="Y341" s="7">
        <v>54</v>
      </c>
      <c r="Z341" s="7">
        <v>55</v>
      </c>
      <c r="AA341" s="7">
        <v>56</v>
      </c>
      <c r="AB341" s="7">
        <v>57</v>
      </c>
      <c r="AC341" s="7">
        <v>58</v>
      </c>
      <c r="AD341" s="7">
        <v>59</v>
      </c>
      <c r="AE341" s="7">
        <v>60</v>
      </c>
      <c r="AF341" s="7">
        <v>61</v>
      </c>
      <c r="AG341" s="7">
        <v>62</v>
      </c>
      <c r="AH341" s="7">
        <v>63</v>
      </c>
      <c r="AI341" s="6"/>
    </row>
    <row r="342" spans="1:35" ht="15.75" thickBot="1" x14ac:dyDescent="0.3">
      <c r="A342" s="3"/>
      <c r="B342" s="5"/>
      <c r="C342" s="147" t="s">
        <v>13</v>
      </c>
      <c r="D342" s="148" t="s">
        <v>14</v>
      </c>
      <c r="E342" s="148" t="s">
        <v>15</v>
      </c>
      <c r="F342" s="148" t="s">
        <v>16</v>
      </c>
      <c r="G342" s="148" t="s">
        <v>17</v>
      </c>
      <c r="H342" s="148" t="s">
        <v>18</v>
      </c>
      <c r="I342" s="148" t="s">
        <v>19</v>
      </c>
      <c r="J342" s="148" t="s">
        <v>20</v>
      </c>
      <c r="K342" s="148" t="s">
        <v>21</v>
      </c>
      <c r="L342" s="148" t="s">
        <v>22</v>
      </c>
      <c r="M342" s="148" t="s">
        <v>23</v>
      </c>
      <c r="N342" s="148" t="s">
        <v>24</v>
      </c>
      <c r="O342" s="148" t="s">
        <v>25</v>
      </c>
      <c r="P342" s="148" t="s">
        <v>26</v>
      </c>
      <c r="Q342" s="148" t="s">
        <v>27</v>
      </c>
      <c r="R342" s="342" t="s">
        <v>30</v>
      </c>
      <c r="S342" s="343"/>
      <c r="T342" s="343"/>
      <c r="U342" s="343"/>
      <c r="V342" s="343"/>
      <c r="W342" s="343"/>
      <c r="X342" s="343"/>
      <c r="Y342" s="343"/>
      <c r="Z342" s="343"/>
      <c r="AA342" s="343"/>
      <c r="AB342" s="343"/>
      <c r="AC342" s="343"/>
      <c r="AD342" s="343"/>
      <c r="AE342" s="343"/>
      <c r="AF342" s="344"/>
      <c r="AG342" s="67" t="s">
        <v>28</v>
      </c>
      <c r="AH342" s="149" t="s">
        <v>29</v>
      </c>
      <c r="AI342" s="6"/>
    </row>
    <row r="343" spans="1:35" ht="15.75" thickBot="1" x14ac:dyDescent="0.3">
      <c r="A343" s="3"/>
      <c r="B343" s="5"/>
      <c r="C343" s="150">
        <v>0</v>
      </c>
      <c r="D343" s="151">
        <v>0</v>
      </c>
      <c r="E343" s="151">
        <v>0</v>
      </c>
      <c r="F343" s="151">
        <v>0</v>
      </c>
      <c r="G343" s="151">
        <v>0</v>
      </c>
      <c r="H343" s="151">
        <v>0</v>
      </c>
      <c r="I343" s="151">
        <v>0</v>
      </c>
      <c r="J343" s="151">
        <v>0</v>
      </c>
      <c r="K343" s="151">
        <v>0</v>
      </c>
      <c r="L343" s="151">
        <v>0</v>
      </c>
      <c r="M343" s="151">
        <v>0</v>
      </c>
      <c r="N343" s="151">
        <v>0</v>
      </c>
      <c r="O343" s="151">
        <v>1</v>
      </c>
      <c r="P343" s="151">
        <v>0</v>
      </c>
      <c r="Q343" s="151">
        <v>0</v>
      </c>
      <c r="R343" s="151">
        <v>0</v>
      </c>
      <c r="S343" s="151">
        <v>0</v>
      </c>
      <c r="T343" s="151">
        <v>0</v>
      </c>
      <c r="U343" s="151">
        <v>0</v>
      </c>
      <c r="V343" s="151">
        <v>0</v>
      </c>
      <c r="W343" s="151">
        <v>0</v>
      </c>
      <c r="X343" s="151">
        <v>0</v>
      </c>
      <c r="Y343" s="151">
        <v>0</v>
      </c>
      <c r="Z343" s="151">
        <v>1</v>
      </c>
      <c r="AA343" s="151">
        <v>0</v>
      </c>
      <c r="AB343" s="151">
        <v>0</v>
      </c>
      <c r="AC343" s="151">
        <v>1</v>
      </c>
      <c r="AD343" s="151">
        <v>0</v>
      </c>
      <c r="AE343" s="151">
        <v>0</v>
      </c>
      <c r="AF343" s="151">
        <v>0</v>
      </c>
      <c r="AG343" s="151">
        <v>0</v>
      </c>
      <c r="AH343" s="152">
        <v>0</v>
      </c>
      <c r="AI343" s="6"/>
    </row>
    <row r="344" spans="1:35" x14ac:dyDescent="0.25">
      <c r="A344" s="3"/>
      <c r="B344" s="4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6"/>
    </row>
    <row r="345" spans="1:35" x14ac:dyDescent="0.25">
      <c r="A345" s="3"/>
      <c r="B345" s="8" t="s">
        <v>43</v>
      </c>
      <c r="C345" s="9"/>
      <c r="D345" s="9"/>
      <c r="E345" s="9"/>
      <c r="F345" s="44" t="s">
        <v>44</v>
      </c>
      <c r="G345" s="44"/>
      <c r="H345" s="44"/>
      <c r="I345" s="9"/>
      <c r="J345" s="45" t="s">
        <v>45</v>
      </c>
      <c r="K345" s="45"/>
      <c r="L345" s="45"/>
      <c r="M345" s="45"/>
      <c r="N345" s="9"/>
      <c r="O345" s="46" t="s">
        <v>46</v>
      </c>
      <c r="P345" s="46"/>
      <c r="Q345" s="46"/>
      <c r="R345" s="46"/>
      <c r="S345" s="9"/>
      <c r="T345" s="1" t="s">
        <v>49</v>
      </c>
      <c r="U345" s="10" t="s">
        <v>48</v>
      </c>
      <c r="V345" s="5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6"/>
    </row>
    <row r="346" spans="1:35" ht="15" customHeight="1" x14ac:dyDescent="0.25">
      <c r="A346" s="3"/>
      <c r="B346" s="42" t="str">
        <f>"0x"&amp;DEC2HEX(Sheet3!$I$4,8)</f>
        <v>0x00400320</v>
      </c>
      <c r="C346" s="42"/>
      <c r="D346" s="42"/>
      <c r="E346" s="12"/>
      <c r="F346" s="319" t="str">
        <f>"0x"&amp;BIN2HEX(CONCATENATE(C339,D339,E339,F339,G339,H339,I339,J339),2)&amp;BIN2HEX(CONCATENATE(K339,L339,M339,N339,O339,P339,Q339,R339),2)&amp;BIN2HEX(CONCATENATE(S339,T339,U339,V339,W339,X339,Y339,Z339),2)&amp;BIN2HEX(CONCATENATE(AA339,AB339,AC339,AD339,AE339,AF339,AG339,AH339),2)</f>
        <v>0xFFFFFFFF</v>
      </c>
      <c r="G346" s="319"/>
      <c r="H346" s="319"/>
      <c r="I346" s="12"/>
      <c r="J346" s="319" t="str">
        <f>"0b"&amp;C343&amp;D343&amp;E343&amp;F343&amp;G343&amp;H343&amp;I343&amp;J343&amp;K343&amp;L343&amp;M343&amp;N343&amp;O343&amp;P343&amp;Q343</f>
        <v>0b000000000000100</v>
      </c>
      <c r="K346" s="319"/>
      <c r="L346" s="319"/>
      <c r="M346" s="319"/>
      <c r="N346" s="12"/>
      <c r="O346" s="319" t="str">
        <f>"0b"&amp;DEC2BIN(((AF343+AE343*2+AD343*4+AC343*8+AB343*16+AA343*32+Z343*64+Y343*128+X343*256+W343*512+V343*1024+U343*2048+T343*4096+S343*2^13+R343*2^14)/512),6)&amp;DEC2BIN(MOD((AF343+AE343*2+AD343*4+AC343*8+AB343*16+AA343*32+Z343*64+Y343*128+X343*256+W343*512+V343*1024+U343*2048+T343*4096+S343*2^13+R343*2^14),512),9)</f>
        <v>0b000000001001000</v>
      </c>
      <c r="P346" s="319"/>
      <c r="Q346" s="319"/>
      <c r="R346" s="319"/>
      <c r="S346" s="12"/>
      <c r="T346" s="13">
        <v>0</v>
      </c>
      <c r="U346" s="13">
        <f>AH343</f>
        <v>0</v>
      </c>
      <c r="V346" s="5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6"/>
    </row>
    <row r="347" spans="1:35" x14ac:dyDescent="0.25">
      <c r="A347" s="3"/>
      <c r="B347" s="42"/>
      <c r="C347" s="42"/>
      <c r="D347" s="42"/>
      <c r="E347" s="15"/>
      <c r="F347" s="43"/>
      <c r="G347" s="43"/>
      <c r="H347" s="43"/>
      <c r="I347" s="15"/>
      <c r="J347" s="42"/>
      <c r="K347" s="42"/>
      <c r="L347" s="42"/>
      <c r="M347" s="42"/>
      <c r="N347" s="15"/>
      <c r="O347" s="42"/>
      <c r="P347" s="42"/>
      <c r="Q347" s="42"/>
      <c r="R347" s="42"/>
      <c r="S347" s="15"/>
      <c r="T347" s="13"/>
      <c r="U347" s="15"/>
      <c r="V347" s="5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6"/>
    </row>
    <row r="348" spans="1:35" x14ac:dyDescent="0.25">
      <c r="A348" s="3"/>
      <c r="B348" s="42"/>
      <c r="C348" s="42"/>
      <c r="D348" s="42"/>
      <c r="E348" s="15"/>
      <c r="F348" s="43"/>
      <c r="G348" s="43"/>
      <c r="H348" s="43"/>
      <c r="I348" s="15"/>
      <c r="J348" s="42"/>
      <c r="K348" s="42"/>
      <c r="L348" s="42"/>
      <c r="M348" s="42"/>
      <c r="N348" s="15"/>
      <c r="O348" s="42"/>
      <c r="P348" s="42"/>
      <c r="Q348" s="42"/>
      <c r="R348" s="42"/>
      <c r="S348" s="15"/>
      <c r="T348" s="13"/>
      <c r="U348" s="15"/>
      <c r="V348" s="5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6"/>
    </row>
    <row r="349" spans="1:35" x14ac:dyDescent="0.25">
      <c r="A349" s="3"/>
      <c r="B349" s="5"/>
      <c r="C349" s="5"/>
      <c r="D349" s="5"/>
      <c r="E349" s="5"/>
      <c r="F349" s="17"/>
      <c r="G349" s="17"/>
      <c r="H349" s="17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6"/>
    </row>
    <row r="350" spans="1:35" x14ac:dyDescent="0.25">
      <c r="A350" s="3"/>
      <c r="B350" s="5" t="s">
        <v>47</v>
      </c>
      <c r="C350" s="18"/>
      <c r="D350" s="18"/>
      <c r="E350" s="18"/>
      <c r="F350" s="5"/>
      <c r="G350" s="5"/>
      <c r="H350" s="5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6"/>
    </row>
    <row r="351" spans="1:35" ht="15" customHeight="1" x14ac:dyDescent="0.25">
      <c r="A351" s="3"/>
      <c r="B351" s="42" t="str">
        <f>"0x"&amp;DEC2HEX(Sheet3!$I$4,8)</f>
        <v>0x00400320</v>
      </c>
      <c r="C351" s="42"/>
      <c r="D351" s="42"/>
      <c r="E351" s="16"/>
      <c r="F351" s="322" t="str">
        <f>F346&amp;BIN2HEX(MID(J346,3,8),2)&amp;BIN2HEX(RIGHT(J346,7)&amp;MID(O346,3,1),2)&amp;BIN2HEX(MID(O346,4,8),2)&amp;BIN2HEX(RIGHT(O346,6)&amp;T346&amp;U346,2)</f>
        <v>0xFFFFFFFF00080120</v>
      </c>
      <c r="G351" s="322"/>
      <c r="H351" s="322"/>
      <c r="I351" s="322"/>
      <c r="J351" s="5"/>
      <c r="K351" s="5"/>
      <c r="L351" s="5"/>
      <c r="M351" s="5"/>
      <c r="N351" s="5"/>
      <c r="O351" s="5"/>
      <c r="P351" s="16"/>
      <c r="Q351" s="16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5"/>
      <c r="AH351" s="5"/>
      <c r="AI351" s="6"/>
    </row>
    <row r="352" spans="1:35" x14ac:dyDescent="0.25">
      <c r="A352" s="3"/>
      <c r="B352" s="37"/>
      <c r="C352" s="37"/>
      <c r="D352" s="37"/>
      <c r="E352" s="5"/>
      <c r="F352" s="38"/>
      <c r="G352" s="38"/>
      <c r="H352" s="38"/>
      <c r="I352" s="38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6"/>
    </row>
    <row r="353" spans="1:35" x14ac:dyDescent="0.25">
      <c r="A353" s="3"/>
      <c r="B353" s="37"/>
      <c r="C353" s="37"/>
      <c r="D353" s="37"/>
      <c r="E353" s="5"/>
      <c r="F353" s="38"/>
      <c r="G353" s="38"/>
      <c r="H353" s="38"/>
      <c r="I353" s="38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6"/>
    </row>
    <row r="354" spans="1:35" x14ac:dyDescent="0.25">
      <c r="A354" s="20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2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3"/>
    </row>
    <row r="355" spans="1:35" x14ac:dyDescent="0.25">
      <c r="A355" s="24"/>
      <c r="B355" s="28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6"/>
    </row>
    <row r="356" spans="1:35" x14ac:dyDescent="0.25">
      <c r="A356" s="3"/>
      <c r="B356" s="4" t="s">
        <v>147</v>
      </c>
      <c r="C356" s="5"/>
      <c r="D356" s="5"/>
      <c r="E356" s="5"/>
      <c r="F356" s="5"/>
      <c r="G356" s="5"/>
      <c r="H356" s="5"/>
      <c r="I356" s="5" t="str">
        <f>"0x"&amp;BIN2HEX(CONCATENATE(C361,D361,E361,F361,G361,H361,I361,J361),2)&amp;BIN2HEX(CONCATENATE(K361,L361,M361,N361,O361,P361,Q361,R361),2)&amp;BIN2HEX(CONCATENATE(S361,T361,U361,V361,W361,X361,Y361,Z361),2)&amp;BIN2HEX(CONCATENATE(AA361,AB361,AC361,AD361,AE361,AF361,AG361,AH361),2)&amp;"_"&amp;BIN2HEX(CONCATENATE(C365,D365,E365,F365,G365,H365,I365,J365),2)&amp;BIN2HEX(CONCATENATE(K365,L365,M365,N365,O365,P365,Q365,R365),2)&amp;BIN2HEX(CONCATENATE(S365,T365,U365,V365,W365,X365,Y365,Z365),2)&amp;BIN2HEX(CONCATENATE(AA365,AB365,AC365,AD365,AE365,AF365,AG365,AH365),2)</f>
        <v>0xFFFFFFFF_00080124</v>
      </c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6"/>
    </row>
    <row r="357" spans="1:35" ht="15.75" thickBot="1" x14ac:dyDescent="0.3">
      <c r="A357" s="3"/>
      <c r="B357" s="5"/>
      <c r="C357" s="7">
        <v>0</v>
      </c>
      <c r="D357" s="7">
        <v>1</v>
      </c>
      <c r="E357" s="7">
        <v>2</v>
      </c>
      <c r="F357" s="7">
        <v>3</v>
      </c>
      <c r="G357" s="7">
        <v>4</v>
      </c>
      <c r="H357" s="7">
        <v>5</v>
      </c>
      <c r="I357" s="7">
        <v>6</v>
      </c>
      <c r="J357" s="7">
        <v>7</v>
      </c>
      <c r="K357" s="7">
        <v>8</v>
      </c>
      <c r="L357" s="7">
        <v>9</v>
      </c>
      <c r="M357" s="7">
        <v>10</v>
      </c>
      <c r="N357" s="7">
        <v>11</v>
      </c>
      <c r="O357" s="7">
        <v>12</v>
      </c>
      <c r="P357" s="7">
        <v>13</v>
      </c>
      <c r="Q357" s="7">
        <v>14</v>
      </c>
      <c r="R357" s="7">
        <v>15</v>
      </c>
      <c r="S357" s="7">
        <v>16</v>
      </c>
      <c r="T357" s="7">
        <v>17</v>
      </c>
      <c r="U357" s="7">
        <v>18</v>
      </c>
      <c r="V357" s="7">
        <v>19</v>
      </c>
      <c r="W357" s="7">
        <v>20</v>
      </c>
      <c r="X357" s="7">
        <v>21</v>
      </c>
      <c r="Y357" s="7">
        <v>22</v>
      </c>
      <c r="Z357" s="7">
        <v>23</v>
      </c>
      <c r="AA357" s="7">
        <v>24</v>
      </c>
      <c r="AB357" s="7">
        <v>25</v>
      </c>
      <c r="AC357" s="7">
        <v>26</v>
      </c>
      <c r="AD357" s="7">
        <v>27</v>
      </c>
      <c r="AE357" s="7">
        <v>28</v>
      </c>
      <c r="AF357" s="7">
        <v>29</v>
      </c>
      <c r="AG357" s="7">
        <v>30</v>
      </c>
      <c r="AH357" s="7">
        <v>31</v>
      </c>
      <c r="AI357" s="6"/>
    </row>
    <row r="358" spans="1:35" ht="15" customHeight="1" x14ac:dyDescent="0.25">
      <c r="A358" s="3"/>
      <c r="B358" s="5" t="s">
        <v>31</v>
      </c>
      <c r="C358" s="354" t="s">
        <v>146</v>
      </c>
      <c r="D358" s="331"/>
      <c r="E358" s="331"/>
      <c r="F358" s="331"/>
      <c r="G358" s="331"/>
      <c r="H358" s="331"/>
      <c r="I358" s="331"/>
      <c r="J358" s="331"/>
      <c r="K358" s="331"/>
      <c r="L358" s="331"/>
      <c r="M358" s="331"/>
      <c r="N358" s="331"/>
      <c r="O358" s="331"/>
      <c r="P358" s="331"/>
      <c r="Q358" s="331"/>
      <c r="R358" s="331"/>
      <c r="S358" s="331"/>
      <c r="T358" s="331"/>
      <c r="U358" s="331"/>
      <c r="V358" s="331"/>
      <c r="W358" s="331"/>
      <c r="X358" s="331"/>
      <c r="Y358" s="331"/>
      <c r="Z358" s="331"/>
      <c r="AA358" s="331"/>
      <c r="AB358" s="331"/>
      <c r="AC358" s="331"/>
      <c r="AD358" s="331"/>
      <c r="AE358" s="331"/>
      <c r="AF358" s="331"/>
      <c r="AG358" s="331"/>
      <c r="AH358" s="355"/>
      <c r="AI358" s="6"/>
    </row>
    <row r="359" spans="1:35" x14ac:dyDescent="0.25">
      <c r="A359" s="3"/>
      <c r="B359" s="5" t="s">
        <v>32</v>
      </c>
      <c r="C359" s="356"/>
      <c r="D359" s="334"/>
      <c r="E359" s="334"/>
      <c r="F359" s="334"/>
      <c r="G359" s="334"/>
      <c r="H359" s="334"/>
      <c r="I359" s="334"/>
      <c r="J359" s="334"/>
      <c r="K359" s="334"/>
      <c r="L359" s="334"/>
      <c r="M359" s="334"/>
      <c r="N359" s="334"/>
      <c r="O359" s="334"/>
      <c r="P359" s="334"/>
      <c r="Q359" s="334"/>
      <c r="R359" s="334"/>
      <c r="S359" s="334"/>
      <c r="T359" s="334"/>
      <c r="U359" s="334"/>
      <c r="V359" s="334"/>
      <c r="W359" s="334"/>
      <c r="X359" s="334"/>
      <c r="Y359" s="334"/>
      <c r="Z359" s="334"/>
      <c r="AA359" s="334"/>
      <c r="AB359" s="334"/>
      <c r="AC359" s="334"/>
      <c r="AD359" s="334"/>
      <c r="AE359" s="334"/>
      <c r="AF359" s="334"/>
      <c r="AG359" s="334"/>
      <c r="AH359" s="357"/>
      <c r="AI359" s="6"/>
    </row>
    <row r="360" spans="1:35" x14ac:dyDescent="0.25">
      <c r="A360" s="3"/>
      <c r="B360" s="5" t="s">
        <v>11</v>
      </c>
      <c r="C360" s="56">
        <v>1</v>
      </c>
      <c r="D360" s="57">
        <v>1</v>
      </c>
      <c r="E360" s="57">
        <v>1</v>
      </c>
      <c r="F360" s="57">
        <v>1</v>
      </c>
      <c r="G360" s="57">
        <v>1</v>
      </c>
      <c r="H360" s="57">
        <v>1</v>
      </c>
      <c r="I360" s="57">
        <v>1</v>
      </c>
      <c r="J360" s="57">
        <v>1</v>
      </c>
      <c r="K360" s="57">
        <v>1</v>
      </c>
      <c r="L360" s="57">
        <v>1</v>
      </c>
      <c r="M360" s="57">
        <v>1</v>
      </c>
      <c r="N360" s="57">
        <v>1</v>
      </c>
      <c r="O360" s="57">
        <v>1</v>
      </c>
      <c r="P360" s="57">
        <v>1</v>
      </c>
      <c r="Q360" s="57">
        <v>1</v>
      </c>
      <c r="R360" s="57">
        <v>1</v>
      </c>
      <c r="S360" s="57">
        <v>1</v>
      </c>
      <c r="T360" s="57">
        <v>1</v>
      </c>
      <c r="U360" s="57">
        <v>1</v>
      </c>
      <c r="V360" s="57">
        <v>1</v>
      </c>
      <c r="W360" s="57">
        <v>1</v>
      </c>
      <c r="X360" s="57">
        <v>1</v>
      </c>
      <c r="Y360" s="57">
        <v>1</v>
      </c>
      <c r="Z360" s="57">
        <v>1</v>
      </c>
      <c r="AA360" s="57">
        <v>1</v>
      </c>
      <c r="AB360" s="57">
        <v>1</v>
      </c>
      <c r="AC360" s="57">
        <v>1</v>
      </c>
      <c r="AD360" s="57">
        <v>1</v>
      </c>
      <c r="AE360" s="57">
        <v>1</v>
      </c>
      <c r="AF360" s="57">
        <v>1</v>
      </c>
      <c r="AG360" s="57">
        <v>1</v>
      </c>
      <c r="AH360" s="58">
        <v>1</v>
      </c>
      <c r="AI360" s="6"/>
    </row>
    <row r="361" spans="1:35" ht="15.75" thickBot="1" x14ac:dyDescent="0.3">
      <c r="A361" s="3"/>
      <c r="B361" s="5" t="s">
        <v>12</v>
      </c>
      <c r="C361" s="145">
        <v>1</v>
      </c>
      <c r="D361" s="88">
        <v>1</v>
      </c>
      <c r="E361" s="88">
        <v>1</v>
      </c>
      <c r="F361" s="88">
        <v>1</v>
      </c>
      <c r="G361" s="88">
        <v>1</v>
      </c>
      <c r="H361" s="88">
        <v>1</v>
      </c>
      <c r="I361" s="88">
        <v>1</v>
      </c>
      <c r="J361" s="88">
        <v>1</v>
      </c>
      <c r="K361" s="88">
        <v>1</v>
      </c>
      <c r="L361" s="88">
        <v>1</v>
      </c>
      <c r="M361" s="88">
        <v>1</v>
      </c>
      <c r="N361" s="88">
        <v>1</v>
      </c>
      <c r="O361" s="88">
        <v>1</v>
      </c>
      <c r="P361" s="88">
        <v>1</v>
      </c>
      <c r="Q361" s="88">
        <v>1</v>
      </c>
      <c r="R361" s="88">
        <v>1</v>
      </c>
      <c r="S361" s="88">
        <v>1</v>
      </c>
      <c r="T361" s="88">
        <v>1</v>
      </c>
      <c r="U361" s="88">
        <v>1</v>
      </c>
      <c r="V361" s="88">
        <v>1</v>
      </c>
      <c r="W361" s="88">
        <v>1</v>
      </c>
      <c r="X361" s="88">
        <v>1</v>
      </c>
      <c r="Y361" s="88">
        <v>1</v>
      </c>
      <c r="Z361" s="88">
        <v>1</v>
      </c>
      <c r="AA361" s="88">
        <v>1</v>
      </c>
      <c r="AB361" s="88">
        <v>1</v>
      </c>
      <c r="AC361" s="88">
        <v>1</v>
      </c>
      <c r="AD361" s="88">
        <v>1</v>
      </c>
      <c r="AE361" s="88">
        <v>1</v>
      </c>
      <c r="AF361" s="88">
        <v>1</v>
      </c>
      <c r="AG361" s="88">
        <v>1</v>
      </c>
      <c r="AH361" s="89">
        <v>1</v>
      </c>
      <c r="AI361" s="6"/>
    </row>
    <row r="362" spans="1:35" x14ac:dyDescent="0.25">
      <c r="A362" s="3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6"/>
    </row>
    <row r="363" spans="1:35" ht="15.75" thickBot="1" x14ac:dyDescent="0.3">
      <c r="A363" s="3"/>
      <c r="B363" s="5"/>
      <c r="C363" s="7">
        <v>32</v>
      </c>
      <c r="D363" s="7">
        <v>33</v>
      </c>
      <c r="E363" s="7">
        <v>34</v>
      </c>
      <c r="F363" s="7">
        <v>35</v>
      </c>
      <c r="G363" s="7">
        <v>36</v>
      </c>
      <c r="H363" s="7">
        <v>37</v>
      </c>
      <c r="I363" s="7">
        <v>38</v>
      </c>
      <c r="J363" s="7">
        <v>39</v>
      </c>
      <c r="K363" s="7">
        <v>40</v>
      </c>
      <c r="L363" s="7">
        <v>41</v>
      </c>
      <c r="M363" s="7">
        <v>42</v>
      </c>
      <c r="N363" s="7">
        <v>43</v>
      </c>
      <c r="O363" s="7">
        <v>44</v>
      </c>
      <c r="P363" s="7">
        <v>45</v>
      </c>
      <c r="Q363" s="7">
        <v>46</v>
      </c>
      <c r="R363" s="7">
        <v>47</v>
      </c>
      <c r="S363" s="7">
        <v>48</v>
      </c>
      <c r="T363" s="7">
        <v>49</v>
      </c>
      <c r="U363" s="7">
        <v>50</v>
      </c>
      <c r="V363" s="7">
        <v>51</v>
      </c>
      <c r="W363" s="7">
        <v>52</v>
      </c>
      <c r="X363" s="7">
        <v>53</v>
      </c>
      <c r="Y363" s="7">
        <v>54</v>
      </c>
      <c r="Z363" s="7">
        <v>55</v>
      </c>
      <c r="AA363" s="7">
        <v>56</v>
      </c>
      <c r="AB363" s="7">
        <v>57</v>
      </c>
      <c r="AC363" s="7">
        <v>58</v>
      </c>
      <c r="AD363" s="7">
        <v>59</v>
      </c>
      <c r="AE363" s="7">
        <v>60</v>
      </c>
      <c r="AF363" s="7">
        <v>61</v>
      </c>
      <c r="AG363" s="7">
        <v>62</v>
      </c>
      <c r="AH363" s="7">
        <v>63</v>
      </c>
      <c r="AI363" s="6"/>
    </row>
    <row r="364" spans="1:35" ht="15.75" thickBot="1" x14ac:dyDescent="0.3">
      <c r="A364" s="3"/>
      <c r="B364" s="5"/>
      <c r="C364" s="147" t="s">
        <v>13</v>
      </c>
      <c r="D364" s="148" t="s">
        <v>14</v>
      </c>
      <c r="E364" s="148" t="s">
        <v>15</v>
      </c>
      <c r="F364" s="148" t="s">
        <v>16</v>
      </c>
      <c r="G364" s="148" t="s">
        <v>17</v>
      </c>
      <c r="H364" s="148" t="s">
        <v>18</v>
      </c>
      <c r="I364" s="148" t="s">
        <v>19</v>
      </c>
      <c r="J364" s="148" t="s">
        <v>20</v>
      </c>
      <c r="K364" s="148" t="s">
        <v>21</v>
      </c>
      <c r="L364" s="148" t="s">
        <v>22</v>
      </c>
      <c r="M364" s="148" t="s">
        <v>23</v>
      </c>
      <c r="N364" s="148" t="s">
        <v>24</v>
      </c>
      <c r="O364" s="148" t="s">
        <v>25</v>
      </c>
      <c r="P364" s="148" t="s">
        <v>26</v>
      </c>
      <c r="Q364" s="148" t="s">
        <v>27</v>
      </c>
      <c r="R364" s="342" t="s">
        <v>30</v>
      </c>
      <c r="S364" s="343"/>
      <c r="T364" s="343"/>
      <c r="U364" s="343"/>
      <c r="V364" s="343"/>
      <c r="W364" s="343"/>
      <c r="X364" s="343"/>
      <c r="Y364" s="343"/>
      <c r="Z364" s="343"/>
      <c r="AA364" s="343"/>
      <c r="AB364" s="343"/>
      <c r="AC364" s="343"/>
      <c r="AD364" s="343"/>
      <c r="AE364" s="343"/>
      <c r="AF364" s="344"/>
      <c r="AG364" s="67" t="s">
        <v>28</v>
      </c>
      <c r="AH364" s="149" t="s">
        <v>29</v>
      </c>
      <c r="AI364" s="6"/>
    </row>
    <row r="365" spans="1:35" ht="15.75" thickBot="1" x14ac:dyDescent="0.3">
      <c r="A365" s="3"/>
      <c r="B365" s="5"/>
      <c r="C365" s="150">
        <v>0</v>
      </c>
      <c r="D365" s="151">
        <v>0</v>
      </c>
      <c r="E365" s="151">
        <v>0</v>
      </c>
      <c r="F365" s="151">
        <v>0</v>
      </c>
      <c r="G365" s="151">
        <v>0</v>
      </c>
      <c r="H365" s="151">
        <v>0</v>
      </c>
      <c r="I365" s="151">
        <v>0</v>
      </c>
      <c r="J365" s="151">
        <v>0</v>
      </c>
      <c r="K365" s="151">
        <v>0</v>
      </c>
      <c r="L365" s="151">
        <v>0</v>
      </c>
      <c r="M365" s="151">
        <v>0</v>
      </c>
      <c r="N365" s="151">
        <v>0</v>
      </c>
      <c r="O365" s="151">
        <v>1</v>
      </c>
      <c r="P365" s="151">
        <v>0</v>
      </c>
      <c r="Q365" s="151">
        <v>0</v>
      </c>
      <c r="R365" s="151">
        <v>0</v>
      </c>
      <c r="S365" s="151">
        <v>0</v>
      </c>
      <c r="T365" s="151">
        <v>0</v>
      </c>
      <c r="U365" s="151">
        <v>0</v>
      </c>
      <c r="V365" s="151">
        <v>0</v>
      </c>
      <c r="W365" s="151">
        <v>0</v>
      </c>
      <c r="X365" s="151">
        <v>0</v>
      </c>
      <c r="Y365" s="151">
        <v>0</v>
      </c>
      <c r="Z365" s="151">
        <v>1</v>
      </c>
      <c r="AA365" s="151">
        <v>0</v>
      </c>
      <c r="AB365" s="151">
        <v>0</v>
      </c>
      <c r="AC365" s="151">
        <v>1</v>
      </c>
      <c r="AD365" s="151">
        <v>0</v>
      </c>
      <c r="AE365" s="151">
        <v>0</v>
      </c>
      <c r="AF365" s="151">
        <v>1</v>
      </c>
      <c r="AG365" s="151">
        <v>0</v>
      </c>
      <c r="AH365" s="152">
        <v>0</v>
      </c>
      <c r="AI365" s="6"/>
    </row>
    <row r="366" spans="1:35" x14ac:dyDescent="0.25">
      <c r="A366" s="3"/>
      <c r="B366" s="4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6"/>
    </row>
    <row r="367" spans="1:35" x14ac:dyDescent="0.25">
      <c r="A367" s="3"/>
      <c r="B367" s="8" t="s">
        <v>43</v>
      </c>
      <c r="C367" s="9"/>
      <c r="D367" s="9"/>
      <c r="E367" s="9"/>
      <c r="F367" s="44" t="s">
        <v>44</v>
      </c>
      <c r="G367" s="44"/>
      <c r="H367" s="44"/>
      <c r="I367" s="9"/>
      <c r="J367" s="45" t="s">
        <v>45</v>
      </c>
      <c r="K367" s="45"/>
      <c r="L367" s="45"/>
      <c r="M367" s="45"/>
      <c r="N367" s="9"/>
      <c r="O367" s="46" t="s">
        <v>46</v>
      </c>
      <c r="P367" s="46"/>
      <c r="Q367" s="46"/>
      <c r="R367" s="46"/>
      <c r="S367" s="9"/>
      <c r="T367" s="1" t="s">
        <v>49</v>
      </c>
      <c r="U367" s="10" t="s">
        <v>48</v>
      </c>
      <c r="V367" s="5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6"/>
    </row>
    <row r="368" spans="1:35" ht="15" customHeight="1" x14ac:dyDescent="0.25">
      <c r="A368" s="3"/>
      <c r="B368" s="42" t="str">
        <f>"0x"&amp;DEC2HEX(Sheet3!$I$4,8)</f>
        <v>0x00400320</v>
      </c>
      <c r="C368" s="42"/>
      <c r="D368" s="42"/>
      <c r="E368" s="12"/>
      <c r="F368" s="319" t="str">
        <f>"0x"&amp;BIN2HEX(CONCATENATE(C361,D361,E361,F361,G361,H361,I361,J361),2)&amp;BIN2HEX(CONCATENATE(K361,L361,M361,N361,O361,P361,Q361,R361),2)&amp;BIN2HEX(CONCATENATE(S361,T361,U361,V361,W361,X361,Y361,Z361),2)&amp;BIN2HEX(CONCATENATE(AA361,AB361,AC361,AD361,AE361,AF361,AG361,AH361),2)</f>
        <v>0xFFFFFFFF</v>
      </c>
      <c r="G368" s="319"/>
      <c r="H368" s="319"/>
      <c r="I368" s="12"/>
      <c r="J368" s="319" t="str">
        <f>"0b"&amp;C365&amp;D365&amp;E365&amp;F365&amp;G365&amp;H365&amp;I365&amp;J365&amp;K365&amp;L365&amp;M365&amp;N365&amp;O365&amp;P365&amp;Q365</f>
        <v>0b000000000000100</v>
      </c>
      <c r="K368" s="319"/>
      <c r="L368" s="319"/>
      <c r="M368" s="319"/>
      <c r="N368" s="12"/>
      <c r="O368" s="319" t="str">
        <f>"0b"&amp;DEC2BIN(((AF365+AE365*2+AD365*4+AC365*8+AB365*16+AA365*32+Z365*64+Y365*128+X365*256+W365*512+V365*1024+U365*2048+T365*4096+S365*2^13+R365*2^14)/512),6)&amp;DEC2BIN(MOD((AF365+AE365*2+AD365*4+AC365*8+AB365*16+AA365*32+Z365*64+Y365*128+X365*256+W365*512+V365*1024+U365*2048+T365*4096+S365*2^13+R365*2^14),512),9)</f>
        <v>0b000000001001001</v>
      </c>
      <c r="P368" s="319"/>
      <c r="Q368" s="319"/>
      <c r="R368" s="319"/>
      <c r="S368" s="12"/>
      <c r="T368" s="13">
        <v>0</v>
      </c>
      <c r="U368" s="13">
        <f>AH365</f>
        <v>0</v>
      </c>
      <c r="V368" s="5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6"/>
    </row>
    <row r="369" spans="1:35" x14ac:dyDescent="0.25">
      <c r="A369" s="3"/>
      <c r="B369" s="42"/>
      <c r="C369" s="42"/>
      <c r="D369" s="42"/>
      <c r="E369" s="15"/>
      <c r="F369" s="43"/>
      <c r="G369" s="43"/>
      <c r="H369" s="43"/>
      <c r="I369" s="15"/>
      <c r="J369" s="42"/>
      <c r="K369" s="42"/>
      <c r="L369" s="42"/>
      <c r="M369" s="42"/>
      <c r="N369" s="15"/>
      <c r="O369" s="42"/>
      <c r="P369" s="42"/>
      <c r="Q369" s="42"/>
      <c r="R369" s="42"/>
      <c r="S369" s="15"/>
      <c r="T369" s="13"/>
      <c r="U369" s="15"/>
      <c r="V369" s="5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6"/>
    </row>
    <row r="370" spans="1:35" x14ac:dyDescent="0.25">
      <c r="A370" s="3"/>
      <c r="B370" s="42"/>
      <c r="C370" s="42"/>
      <c r="D370" s="42"/>
      <c r="E370" s="15"/>
      <c r="F370" s="43"/>
      <c r="G370" s="43"/>
      <c r="H370" s="43"/>
      <c r="I370" s="15"/>
      <c r="J370" s="42"/>
      <c r="K370" s="42"/>
      <c r="L370" s="42"/>
      <c r="M370" s="42"/>
      <c r="N370" s="15"/>
      <c r="O370" s="42"/>
      <c r="P370" s="42"/>
      <c r="Q370" s="42"/>
      <c r="R370" s="42"/>
      <c r="S370" s="15"/>
      <c r="T370" s="13"/>
      <c r="U370" s="15"/>
      <c r="V370" s="5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6"/>
    </row>
    <row r="371" spans="1:35" x14ac:dyDescent="0.25">
      <c r="A371" s="3"/>
      <c r="B371" s="5"/>
      <c r="C371" s="5"/>
      <c r="D371" s="5"/>
      <c r="E371" s="5"/>
      <c r="F371" s="17"/>
      <c r="G371" s="17"/>
      <c r="H371" s="17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6"/>
    </row>
    <row r="372" spans="1:35" x14ac:dyDescent="0.25">
      <c r="A372" s="3"/>
      <c r="B372" s="5" t="s">
        <v>47</v>
      </c>
      <c r="C372" s="18"/>
      <c r="D372" s="18"/>
      <c r="E372" s="18"/>
      <c r="F372" s="5"/>
      <c r="G372" s="5"/>
      <c r="H372" s="5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6"/>
    </row>
    <row r="373" spans="1:35" ht="15" customHeight="1" x14ac:dyDescent="0.25">
      <c r="A373" s="3"/>
      <c r="B373" s="42" t="str">
        <f>"0x"&amp;DEC2HEX(Sheet3!$I$4,8)</f>
        <v>0x00400320</v>
      </c>
      <c r="C373" s="42"/>
      <c r="D373" s="42"/>
      <c r="E373" s="16"/>
      <c r="F373" s="322" t="str">
        <f>F368&amp;BIN2HEX(MID(J368,3,8),2)&amp;BIN2HEX(RIGHT(J368,7)&amp;MID(O368,3,1),2)&amp;BIN2HEX(MID(O368,4,8),2)&amp;BIN2HEX(RIGHT(O368,6)&amp;T368&amp;U368,2)</f>
        <v>0xFFFFFFFF00080124</v>
      </c>
      <c r="G373" s="322"/>
      <c r="H373" s="322"/>
      <c r="I373" s="322"/>
      <c r="J373" s="5"/>
      <c r="K373" s="5"/>
      <c r="L373" s="5"/>
      <c r="M373" s="5"/>
      <c r="N373" s="5"/>
      <c r="O373" s="5"/>
      <c r="P373" s="16"/>
      <c r="Q373" s="16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5"/>
      <c r="AH373" s="5"/>
      <c r="AI373" s="6"/>
    </row>
    <row r="374" spans="1:35" x14ac:dyDescent="0.25">
      <c r="A374" s="3"/>
      <c r="B374" s="37"/>
      <c r="C374" s="37"/>
      <c r="D374" s="37"/>
      <c r="E374" s="5"/>
      <c r="F374" s="38"/>
      <c r="G374" s="38"/>
      <c r="H374" s="38"/>
      <c r="I374" s="38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6"/>
    </row>
    <row r="375" spans="1:35" x14ac:dyDescent="0.25">
      <c r="A375" s="3"/>
      <c r="B375" s="37"/>
      <c r="C375" s="37"/>
      <c r="D375" s="37"/>
      <c r="E375" s="5"/>
      <c r="F375" s="38"/>
      <c r="G375" s="38"/>
      <c r="H375" s="38"/>
      <c r="I375" s="38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6"/>
    </row>
    <row r="376" spans="1:35" x14ac:dyDescent="0.25">
      <c r="A376" s="20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2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3"/>
    </row>
    <row r="377" spans="1:35" x14ac:dyDescent="0.25">
      <c r="A377" s="24"/>
      <c r="B377" s="28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6"/>
    </row>
    <row r="378" spans="1:35" x14ac:dyDescent="0.25">
      <c r="A378" s="3"/>
      <c r="B378" s="4" t="s">
        <v>148</v>
      </c>
      <c r="C378" s="5"/>
      <c r="D378" s="5"/>
      <c r="E378" s="5"/>
      <c r="F378" s="5"/>
      <c r="G378" s="5"/>
      <c r="H378" s="5"/>
      <c r="I378" s="5" t="str">
        <f>"0x"&amp;BIN2HEX(CONCATENATE(C383,D383,E383,F383,G383,H383,I383,J383),2)&amp;BIN2HEX(CONCATENATE(K383,L383,M383,N383,O383,P383,Q383,R383),2)&amp;BIN2HEX(CONCATENATE(S383,T383,U383,V383,W383,X383,Y383,Z383),2)&amp;BIN2HEX(CONCATENATE(AA383,AB383,AC383,AD383,AE383,AF383,AG383,AH383),2)&amp;"_"&amp;BIN2HEX(CONCATENATE(C387,D387,E387,F387,G387,H387,I387,J387),2)&amp;BIN2HEX(CONCATENATE(K387,L387,M387,N387,O387,P387,Q387,R387),2)&amp;BIN2HEX(CONCATENATE(S387,T387,U387,V387,W387,X387,Y387,Z387),2)&amp;BIN2HEX(CONCATENATE(AA387,AB387,AC387,AD387,AE387,AF387,AG387,AH387),2)</f>
        <v>0x00000000_00080140</v>
      </c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6"/>
    </row>
    <row r="379" spans="1:35" ht="15.75" thickBot="1" x14ac:dyDescent="0.3">
      <c r="A379" s="3"/>
      <c r="B379" s="5"/>
      <c r="C379" s="7">
        <v>0</v>
      </c>
      <c r="D379" s="7">
        <v>1</v>
      </c>
      <c r="E379" s="7">
        <v>2</v>
      </c>
      <c r="F379" s="7">
        <v>3</v>
      </c>
      <c r="G379" s="7">
        <v>4</v>
      </c>
      <c r="H379" s="7">
        <v>5</v>
      </c>
      <c r="I379" s="7">
        <v>6</v>
      </c>
      <c r="J379" s="7">
        <v>7</v>
      </c>
      <c r="K379" s="7">
        <v>8</v>
      </c>
      <c r="L379" s="7">
        <v>9</v>
      </c>
      <c r="M379" s="7">
        <v>10</v>
      </c>
      <c r="N379" s="7">
        <v>11</v>
      </c>
      <c r="O379" s="7">
        <v>12</v>
      </c>
      <c r="P379" s="7">
        <v>13</v>
      </c>
      <c r="Q379" s="7">
        <v>14</v>
      </c>
      <c r="R379" s="7">
        <v>15</v>
      </c>
      <c r="S379" s="7">
        <v>16</v>
      </c>
      <c r="T379" s="7">
        <v>17</v>
      </c>
      <c r="U379" s="7">
        <v>18</v>
      </c>
      <c r="V379" s="7">
        <v>19</v>
      </c>
      <c r="W379" s="7">
        <v>20</v>
      </c>
      <c r="X379" s="7">
        <v>21</v>
      </c>
      <c r="Y379" s="7">
        <v>22</v>
      </c>
      <c r="Z379" s="7">
        <v>23</v>
      </c>
      <c r="AA379" s="7">
        <v>24</v>
      </c>
      <c r="AB379" s="7">
        <v>25</v>
      </c>
      <c r="AC379" s="7">
        <v>26</v>
      </c>
      <c r="AD379" s="7">
        <v>27</v>
      </c>
      <c r="AE379" s="7">
        <v>28</v>
      </c>
      <c r="AF379" s="7">
        <v>29</v>
      </c>
      <c r="AG379" s="7">
        <v>30</v>
      </c>
      <c r="AH379" s="7">
        <v>31</v>
      </c>
      <c r="AI379" s="6"/>
    </row>
    <row r="380" spans="1:35" ht="15" customHeight="1" x14ac:dyDescent="0.25">
      <c r="A380" s="3"/>
      <c r="B380" s="5" t="s">
        <v>31</v>
      </c>
      <c r="C380" s="328" t="s">
        <v>161</v>
      </c>
      <c r="D380" s="330" t="s">
        <v>63</v>
      </c>
      <c r="E380" s="331"/>
      <c r="F380" s="331"/>
      <c r="G380" s="331"/>
      <c r="H380" s="331"/>
      <c r="I380" s="331"/>
      <c r="J380" s="332"/>
      <c r="K380" s="336">
        <v>0</v>
      </c>
      <c r="L380" s="337"/>
      <c r="M380" s="337"/>
      <c r="N380" s="360" t="s">
        <v>112</v>
      </c>
      <c r="O380" s="360" t="s">
        <v>112</v>
      </c>
      <c r="P380" s="330" t="s">
        <v>135</v>
      </c>
      <c r="Q380" s="331"/>
      <c r="R380" s="332"/>
      <c r="S380" s="330" t="s">
        <v>136</v>
      </c>
      <c r="T380" s="331"/>
      <c r="U380" s="331"/>
      <c r="V380" s="332"/>
      <c r="W380" s="330" t="s">
        <v>137</v>
      </c>
      <c r="X380" s="331"/>
      <c r="Y380" s="331"/>
      <c r="Z380" s="332"/>
      <c r="AA380" s="154">
        <v>0</v>
      </c>
      <c r="AB380" s="345" t="s">
        <v>138</v>
      </c>
      <c r="AC380" s="330" t="s">
        <v>139</v>
      </c>
      <c r="AD380" s="331"/>
      <c r="AE380" s="331"/>
      <c r="AF380" s="331"/>
      <c r="AG380" s="331"/>
      <c r="AH380" s="355"/>
      <c r="AI380" s="6"/>
    </row>
    <row r="381" spans="1:35" x14ac:dyDescent="0.25">
      <c r="A381" s="3"/>
      <c r="B381" s="5" t="s">
        <v>32</v>
      </c>
      <c r="C381" s="329"/>
      <c r="D381" s="333"/>
      <c r="E381" s="334"/>
      <c r="F381" s="334"/>
      <c r="G381" s="334"/>
      <c r="H381" s="334"/>
      <c r="I381" s="334"/>
      <c r="J381" s="335"/>
      <c r="K381" s="339"/>
      <c r="L381" s="340"/>
      <c r="M381" s="340"/>
      <c r="N381" s="361"/>
      <c r="O381" s="361"/>
      <c r="P381" s="333"/>
      <c r="Q381" s="334"/>
      <c r="R381" s="335"/>
      <c r="S381" s="333"/>
      <c r="T381" s="334"/>
      <c r="U381" s="334"/>
      <c r="V381" s="335"/>
      <c r="W381" s="333"/>
      <c r="X381" s="334"/>
      <c r="Y381" s="334"/>
      <c r="Z381" s="335"/>
      <c r="AA381" s="156"/>
      <c r="AB381" s="346"/>
      <c r="AC381" s="333"/>
      <c r="AD381" s="334"/>
      <c r="AE381" s="334"/>
      <c r="AF381" s="334"/>
      <c r="AG381" s="334"/>
      <c r="AH381" s="357"/>
      <c r="AI381" s="6"/>
    </row>
    <row r="382" spans="1:35" x14ac:dyDescent="0.25">
      <c r="A382" s="3"/>
      <c r="B382" s="5" t="s">
        <v>11</v>
      </c>
      <c r="C382" s="56">
        <v>0</v>
      </c>
      <c r="D382" s="57">
        <v>0</v>
      </c>
      <c r="E382" s="57">
        <v>0</v>
      </c>
      <c r="F382" s="57">
        <v>0</v>
      </c>
      <c r="G382" s="57">
        <v>0</v>
      </c>
      <c r="H382" s="57">
        <v>0</v>
      </c>
      <c r="I382" s="57">
        <v>0</v>
      </c>
      <c r="J382" s="57">
        <v>0</v>
      </c>
      <c r="K382" s="57">
        <v>0</v>
      </c>
      <c r="L382" s="57">
        <v>0</v>
      </c>
      <c r="M382" s="57">
        <v>0</v>
      </c>
      <c r="N382" s="57">
        <v>0</v>
      </c>
      <c r="O382" s="57">
        <v>0</v>
      </c>
      <c r="P382" s="57">
        <v>0</v>
      </c>
      <c r="Q382" s="57">
        <v>0</v>
      </c>
      <c r="R382" s="57">
        <v>0</v>
      </c>
      <c r="S382" s="57">
        <v>0</v>
      </c>
      <c r="T382" s="57">
        <v>0</v>
      </c>
      <c r="U382" s="57">
        <v>0</v>
      </c>
      <c r="V382" s="57">
        <v>0</v>
      </c>
      <c r="W382" s="57">
        <v>0</v>
      </c>
      <c r="X382" s="57">
        <v>0</v>
      </c>
      <c r="Y382" s="57">
        <v>0</v>
      </c>
      <c r="Z382" s="57">
        <v>0</v>
      </c>
      <c r="AA382" s="57">
        <v>0</v>
      </c>
      <c r="AB382" s="57">
        <v>0</v>
      </c>
      <c r="AC382" s="57">
        <v>0</v>
      </c>
      <c r="AD382" s="57">
        <v>0</v>
      </c>
      <c r="AE382" s="57">
        <v>0</v>
      </c>
      <c r="AF382" s="57">
        <v>0</v>
      </c>
      <c r="AG382" s="57">
        <v>0</v>
      </c>
      <c r="AH382" s="58">
        <v>0</v>
      </c>
      <c r="AI382" s="6"/>
    </row>
    <row r="383" spans="1:35" ht="15.75" thickBot="1" x14ac:dyDescent="0.3">
      <c r="A383" s="3"/>
      <c r="B383" s="5" t="s">
        <v>12</v>
      </c>
      <c r="C383" s="145">
        <v>0</v>
      </c>
      <c r="D383" s="88">
        <v>0</v>
      </c>
      <c r="E383" s="88">
        <v>0</v>
      </c>
      <c r="F383" s="88">
        <v>0</v>
      </c>
      <c r="G383" s="88">
        <v>0</v>
      </c>
      <c r="H383" s="88">
        <v>0</v>
      </c>
      <c r="I383" s="88">
        <v>0</v>
      </c>
      <c r="J383" s="88">
        <v>0</v>
      </c>
      <c r="K383" s="161">
        <v>0</v>
      </c>
      <c r="L383" s="161">
        <v>0</v>
      </c>
      <c r="M383" s="161">
        <v>0</v>
      </c>
      <c r="N383" s="161">
        <v>0</v>
      </c>
      <c r="O383" s="161">
        <v>0</v>
      </c>
      <c r="P383" s="88">
        <v>0</v>
      </c>
      <c r="Q383" s="88">
        <v>0</v>
      </c>
      <c r="R383" s="88">
        <v>0</v>
      </c>
      <c r="S383" s="88">
        <v>0</v>
      </c>
      <c r="T383" s="88">
        <v>0</v>
      </c>
      <c r="U383" s="88">
        <v>0</v>
      </c>
      <c r="V383" s="88">
        <v>0</v>
      </c>
      <c r="W383" s="88">
        <v>0</v>
      </c>
      <c r="X383" s="88">
        <v>0</v>
      </c>
      <c r="Y383" s="88">
        <v>0</v>
      </c>
      <c r="Z383" s="88">
        <v>0</v>
      </c>
      <c r="AA383" s="62">
        <v>0</v>
      </c>
      <c r="AB383" s="88">
        <v>0</v>
      </c>
      <c r="AC383" s="88">
        <v>0</v>
      </c>
      <c r="AD383" s="88">
        <v>0</v>
      </c>
      <c r="AE383" s="88">
        <v>0</v>
      </c>
      <c r="AF383" s="88">
        <v>0</v>
      </c>
      <c r="AG383" s="88">
        <v>0</v>
      </c>
      <c r="AH383" s="89">
        <v>0</v>
      </c>
      <c r="AI383" s="6"/>
    </row>
    <row r="384" spans="1:35" x14ac:dyDescent="0.25">
      <c r="A384" s="3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6"/>
    </row>
    <row r="385" spans="1:35" ht="15.75" thickBot="1" x14ac:dyDescent="0.3">
      <c r="A385" s="3"/>
      <c r="B385" s="5"/>
      <c r="C385" s="7">
        <v>32</v>
      </c>
      <c r="D385" s="7">
        <v>33</v>
      </c>
      <c r="E385" s="7">
        <v>34</v>
      </c>
      <c r="F385" s="7">
        <v>35</v>
      </c>
      <c r="G385" s="7">
        <v>36</v>
      </c>
      <c r="H385" s="7">
        <v>37</v>
      </c>
      <c r="I385" s="7">
        <v>38</v>
      </c>
      <c r="J385" s="7">
        <v>39</v>
      </c>
      <c r="K385" s="7">
        <v>40</v>
      </c>
      <c r="L385" s="7">
        <v>41</v>
      </c>
      <c r="M385" s="7">
        <v>42</v>
      </c>
      <c r="N385" s="7">
        <v>43</v>
      </c>
      <c r="O385" s="7">
        <v>44</v>
      </c>
      <c r="P385" s="7">
        <v>45</v>
      </c>
      <c r="Q385" s="7">
        <v>46</v>
      </c>
      <c r="R385" s="7">
        <v>47</v>
      </c>
      <c r="S385" s="7">
        <v>48</v>
      </c>
      <c r="T385" s="7">
        <v>49</v>
      </c>
      <c r="U385" s="7">
        <v>50</v>
      </c>
      <c r="V385" s="7">
        <v>51</v>
      </c>
      <c r="W385" s="7">
        <v>52</v>
      </c>
      <c r="X385" s="7">
        <v>53</v>
      </c>
      <c r="Y385" s="7">
        <v>54</v>
      </c>
      <c r="Z385" s="7">
        <v>55</v>
      </c>
      <c r="AA385" s="7">
        <v>56</v>
      </c>
      <c r="AB385" s="7">
        <v>57</v>
      </c>
      <c r="AC385" s="7">
        <v>58</v>
      </c>
      <c r="AD385" s="7">
        <v>59</v>
      </c>
      <c r="AE385" s="7">
        <v>60</v>
      </c>
      <c r="AF385" s="7">
        <v>61</v>
      </c>
      <c r="AG385" s="7">
        <v>62</v>
      </c>
      <c r="AH385" s="7">
        <v>63</v>
      </c>
      <c r="AI385" s="6"/>
    </row>
    <row r="386" spans="1:35" ht="15.75" thickBot="1" x14ac:dyDescent="0.3">
      <c r="A386" s="3"/>
      <c r="B386" s="5"/>
      <c r="C386" s="147" t="s">
        <v>13</v>
      </c>
      <c r="D386" s="148" t="s">
        <v>14</v>
      </c>
      <c r="E386" s="148" t="s">
        <v>15</v>
      </c>
      <c r="F386" s="148" t="s">
        <v>16</v>
      </c>
      <c r="G386" s="148" t="s">
        <v>17</v>
      </c>
      <c r="H386" s="148" t="s">
        <v>18</v>
      </c>
      <c r="I386" s="148" t="s">
        <v>19</v>
      </c>
      <c r="J386" s="148" t="s">
        <v>20</v>
      </c>
      <c r="K386" s="148" t="s">
        <v>21</v>
      </c>
      <c r="L386" s="148" t="s">
        <v>22</v>
      </c>
      <c r="M386" s="148" t="s">
        <v>23</v>
      </c>
      <c r="N386" s="148" t="s">
        <v>24</v>
      </c>
      <c r="O386" s="148" t="s">
        <v>25</v>
      </c>
      <c r="P386" s="148" t="s">
        <v>26</v>
      </c>
      <c r="Q386" s="148" t="s">
        <v>27</v>
      </c>
      <c r="R386" s="342" t="s">
        <v>30</v>
      </c>
      <c r="S386" s="343"/>
      <c r="T386" s="343"/>
      <c r="U386" s="343"/>
      <c r="V386" s="343"/>
      <c r="W386" s="343"/>
      <c r="X386" s="343"/>
      <c r="Y386" s="343"/>
      <c r="Z386" s="343"/>
      <c r="AA386" s="343"/>
      <c r="AB386" s="343"/>
      <c r="AC386" s="343"/>
      <c r="AD386" s="343"/>
      <c r="AE386" s="343"/>
      <c r="AF386" s="344"/>
      <c r="AG386" s="67" t="s">
        <v>28</v>
      </c>
      <c r="AH386" s="149" t="s">
        <v>29</v>
      </c>
      <c r="AI386" s="6"/>
    </row>
    <row r="387" spans="1:35" ht="15.75" thickBot="1" x14ac:dyDescent="0.3">
      <c r="A387" s="3"/>
      <c r="B387" s="5"/>
      <c r="C387" s="150">
        <v>0</v>
      </c>
      <c r="D387" s="151">
        <v>0</v>
      </c>
      <c r="E387" s="151">
        <v>0</v>
      </c>
      <c r="F387" s="151">
        <v>0</v>
      </c>
      <c r="G387" s="151">
        <v>0</v>
      </c>
      <c r="H387" s="151">
        <v>0</v>
      </c>
      <c r="I387" s="151">
        <v>0</v>
      </c>
      <c r="J387" s="151">
        <v>0</v>
      </c>
      <c r="K387" s="151">
        <v>0</v>
      </c>
      <c r="L387" s="151">
        <v>0</v>
      </c>
      <c r="M387" s="151">
        <v>0</v>
      </c>
      <c r="N387" s="151">
        <v>0</v>
      </c>
      <c r="O387" s="151">
        <v>1</v>
      </c>
      <c r="P387" s="151">
        <v>0</v>
      </c>
      <c r="Q387" s="151">
        <v>0</v>
      </c>
      <c r="R387" s="151">
        <v>0</v>
      </c>
      <c r="S387" s="151">
        <v>0</v>
      </c>
      <c r="T387" s="151">
        <v>0</v>
      </c>
      <c r="U387" s="151">
        <v>0</v>
      </c>
      <c r="V387" s="151">
        <v>0</v>
      </c>
      <c r="W387" s="151">
        <v>0</v>
      </c>
      <c r="X387" s="151">
        <v>0</v>
      </c>
      <c r="Y387" s="151">
        <v>0</v>
      </c>
      <c r="Z387" s="151">
        <v>1</v>
      </c>
      <c r="AA387" s="151">
        <v>0</v>
      </c>
      <c r="AB387" s="151">
        <v>1</v>
      </c>
      <c r="AC387" s="151">
        <v>0</v>
      </c>
      <c r="AD387" s="151">
        <v>0</v>
      </c>
      <c r="AE387" s="151">
        <v>0</v>
      </c>
      <c r="AF387" s="151">
        <v>0</v>
      </c>
      <c r="AG387" s="151">
        <v>0</v>
      </c>
      <c r="AH387" s="152">
        <v>0</v>
      </c>
      <c r="AI387" s="6"/>
    </row>
    <row r="388" spans="1:35" x14ac:dyDescent="0.25">
      <c r="A388" s="3"/>
      <c r="B388" s="4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6"/>
    </row>
    <row r="389" spans="1:35" x14ac:dyDescent="0.25">
      <c r="A389" s="3"/>
      <c r="B389" s="8" t="s">
        <v>43</v>
      </c>
      <c r="C389" s="9"/>
      <c r="D389" s="9"/>
      <c r="E389" s="9"/>
      <c r="F389" s="44" t="s">
        <v>44</v>
      </c>
      <c r="G389" s="44"/>
      <c r="H389" s="44"/>
      <c r="I389" s="9"/>
      <c r="J389" s="45" t="s">
        <v>45</v>
      </c>
      <c r="K389" s="45"/>
      <c r="L389" s="45"/>
      <c r="M389" s="45"/>
      <c r="N389" s="9"/>
      <c r="O389" s="46" t="s">
        <v>46</v>
      </c>
      <c r="P389" s="46"/>
      <c r="Q389" s="46"/>
      <c r="R389" s="46"/>
      <c r="S389" s="9"/>
      <c r="T389" s="1" t="s">
        <v>49</v>
      </c>
      <c r="U389" s="10" t="s">
        <v>48</v>
      </c>
      <c r="V389" s="5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6"/>
    </row>
    <row r="390" spans="1:35" ht="15" customHeight="1" x14ac:dyDescent="0.25">
      <c r="A390" s="3"/>
      <c r="B390" s="42" t="str">
        <f>"0x"&amp;DEC2HEX(Sheet3!$I$4,8)</f>
        <v>0x00400320</v>
      </c>
      <c r="C390" s="42"/>
      <c r="D390" s="42"/>
      <c r="E390" s="12"/>
      <c r="F390" s="319" t="str">
        <f>"0x"&amp;BIN2HEX(CONCATENATE(C383,D383,E383,F383,G383,H383,I383,J383),2)&amp;BIN2HEX(CONCATENATE(K383,L383,M383,N383,O383,P383,Q383,R383),2)&amp;BIN2HEX(CONCATENATE(S383,T383,U383,V383,W383,X383,Y383,Z383),2)&amp;BIN2HEX(CONCATENATE(AA383,AB383,AC383,AD383,AE383,AF383,AG383,AH383),2)</f>
        <v>0x00000000</v>
      </c>
      <c r="G390" s="319"/>
      <c r="H390" s="319"/>
      <c r="I390" s="12"/>
      <c r="J390" s="319" t="str">
        <f>"0b"&amp;C387&amp;D387&amp;E387&amp;F387&amp;G387&amp;H387&amp;I387&amp;J387&amp;K387&amp;L387&amp;M387&amp;N387&amp;O387&amp;P387&amp;Q387</f>
        <v>0b000000000000100</v>
      </c>
      <c r="K390" s="319"/>
      <c r="L390" s="319"/>
      <c r="M390" s="319"/>
      <c r="N390" s="12"/>
      <c r="O390" s="319" t="str">
        <f>"0b"&amp;DEC2BIN(((AF387+AE387*2+AD387*4+AC387*8+AB387*16+AA387*32+Z387*64+Y387*128+X387*256+W387*512+V387*1024+U387*2048+T387*4096+S387*2^13+R387*2^14)/512),6)&amp;DEC2BIN(MOD((AF387+AE387*2+AD387*4+AC387*8+AB387*16+AA387*32+Z387*64+Y387*128+X387*256+W387*512+V387*1024+U387*2048+T387*4096+S387*2^13+R387*2^14),512),9)</f>
        <v>0b000000001010000</v>
      </c>
      <c r="P390" s="319"/>
      <c r="Q390" s="319"/>
      <c r="R390" s="319"/>
      <c r="S390" s="12"/>
      <c r="T390" s="13">
        <v>0</v>
      </c>
      <c r="U390" s="13">
        <f>AH387</f>
        <v>0</v>
      </c>
      <c r="V390" s="5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6"/>
    </row>
    <row r="391" spans="1:35" x14ac:dyDescent="0.25">
      <c r="A391" s="3"/>
      <c r="B391" s="42"/>
      <c r="C391" s="42"/>
      <c r="D391" s="42"/>
      <c r="E391" s="15"/>
      <c r="F391" s="43"/>
      <c r="G391" s="43"/>
      <c r="H391" s="43"/>
      <c r="I391" s="15"/>
      <c r="J391" s="42"/>
      <c r="K391" s="42"/>
      <c r="L391" s="42"/>
      <c r="M391" s="42"/>
      <c r="N391" s="15"/>
      <c r="O391" s="42"/>
      <c r="P391" s="42"/>
      <c r="Q391" s="42"/>
      <c r="R391" s="42"/>
      <c r="S391" s="15"/>
      <c r="T391" s="13"/>
      <c r="U391" s="15"/>
      <c r="V391" s="5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6"/>
    </row>
    <row r="392" spans="1:35" x14ac:dyDescent="0.25">
      <c r="A392" s="3"/>
      <c r="B392" s="42"/>
      <c r="C392" s="42"/>
      <c r="D392" s="42"/>
      <c r="E392" s="15"/>
      <c r="F392" s="43"/>
      <c r="G392" s="43"/>
      <c r="H392" s="43"/>
      <c r="I392" s="15"/>
      <c r="J392" s="42"/>
      <c r="K392" s="42"/>
      <c r="L392" s="42"/>
      <c r="M392" s="42"/>
      <c r="N392" s="15"/>
      <c r="O392" s="42"/>
      <c r="P392" s="42"/>
      <c r="Q392" s="42"/>
      <c r="R392" s="42"/>
      <c r="S392" s="15"/>
      <c r="T392" s="13"/>
      <c r="U392" s="15"/>
      <c r="V392" s="5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6"/>
    </row>
    <row r="393" spans="1:35" x14ac:dyDescent="0.25">
      <c r="A393" s="3"/>
      <c r="B393" s="5"/>
      <c r="C393" s="5"/>
      <c r="D393" s="5"/>
      <c r="E393" s="5"/>
      <c r="F393" s="17"/>
      <c r="G393" s="17"/>
      <c r="H393" s="17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6"/>
    </row>
    <row r="394" spans="1:35" x14ac:dyDescent="0.25">
      <c r="A394" s="3"/>
      <c r="B394" s="5" t="s">
        <v>47</v>
      </c>
      <c r="C394" s="18"/>
      <c r="D394" s="18"/>
      <c r="E394" s="18"/>
      <c r="F394" s="5"/>
      <c r="G394" s="5"/>
      <c r="H394" s="5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6"/>
    </row>
    <row r="395" spans="1:35" ht="15" customHeight="1" x14ac:dyDescent="0.25">
      <c r="A395" s="3"/>
      <c r="B395" s="42" t="str">
        <f>"0x"&amp;DEC2HEX(Sheet3!$I$4,8)</f>
        <v>0x00400320</v>
      </c>
      <c r="C395" s="42"/>
      <c r="D395" s="42"/>
      <c r="E395" s="16"/>
      <c r="F395" s="322" t="str">
        <f>F390&amp;BIN2HEX(MID(J390,3,8),2)&amp;BIN2HEX(RIGHT(J390,7)&amp;MID(O390,3,1),2)&amp;BIN2HEX(MID(O390,4,8),2)&amp;BIN2HEX(RIGHT(O390,6)&amp;T390&amp;U390,2)</f>
        <v>0x0000000000080140</v>
      </c>
      <c r="G395" s="322"/>
      <c r="H395" s="322"/>
      <c r="I395" s="322"/>
      <c r="J395" s="5"/>
      <c r="K395" s="5"/>
      <c r="L395" s="5"/>
      <c r="M395" s="5"/>
      <c r="N395" s="5"/>
      <c r="O395" s="5"/>
      <c r="P395" s="16"/>
      <c r="Q395" s="16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5"/>
      <c r="AH395" s="5"/>
      <c r="AI395" s="6"/>
    </row>
    <row r="396" spans="1:35" x14ac:dyDescent="0.25">
      <c r="A396" s="3"/>
      <c r="B396" s="37"/>
      <c r="C396" s="37"/>
      <c r="D396" s="37"/>
      <c r="E396" s="5"/>
      <c r="F396" s="38"/>
      <c r="G396" s="38"/>
      <c r="H396" s="38"/>
      <c r="I396" s="38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6"/>
    </row>
    <row r="397" spans="1:35" x14ac:dyDescent="0.25">
      <c r="A397" s="3"/>
      <c r="B397" s="37"/>
      <c r="C397" s="37"/>
      <c r="D397" s="37"/>
      <c r="E397" s="5"/>
      <c r="F397" s="38"/>
      <c r="G397" s="38"/>
      <c r="H397" s="38"/>
      <c r="I397" s="38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6"/>
    </row>
    <row r="398" spans="1:35" x14ac:dyDescent="0.25">
      <c r="A398" s="20"/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2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3"/>
    </row>
    <row r="399" spans="1:35" x14ac:dyDescent="0.25">
      <c r="A399" s="24"/>
      <c r="B399" s="28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6"/>
    </row>
    <row r="400" spans="1:35" x14ac:dyDescent="0.25">
      <c r="A400" s="3"/>
      <c r="B400" s="4" t="s">
        <v>149</v>
      </c>
      <c r="C400" s="5"/>
      <c r="D400" s="5"/>
      <c r="E400" s="5"/>
      <c r="F400" s="5"/>
      <c r="G400" s="5"/>
      <c r="H400" s="5"/>
      <c r="I400" s="5" t="str">
        <f>"0x"&amp;BIN2HEX(CONCATENATE(C405,D405,E405,F405,G405,H405,I405,J405),2)&amp;BIN2HEX(CONCATENATE(K405,L405,M405,N405,O405,P405,Q405,R405),2)&amp;BIN2HEX(CONCATENATE(S405,T405,U405,V405,W405,X405,Y405,Z405),2)&amp;BIN2HEX(CONCATENATE(AA405,AB405,AC405,AD405,AE405,AF405,AG405,AH405),2)&amp;"_"&amp;BIN2HEX(CONCATENATE(C409,D409,E409,F409,G409,H409,I409,J409),2)&amp;BIN2HEX(CONCATENATE(K409,L409,M409,N409,O409,P409,Q409,R409),2)&amp;BIN2HEX(CONCATENATE(S409,T409,U409,V409,W409,X409,Y409,Z409),2)&amp;BIN2HEX(CONCATENATE(AA409,AB409,AC409,AD409,AE409,AF409,AG409,AH409),2)</f>
        <v>0x00000000_00080144</v>
      </c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6"/>
    </row>
    <row r="401" spans="1:35" ht="15.75" thickBot="1" x14ac:dyDescent="0.3">
      <c r="A401" s="3"/>
      <c r="B401" s="5"/>
      <c r="C401" s="7">
        <v>0</v>
      </c>
      <c r="D401" s="7">
        <v>1</v>
      </c>
      <c r="E401" s="7">
        <v>2</v>
      </c>
      <c r="F401" s="7">
        <v>3</v>
      </c>
      <c r="G401" s="7">
        <v>4</v>
      </c>
      <c r="H401" s="7">
        <v>5</v>
      </c>
      <c r="I401" s="7">
        <v>6</v>
      </c>
      <c r="J401" s="7">
        <v>7</v>
      </c>
      <c r="K401" s="7">
        <v>8</v>
      </c>
      <c r="L401" s="7">
        <v>9</v>
      </c>
      <c r="M401" s="7">
        <v>10</v>
      </c>
      <c r="N401" s="7">
        <v>11</v>
      </c>
      <c r="O401" s="7">
        <v>12</v>
      </c>
      <c r="P401" s="7">
        <v>13</v>
      </c>
      <c r="Q401" s="7">
        <v>14</v>
      </c>
      <c r="R401" s="7">
        <v>15</v>
      </c>
      <c r="S401" s="7">
        <v>16</v>
      </c>
      <c r="T401" s="7">
        <v>17</v>
      </c>
      <c r="U401" s="7">
        <v>18</v>
      </c>
      <c r="V401" s="7">
        <v>19</v>
      </c>
      <c r="W401" s="7">
        <v>20</v>
      </c>
      <c r="X401" s="7">
        <v>21</v>
      </c>
      <c r="Y401" s="7">
        <v>22</v>
      </c>
      <c r="Z401" s="7">
        <v>23</v>
      </c>
      <c r="AA401" s="7">
        <v>24</v>
      </c>
      <c r="AB401" s="7">
        <v>25</v>
      </c>
      <c r="AC401" s="7">
        <v>26</v>
      </c>
      <c r="AD401" s="7">
        <v>27</v>
      </c>
      <c r="AE401" s="7">
        <v>28</v>
      </c>
      <c r="AF401" s="7">
        <v>29</v>
      </c>
      <c r="AG401" s="7">
        <v>30</v>
      </c>
      <c r="AH401" s="7">
        <v>31</v>
      </c>
      <c r="AI401" s="6"/>
    </row>
    <row r="402" spans="1:35" ht="15" customHeight="1" x14ac:dyDescent="0.25">
      <c r="A402" s="3"/>
      <c r="B402" s="5" t="s">
        <v>31</v>
      </c>
      <c r="C402" s="349">
        <v>0</v>
      </c>
      <c r="D402" s="337"/>
      <c r="E402" s="337"/>
      <c r="F402" s="337"/>
      <c r="G402" s="337"/>
      <c r="H402" s="350"/>
      <c r="I402" s="330" t="s">
        <v>141</v>
      </c>
      <c r="J402" s="331"/>
      <c r="K402" s="331"/>
      <c r="L402" s="331"/>
      <c r="M402" s="331"/>
      <c r="N402" s="331"/>
      <c r="O402" s="331"/>
      <c r="P402" s="331"/>
      <c r="Q402" s="331"/>
      <c r="R402" s="331"/>
      <c r="S402" s="331"/>
      <c r="T402" s="331"/>
      <c r="U402" s="331"/>
      <c r="V402" s="331"/>
      <c r="W402" s="331"/>
      <c r="X402" s="331"/>
      <c r="Y402" s="331"/>
      <c r="Z402" s="331"/>
      <c r="AA402" s="331"/>
      <c r="AB402" s="331"/>
      <c r="AC402" s="331"/>
      <c r="AD402" s="331"/>
      <c r="AE402" s="331"/>
      <c r="AF402" s="331"/>
      <c r="AG402" s="331"/>
      <c r="AH402" s="355"/>
      <c r="AI402" s="6"/>
    </row>
    <row r="403" spans="1:35" x14ac:dyDescent="0.25">
      <c r="A403" s="3"/>
      <c r="B403" s="5" t="s">
        <v>32</v>
      </c>
      <c r="C403" s="358"/>
      <c r="D403" s="340"/>
      <c r="E403" s="340"/>
      <c r="F403" s="340"/>
      <c r="G403" s="340"/>
      <c r="H403" s="359"/>
      <c r="I403" s="333"/>
      <c r="J403" s="334"/>
      <c r="K403" s="334"/>
      <c r="L403" s="334"/>
      <c r="M403" s="334"/>
      <c r="N403" s="334"/>
      <c r="O403" s="334"/>
      <c r="P403" s="334"/>
      <c r="Q403" s="334"/>
      <c r="R403" s="334"/>
      <c r="S403" s="334"/>
      <c r="T403" s="334"/>
      <c r="U403" s="334"/>
      <c r="V403" s="334"/>
      <c r="W403" s="334"/>
      <c r="X403" s="334"/>
      <c r="Y403" s="334"/>
      <c r="Z403" s="334"/>
      <c r="AA403" s="334"/>
      <c r="AB403" s="334"/>
      <c r="AC403" s="334"/>
      <c r="AD403" s="334"/>
      <c r="AE403" s="334"/>
      <c r="AF403" s="334"/>
      <c r="AG403" s="334"/>
      <c r="AH403" s="357"/>
      <c r="AI403" s="6"/>
    </row>
    <row r="404" spans="1:35" x14ac:dyDescent="0.25">
      <c r="A404" s="3"/>
      <c r="B404" s="5" t="s">
        <v>11</v>
      </c>
      <c r="C404" s="56">
        <v>0</v>
      </c>
      <c r="D404" s="57">
        <v>0</v>
      </c>
      <c r="E404" s="57">
        <v>0</v>
      </c>
      <c r="F404" s="57">
        <v>0</v>
      </c>
      <c r="G404" s="57">
        <v>0</v>
      </c>
      <c r="H404" s="57">
        <v>0</v>
      </c>
      <c r="I404" s="57">
        <v>0</v>
      </c>
      <c r="J404" s="57">
        <v>0</v>
      </c>
      <c r="K404" s="57">
        <v>0</v>
      </c>
      <c r="L404" s="57">
        <v>0</v>
      </c>
      <c r="M404" s="57">
        <v>0</v>
      </c>
      <c r="N404" s="57">
        <v>0</v>
      </c>
      <c r="O404" s="57">
        <v>0</v>
      </c>
      <c r="P404" s="57">
        <v>0</v>
      </c>
      <c r="Q404" s="57">
        <v>0</v>
      </c>
      <c r="R404" s="57">
        <v>0</v>
      </c>
      <c r="S404" s="57">
        <v>0</v>
      </c>
      <c r="T404" s="57">
        <v>0</v>
      </c>
      <c r="U404" s="57">
        <v>0</v>
      </c>
      <c r="V404" s="57">
        <v>0</v>
      </c>
      <c r="W404" s="57">
        <v>0</v>
      </c>
      <c r="X404" s="57">
        <v>0</v>
      </c>
      <c r="Y404" s="57">
        <v>0</v>
      </c>
      <c r="Z404" s="57">
        <v>0</v>
      </c>
      <c r="AA404" s="57">
        <v>0</v>
      </c>
      <c r="AB404" s="57">
        <v>0</v>
      </c>
      <c r="AC404" s="57">
        <v>0</v>
      </c>
      <c r="AD404" s="57">
        <v>0</v>
      </c>
      <c r="AE404" s="57">
        <v>0</v>
      </c>
      <c r="AF404" s="57">
        <v>0</v>
      </c>
      <c r="AG404" s="57">
        <v>0</v>
      </c>
      <c r="AH404" s="58">
        <v>0</v>
      </c>
      <c r="AI404" s="6"/>
    </row>
    <row r="405" spans="1:35" ht="15.75" thickBot="1" x14ac:dyDescent="0.3">
      <c r="A405" s="3"/>
      <c r="B405" s="5" t="s">
        <v>12</v>
      </c>
      <c r="C405" s="61">
        <v>0</v>
      </c>
      <c r="D405" s="62">
        <v>0</v>
      </c>
      <c r="E405" s="62">
        <v>0</v>
      </c>
      <c r="F405" s="62">
        <v>0</v>
      </c>
      <c r="G405" s="62">
        <v>0</v>
      </c>
      <c r="H405" s="62">
        <v>0</v>
      </c>
      <c r="I405" s="88">
        <v>0</v>
      </c>
      <c r="J405" s="88">
        <v>0</v>
      </c>
      <c r="K405" s="88">
        <v>0</v>
      </c>
      <c r="L405" s="88">
        <v>0</v>
      </c>
      <c r="M405" s="88">
        <v>0</v>
      </c>
      <c r="N405" s="88">
        <v>0</v>
      </c>
      <c r="O405" s="88">
        <v>0</v>
      </c>
      <c r="P405" s="88">
        <v>0</v>
      </c>
      <c r="Q405" s="88">
        <v>0</v>
      </c>
      <c r="R405" s="88">
        <v>0</v>
      </c>
      <c r="S405" s="88">
        <v>0</v>
      </c>
      <c r="T405" s="88">
        <v>0</v>
      </c>
      <c r="U405" s="88">
        <v>0</v>
      </c>
      <c r="V405" s="88">
        <v>0</v>
      </c>
      <c r="W405" s="88">
        <v>0</v>
      </c>
      <c r="X405" s="88">
        <v>0</v>
      </c>
      <c r="Y405" s="88">
        <v>0</v>
      </c>
      <c r="Z405" s="88">
        <v>0</v>
      </c>
      <c r="AA405" s="88">
        <v>0</v>
      </c>
      <c r="AB405" s="88">
        <v>0</v>
      </c>
      <c r="AC405" s="88">
        <v>0</v>
      </c>
      <c r="AD405" s="88">
        <v>0</v>
      </c>
      <c r="AE405" s="88">
        <v>0</v>
      </c>
      <c r="AF405" s="88">
        <v>0</v>
      </c>
      <c r="AG405" s="88">
        <v>0</v>
      </c>
      <c r="AH405" s="89">
        <v>0</v>
      </c>
      <c r="AI405" s="6"/>
    </row>
    <row r="406" spans="1:35" x14ac:dyDescent="0.25">
      <c r="A406" s="3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6"/>
    </row>
    <row r="407" spans="1:35" ht="15.75" thickBot="1" x14ac:dyDescent="0.3">
      <c r="A407" s="3"/>
      <c r="B407" s="5"/>
      <c r="C407" s="7">
        <v>32</v>
      </c>
      <c r="D407" s="7">
        <v>33</v>
      </c>
      <c r="E407" s="7">
        <v>34</v>
      </c>
      <c r="F407" s="7">
        <v>35</v>
      </c>
      <c r="G407" s="7">
        <v>36</v>
      </c>
      <c r="H407" s="7">
        <v>37</v>
      </c>
      <c r="I407" s="7">
        <v>38</v>
      </c>
      <c r="J407" s="7">
        <v>39</v>
      </c>
      <c r="K407" s="7">
        <v>40</v>
      </c>
      <c r="L407" s="7">
        <v>41</v>
      </c>
      <c r="M407" s="7">
        <v>42</v>
      </c>
      <c r="N407" s="7">
        <v>43</v>
      </c>
      <c r="O407" s="7">
        <v>44</v>
      </c>
      <c r="P407" s="7">
        <v>45</v>
      </c>
      <c r="Q407" s="7">
        <v>46</v>
      </c>
      <c r="R407" s="7">
        <v>47</v>
      </c>
      <c r="S407" s="7">
        <v>48</v>
      </c>
      <c r="T407" s="7">
        <v>49</v>
      </c>
      <c r="U407" s="7">
        <v>50</v>
      </c>
      <c r="V407" s="7">
        <v>51</v>
      </c>
      <c r="W407" s="7">
        <v>52</v>
      </c>
      <c r="X407" s="7">
        <v>53</v>
      </c>
      <c r="Y407" s="7">
        <v>54</v>
      </c>
      <c r="Z407" s="7">
        <v>55</v>
      </c>
      <c r="AA407" s="7">
        <v>56</v>
      </c>
      <c r="AB407" s="7">
        <v>57</v>
      </c>
      <c r="AC407" s="7">
        <v>58</v>
      </c>
      <c r="AD407" s="7">
        <v>59</v>
      </c>
      <c r="AE407" s="7">
        <v>60</v>
      </c>
      <c r="AF407" s="7">
        <v>61</v>
      </c>
      <c r="AG407" s="7">
        <v>62</v>
      </c>
      <c r="AH407" s="7">
        <v>63</v>
      </c>
      <c r="AI407" s="6"/>
    </row>
    <row r="408" spans="1:35" ht="15.75" thickBot="1" x14ac:dyDescent="0.3">
      <c r="A408" s="3"/>
      <c r="B408" s="5"/>
      <c r="C408" s="147" t="s">
        <v>13</v>
      </c>
      <c r="D408" s="148" t="s">
        <v>14</v>
      </c>
      <c r="E408" s="148" t="s">
        <v>15</v>
      </c>
      <c r="F408" s="148" t="s">
        <v>16</v>
      </c>
      <c r="G408" s="148" t="s">
        <v>17</v>
      </c>
      <c r="H408" s="148" t="s">
        <v>18</v>
      </c>
      <c r="I408" s="148" t="s">
        <v>19</v>
      </c>
      <c r="J408" s="148" t="s">
        <v>20</v>
      </c>
      <c r="K408" s="148" t="s">
        <v>21</v>
      </c>
      <c r="L408" s="148" t="s">
        <v>22</v>
      </c>
      <c r="M408" s="148" t="s">
        <v>23</v>
      </c>
      <c r="N408" s="148" t="s">
        <v>24</v>
      </c>
      <c r="O408" s="148" t="s">
        <v>25</v>
      </c>
      <c r="P408" s="148" t="s">
        <v>26</v>
      </c>
      <c r="Q408" s="148" t="s">
        <v>27</v>
      </c>
      <c r="R408" s="342" t="s">
        <v>30</v>
      </c>
      <c r="S408" s="343"/>
      <c r="T408" s="343"/>
      <c r="U408" s="343"/>
      <c r="V408" s="343"/>
      <c r="W408" s="343"/>
      <c r="X408" s="343"/>
      <c r="Y408" s="343"/>
      <c r="Z408" s="343"/>
      <c r="AA408" s="343"/>
      <c r="AB408" s="343"/>
      <c r="AC408" s="343"/>
      <c r="AD408" s="343"/>
      <c r="AE408" s="343"/>
      <c r="AF408" s="344"/>
      <c r="AG408" s="67" t="s">
        <v>28</v>
      </c>
      <c r="AH408" s="149" t="s">
        <v>29</v>
      </c>
      <c r="AI408" s="6"/>
    </row>
    <row r="409" spans="1:35" ht="15.75" thickBot="1" x14ac:dyDescent="0.3">
      <c r="A409" s="3"/>
      <c r="B409" s="5"/>
      <c r="C409" s="150">
        <v>0</v>
      </c>
      <c r="D409" s="151">
        <v>0</v>
      </c>
      <c r="E409" s="151">
        <v>0</v>
      </c>
      <c r="F409" s="151">
        <v>0</v>
      </c>
      <c r="G409" s="151">
        <v>0</v>
      </c>
      <c r="H409" s="151">
        <v>0</v>
      </c>
      <c r="I409" s="151">
        <v>0</v>
      </c>
      <c r="J409" s="151">
        <v>0</v>
      </c>
      <c r="K409" s="151">
        <v>0</v>
      </c>
      <c r="L409" s="151">
        <v>0</v>
      </c>
      <c r="M409" s="151">
        <v>0</v>
      </c>
      <c r="N409" s="151">
        <v>0</v>
      </c>
      <c r="O409" s="151">
        <v>1</v>
      </c>
      <c r="P409" s="151">
        <v>0</v>
      </c>
      <c r="Q409" s="151">
        <v>0</v>
      </c>
      <c r="R409" s="151">
        <v>0</v>
      </c>
      <c r="S409" s="151">
        <v>0</v>
      </c>
      <c r="T409" s="151">
        <v>0</v>
      </c>
      <c r="U409" s="151">
        <v>0</v>
      </c>
      <c r="V409" s="151">
        <v>0</v>
      </c>
      <c r="W409" s="151">
        <v>0</v>
      </c>
      <c r="X409" s="151">
        <v>0</v>
      </c>
      <c r="Y409" s="151">
        <v>0</v>
      </c>
      <c r="Z409" s="151">
        <v>1</v>
      </c>
      <c r="AA409" s="151">
        <v>0</v>
      </c>
      <c r="AB409" s="151">
        <v>1</v>
      </c>
      <c r="AC409" s="151">
        <v>0</v>
      </c>
      <c r="AD409" s="151">
        <v>0</v>
      </c>
      <c r="AE409" s="151">
        <v>0</v>
      </c>
      <c r="AF409" s="151">
        <v>1</v>
      </c>
      <c r="AG409" s="151">
        <v>0</v>
      </c>
      <c r="AH409" s="152">
        <v>0</v>
      </c>
      <c r="AI409" s="6"/>
    </row>
    <row r="410" spans="1:35" x14ac:dyDescent="0.25">
      <c r="A410" s="3"/>
      <c r="B410" s="4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6"/>
    </row>
    <row r="411" spans="1:35" x14ac:dyDescent="0.25">
      <c r="A411" s="3"/>
      <c r="B411" s="8" t="s">
        <v>43</v>
      </c>
      <c r="C411" s="9"/>
      <c r="D411" s="9"/>
      <c r="E411" s="9"/>
      <c r="F411" s="44" t="s">
        <v>44</v>
      </c>
      <c r="G411" s="44"/>
      <c r="H411" s="44"/>
      <c r="I411" s="9"/>
      <c r="J411" s="45" t="s">
        <v>45</v>
      </c>
      <c r="K411" s="45"/>
      <c r="L411" s="45"/>
      <c r="M411" s="45"/>
      <c r="N411" s="9"/>
      <c r="O411" s="46" t="s">
        <v>46</v>
      </c>
      <c r="P411" s="46"/>
      <c r="Q411" s="46"/>
      <c r="R411" s="46"/>
      <c r="S411" s="9"/>
      <c r="T411" s="1" t="s">
        <v>49</v>
      </c>
      <c r="U411" s="10" t="s">
        <v>48</v>
      </c>
      <c r="V411" s="5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6"/>
    </row>
    <row r="412" spans="1:35" ht="15" customHeight="1" x14ac:dyDescent="0.25">
      <c r="A412" s="3"/>
      <c r="B412" s="42" t="str">
        <f>"0x"&amp;DEC2HEX(Sheet3!$I$4,8)</f>
        <v>0x00400320</v>
      </c>
      <c r="C412" s="42"/>
      <c r="D412" s="42"/>
      <c r="E412" s="12"/>
      <c r="F412" s="319" t="str">
        <f>"0x"&amp;BIN2HEX(CONCATENATE(C405,D405,E405,F405,G405,H405,I405,J405),2)&amp;BIN2HEX(CONCATENATE(K405,L405,M405,N405,O405,P405,Q405,R405),2)&amp;BIN2HEX(CONCATENATE(S405,T405,U405,V405,W405,X405,Y405,Z405),2)&amp;BIN2HEX(CONCATENATE(AA405,AB405,AC405,AD405,AE405,AF405,AG405,AH405),2)</f>
        <v>0x00000000</v>
      </c>
      <c r="G412" s="319"/>
      <c r="H412" s="319"/>
      <c r="I412" s="12"/>
      <c r="J412" s="319" t="str">
        <f>"0b"&amp;C409&amp;D409&amp;E409&amp;F409&amp;G409&amp;H409&amp;I409&amp;J409&amp;K409&amp;L409&amp;M409&amp;N409&amp;O409&amp;P409&amp;Q409</f>
        <v>0b000000000000100</v>
      </c>
      <c r="K412" s="319"/>
      <c r="L412" s="319"/>
      <c r="M412" s="319"/>
      <c r="N412" s="12"/>
      <c r="O412" s="319" t="str">
        <f>"0b"&amp;DEC2BIN(((AF409+AE409*2+AD409*4+AC409*8+AB409*16+AA409*32+Z409*64+Y409*128+X409*256+W409*512+V409*1024+U409*2048+T409*4096+S409*2^13+R409*2^14)/512),6)&amp;DEC2BIN(MOD((AF409+AE409*2+AD409*4+AC409*8+AB409*16+AA409*32+Z409*64+Y409*128+X409*256+W409*512+V409*1024+U409*2048+T409*4096+S409*2^13+R409*2^14),512),9)</f>
        <v>0b000000001010001</v>
      </c>
      <c r="P412" s="319"/>
      <c r="Q412" s="319"/>
      <c r="R412" s="319"/>
      <c r="S412" s="12"/>
      <c r="T412" s="13">
        <v>0</v>
      </c>
      <c r="U412" s="13">
        <f>AH409</f>
        <v>0</v>
      </c>
      <c r="V412" s="5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6"/>
    </row>
    <row r="413" spans="1:35" x14ac:dyDescent="0.25">
      <c r="A413" s="3"/>
      <c r="B413" s="42"/>
      <c r="C413" s="42"/>
      <c r="D413" s="42"/>
      <c r="E413" s="15"/>
      <c r="F413" s="43"/>
      <c r="G413" s="43"/>
      <c r="H413" s="43"/>
      <c r="I413" s="15"/>
      <c r="J413" s="42"/>
      <c r="K413" s="42"/>
      <c r="L413" s="42"/>
      <c r="M413" s="42"/>
      <c r="N413" s="15"/>
      <c r="O413" s="42"/>
      <c r="P413" s="42"/>
      <c r="Q413" s="42"/>
      <c r="R413" s="42"/>
      <c r="S413" s="15"/>
      <c r="T413" s="13"/>
      <c r="U413" s="15"/>
      <c r="V413" s="5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6"/>
    </row>
    <row r="414" spans="1:35" x14ac:dyDescent="0.25">
      <c r="A414" s="3"/>
      <c r="B414" s="42"/>
      <c r="C414" s="42"/>
      <c r="D414" s="42"/>
      <c r="E414" s="15"/>
      <c r="F414" s="43"/>
      <c r="G414" s="43"/>
      <c r="H414" s="43"/>
      <c r="I414" s="15"/>
      <c r="J414" s="42"/>
      <c r="K414" s="42"/>
      <c r="L414" s="42"/>
      <c r="M414" s="42"/>
      <c r="N414" s="15"/>
      <c r="O414" s="42"/>
      <c r="P414" s="42"/>
      <c r="Q414" s="42"/>
      <c r="R414" s="42"/>
      <c r="S414" s="15"/>
      <c r="T414" s="13"/>
      <c r="U414" s="15"/>
      <c r="V414" s="5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6"/>
    </row>
    <row r="415" spans="1:35" x14ac:dyDescent="0.25">
      <c r="A415" s="3"/>
      <c r="B415" s="5"/>
      <c r="C415" s="5"/>
      <c r="D415" s="5"/>
      <c r="E415" s="5"/>
      <c r="F415" s="17"/>
      <c r="G415" s="17"/>
      <c r="H415" s="17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6"/>
    </row>
    <row r="416" spans="1:35" x14ac:dyDescent="0.25">
      <c r="A416" s="3"/>
      <c r="B416" s="5" t="s">
        <v>47</v>
      </c>
      <c r="C416" s="18"/>
      <c r="D416" s="18"/>
      <c r="E416" s="18"/>
      <c r="F416" s="5"/>
      <c r="G416" s="5"/>
      <c r="H416" s="5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6"/>
    </row>
    <row r="417" spans="1:35" ht="15" customHeight="1" x14ac:dyDescent="0.25">
      <c r="A417" s="3"/>
      <c r="B417" s="42" t="str">
        <f>"0x"&amp;DEC2HEX(Sheet3!$I$4,8)</f>
        <v>0x00400320</v>
      </c>
      <c r="C417" s="42"/>
      <c r="D417" s="42"/>
      <c r="E417" s="16"/>
      <c r="F417" s="322" t="str">
        <f>F412&amp;BIN2HEX(MID(J412,3,8),2)&amp;BIN2HEX(RIGHT(J412,7)&amp;MID(O412,3,1),2)&amp;BIN2HEX(MID(O412,4,8),2)&amp;BIN2HEX(RIGHT(O412,6)&amp;T412&amp;U412,2)</f>
        <v>0x0000000000080144</v>
      </c>
      <c r="G417" s="322"/>
      <c r="H417" s="322"/>
      <c r="I417" s="322"/>
      <c r="J417" s="5"/>
      <c r="K417" s="5"/>
      <c r="L417" s="5"/>
      <c r="M417" s="5"/>
      <c r="N417" s="5"/>
      <c r="O417" s="5"/>
      <c r="P417" s="16"/>
      <c r="Q417" s="16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5"/>
      <c r="AH417" s="5"/>
      <c r="AI417" s="6"/>
    </row>
    <row r="418" spans="1:35" x14ac:dyDescent="0.25">
      <c r="A418" s="3"/>
      <c r="B418" s="37"/>
      <c r="C418" s="37"/>
      <c r="D418" s="37"/>
      <c r="E418" s="5"/>
      <c r="F418" s="38"/>
      <c r="G418" s="38"/>
      <c r="H418" s="38"/>
      <c r="I418" s="38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6"/>
    </row>
    <row r="419" spans="1:35" x14ac:dyDescent="0.25">
      <c r="A419" s="3"/>
      <c r="B419" s="37"/>
      <c r="C419" s="37"/>
      <c r="D419" s="37"/>
      <c r="E419" s="5"/>
      <c r="F419" s="38"/>
      <c r="G419" s="38"/>
      <c r="H419" s="38"/>
      <c r="I419" s="38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6"/>
    </row>
    <row r="420" spans="1:35" x14ac:dyDescent="0.25">
      <c r="A420" s="20"/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2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3"/>
    </row>
    <row r="421" spans="1:35" x14ac:dyDescent="0.25">
      <c r="A421" s="24"/>
      <c r="B421" s="28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D421" s="25"/>
      <c r="AE421" s="25"/>
      <c r="AF421" s="25"/>
      <c r="AG421" s="25"/>
      <c r="AH421" s="25"/>
      <c r="AI421" s="26"/>
    </row>
    <row r="422" spans="1:35" x14ac:dyDescent="0.25">
      <c r="A422" s="3"/>
      <c r="B422" s="4" t="s">
        <v>150</v>
      </c>
      <c r="C422" s="5"/>
      <c r="D422" s="5"/>
      <c r="E422" s="5"/>
      <c r="F422" s="5"/>
      <c r="G422" s="5"/>
      <c r="H422" s="5"/>
      <c r="I422" s="5" t="str">
        <f>"0x"&amp;BIN2HEX(CONCATENATE(C427,D427,E427,F427,G427,H427,I427,J427),2)&amp;BIN2HEX(CONCATENATE(K427,L427,M427,N427,O427,P427,Q427,R427),2)&amp;BIN2HEX(CONCATENATE(S427,T427,U427,V427,W427,X427,Y427,Z427),2)&amp;BIN2HEX(CONCATENATE(AA427,AB427,AC427,AD427,AE427,AF427,AG427,AH427),2)&amp;"_"&amp;BIN2HEX(CONCATENATE(C431,D431,E431,F431,G431,H431,I431,J431),2)&amp;BIN2HEX(CONCATENATE(K431,L431,M431,N431,O431,P431,Q431,R431),2)&amp;BIN2HEX(CONCATENATE(S431,T431,U431,V431,W431,X431,Y431,Z431),2)&amp;BIN2HEX(CONCATENATE(AA431,AB431,AC431,AD431,AE431,AF431,AG431,AH431),2)</f>
        <v>0xFFFFFFFF_00080150</v>
      </c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6"/>
    </row>
    <row r="423" spans="1:35" ht="15.75" thickBot="1" x14ac:dyDescent="0.3">
      <c r="A423" s="3"/>
      <c r="B423" s="5"/>
      <c r="C423" s="7">
        <v>0</v>
      </c>
      <c r="D423" s="7">
        <v>1</v>
      </c>
      <c r="E423" s="7">
        <v>2</v>
      </c>
      <c r="F423" s="7">
        <v>3</v>
      </c>
      <c r="G423" s="7">
        <v>4</v>
      </c>
      <c r="H423" s="7">
        <v>5</v>
      </c>
      <c r="I423" s="7">
        <v>6</v>
      </c>
      <c r="J423" s="7">
        <v>7</v>
      </c>
      <c r="K423" s="7">
        <v>8</v>
      </c>
      <c r="L423" s="7">
        <v>9</v>
      </c>
      <c r="M423" s="7">
        <v>10</v>
      </c>
      <c r="N423" s="7">
        <v>11</v>
      </c>
      <c r="O423" s="7">
        <v>12</v>
      </c>
      <c r="P423" s="7">
        <v>13</v>
      </c>
      <c r="Q423" s="7">
        <v>14</v>
      </c>
      <c r="R423" s="7">
        <v>15</v>
      </c>
      <c r="S423" s="7">
        <v>16</v>
      </c>
      <c r="T423" s="7">
        <v>17</v>
      </c>
      <c r="U423" s="7">
        <v>18</v>
      </c>
      <c r="V423" s="7">
        <v>19</v>
      </c>
      <c r="W423" s="7">
        <v>20</v>
      </c>
      <c r="X423" s="7">
        <v>21</v>
      </c>
      <c r="Y423" s="7">
        <v>22</v>
      </c>
      <c r="Z423" s="7">
        <v>23</v>
      </c>
      <c r="AA423" s="7">
        <v>24</v>
      </c>
      <c r="AB423" s="7">
        <v>25</v>
      </c>
      <c r="AC423" s="7">
        <v>26</v>
      </c>
      <c r="AD423" s="7">
        <v>27</v>
      </c>
      <c r="AE423" s="7">
        <v>28</v>
      </c>
      <c r="AF423" s="7">
        <v>29</v>
      </c>
      <c r="AG423" s="7">
        <v>30</v>
      </c>
      <c r="AH423" s="7">
        <v>31</v>
      </c>
      <c r="AI423" s="6"/>
    </row>
    <row r="424" spans="1:35" ht="15" customHeight="1" x14ac:dyDescent="0.25">
      <c r="A424" s="3"/>
      <c r="B424" s="5" t="s">
        <v>31</v>
      </c>
      <c r="C424" s="354" t="s">
        <v>143</v>
      </c>
      <c r="D424" s="331"/>
      <c r="E424" s="331"/>
      <c r="F424" s="331"/>
      <c r="G424" s="331"/>
      <c r="H424" s="331"/>
      <c r="I424" s="331"/>
      <c r="J424" s="331"/>
      <c r="K424" s="331"/>
      <c r="L424" s="331"/>
      <c r="M424" s="331"/>
      <c r="N424" s="331"/>
      <c r="O424" s="331"/>
      <c r="P424" s="331"/>
      <c r="Q424" s="331"/>
      <c r="R424" s="331"/>
      <c r="S424" s="331"/>
      <c r="T424" s="331"/>
      <c r="U424" s="331"/>
      <c r="V424" s="331"/>
      <c r="W424" s="331"/>
      <c r="X424" s="331"/>
      <c r="Y424" s="331"/>
      <c r="Z424" s="331"/>
      <c r="AA424" s="331"/>
      <c r="AB424" s="331"/>
      <c r="AC424" s="331"/>
      <c r="AD424" s="331"/>
      <c r="AE424" s="331"/>
      <c r="AF424" s="331"/>
      <c r="AG424" s="331"/>
      <c r="AH424" s="355"/>
      <c r="AI424" s="6"/>
    </row>
    <row r="425" spans="1:35" x14ac:dyDescent="0.25">
      <c r="A425" s="3"/>
      <c r="B425" s="5" t="s">
        <v>32</v>
      </c>
      <c r="C425" s="356"/>
      <c r="D425" s="334"/>
      <c r="E425" s="334"/>
      <c r="F425" s="334"/>
      <c r="G425" s="334"/>
      <c r="H425" s="334"/>
      <c r="I425" s="334"/>
      <c r="J425" s="334"/>
      <c r="K425" s="334"/>
      <c r="L425" s="334"/>
      <c r="M425" s="334"/>
      <c r="N425" s="334"/>
      <c r="O425" s="334"/>
      <c r="P425" s="334"/>
      <c r="Q425" s="334"/>
      <c r="R425" s="334"/>
      <c r="S425" s="334"/>
      <c r="T425" s="334"/>
      <c r="U425" s="334"/>
      <c r="V425" s="334"/>
      <c r="W425" s="334"/>
      <c r="X425" s="334"/>
      <c r="Y425" s="334"/>
      <c r="Z425" s="334"/>
      <c r="AA425" s="334"/>
      <c r="AB425" s="334"/>
      <c r="AC425" s="334"/>
      <c r="AD425" s="334"/>
      <c r="AE425" s="334"/>
      <c r="AF425" s="334"/>
      <c r="AG425" s="334"/>
      <c r="AH425" s="357"/>
      <c r="AI425" s="6"/>
    </row>
    <row r="426" spans="1:35" x14ac:dyDescent="0.25">
      <c r="A426" s="3"/>
      <c r="B426" s="5" t="s">
        <v>11</v>
      </c>
      <c r="C426" s="56">
        <v>1</v>
      </c>
      <c r="D426" s="57">
        <v>1</v>
      </c>
      <c r="E426" s="57">
        <v>1</v>
      </c>
      <c r="F426" s="57">
        <v>1</v>
      </c>
      <c r="G426" s="57">
        <v>1</v>
      </c>
      <c r="H426" s="57">
        <v>1</v>
      </c>
      <c r="I426" s="57">
        <v>1</v>
      </c>
      <c r="J426" s="57">
        <v>1</v>
      </c>
      <c r="K426" s="57">
        <v>1</v>
      </c>
      <c r="L426" s="57">
        <v>1</v>
      </c>
      <c r="M426" s="57">
        <v>1</v>
      </c>
      <c r="N426" s="57">
        <v>1</v>
      </c>
      <c r="O426" s="57">
        <v>1</v>
      </c>
      <c r="P426" s="57">
        <v>1</v>
      </c>
      <c r="Q426" s="57">
        <v>1</v>
      </c>
      <c r="R426" s="57">
        <v>1</v>
      </c>
      <c r="S426" s="57">
        <v>1</v>
      </c>
      <c r="T426" s="57">
        <v>1</v>
      </c>
      <c r="U426" s="57">
        <v>1</v>
      </c>
      <c r="V426" s="57">
        <v>1</v>
      </c>
      <c r="W426" s="57">
        <v>1</v>
      </c>
      <c r="X426" s="57">
        <v>1</v>
      </c>
      <c r="Y426" s="57">
        <v>1</v>
      </c>
      <c r="Z426" s="57">
        <v>1</v>
      </c>
      <c r="AA426" s="57">
        <v>1</v>
      </c>
      <c r="AB426" s="57">
        <v>1</v>
      </c>
      <c r="AC426" s="57">
        <v>1</v>
      </c>
      <c r="AD426" s="57">
        <v>1</v>
      </c>
      <c r="AE426" s="57">
        <v>1</v>
      </c>
      <c r="AF426" s="57">
        <v>1</v>
      </c>
      <c r="AG426" s="57">
        <v>1</v>
      </c>
      <c r="AH426" s="58">
        <v>1</v>
      </c>
      <c r="AI426" s="6"/>
    </row>
    <row r="427" spans="1:35" ht="15.75" thickBot="1" x14ac:dyDescent="0.3">
      <c r="A427" s="3"/>
      <c r="B427" s="5" t="s">
        <v>12</v>
      </c>
      <c r="C427" s="145">
        <v>1</v>
      </c>
      <c r="D427" s="88">
        <v>1</v>
      </c>
      <c r="E427" s="88">
        <v>1</v>
      </c>
      <c r="F427" s="88">
        <v>1</v>
      </c>
      <c r="G427" s="88">
        <v>1</v>
      </c>
      <c r="H427" s="88">
        <v>1</v>
      </c>
      <c r="I427" s="88">
        <v>1</v>
      </c>
      <c r="J427" s="88">
        <v>1</v>
      </c>
      <c r="K427" s="88">
        <v>1</v>
      </c>
      <c r="L427" s="88">
        <v>1</v>
      </c>
      <c r="M427" s="88">
        <v>1</v>
      </c>
      <c r="N427" s="88">
        <v>1</v>
      </c>
      <c r="O427" s="88">
        <v>1</v>
      </c>
      <c r="P427" s="88">
        <v>1</v>
      </c>
      <c r="Q427" s="88">
        <v>1</v>
      </c>
      <c r="R427" s="88">
        <v>1</v>
      </c>
      <c r="S427" s="88">
        <v>1</v>
      </c>
      <c r="T427" s="88">
        <v>1</v>
      </c>
      <c r="U427" s="88">
        <v>1</v>
      </c>
      <c r="V427" s="88">
        <v>1</v>
      </c>
      <c r="W427" s="88">
        <v>1</v>
      </c>
      <c r="X427" s="88">
        <v>1</v>
      </c>
      <c r="Y427" s="88">
        <v>1</v>
      </c>
      <c r="Z427" s="88">
        <v>1</v>
      </c>
      <c r="AA427" s="88">
        <v>1</v>
      </c>
      <c r="AB427" s="88">
        <v>1</v>
      </c>
      <c r="AC427" s="88">
        <v>1</v>
      </c>
      <c r="AD427" s="88">
        <v>1</v>
      </c>
      <c r="AE427" s="88">
        <v>1</v>
      </c>
      <c r="AF427" s="88">
        <v>1</v>
      </c>
      <c r="AG427" s="88">
        <v>1</v>
      </c>
      <c r="AH427" s="89">
        <v>1</v>
      </c>
      <c r="AI427" s="6"/>
    </row>
    <row r="428" spans="1:35" x14ac:dyDescent="0.25">
      <c r="A428" s="3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6"/>
    </row>
    <row r="429" spans="1:35" ht="15.75" thickBot="1" x14ac:dyDescent="0.3">
      <c r="A429" s="3"/>
      <c r="B429" s="5"/>
      <c r="C429" s="7">
        <v>32</v>
      </c>
      <c r="D429" s="7">
        <v>33</v>
      </c>
      <c r="E429" s="7">
        <v>34</v>
      </c>
      <c r="F429" s="7">
        <v>35</v>
      </c>
      <c r="G429" s="7">
        <v>36</v>
      </c>
      <c r="H429" s="7">
        <v>37</v>
      </c>
      <c r="I429" s="7">
        <v>38</v>
      </c>
      <c r="J429" s="7">
        <v>39</v>
      </c>
      <c r="K429" s="7">
        <v>40</v>
      </c>
      <c r="L429" s="7">
        <v>41</v>
      </c>
      <c r="M429" s="7">
        <v>42</v>
      </c>
      <c r="N429" s="7">
        <v>43</v>
      </c>
      <c r="O429" s="7">
        <v>44</v>
      </c>
      <c r="P429" s="7">
        <v>45</v>
      </c>
      <c r="Q429" s="7">
        <v>46</v>
      </c>
      <c r="R429" s="7">
        <v>47</v>
      </c>
      <c r="S429" s="7">
        <v>48</v>
      </c>
      <c r="T429" s="7">
        <v>49</v>
      </c>
      <c r="U429" s="7">
        <v>50</v>
      </c>
      <c r="V429" s="7">
        <v>51</v>
      </c>
      <c r="W429" s="7">
        <v>52</v>
      </c>
      <c r="X429" s="7">
        <v>53</v>
      </c>
      <c r="Y429" s="7">
        <v>54</v>
      </c>
      <c r="Z429" s="7">
        <v>55</v>
      </c>
      <c r="AA429" s="7">
        <v>56</v>
      </c>
      <c r="AB429" s="7">
        <v>57</v>
      </c>
      <c r="AC429" s="7">
        <v>58</v>
      </c>
      <c r="AD429" s="7">
        <v>59</v>
      </c>
      <c r="AE429" s="7">
        <v>60</v>
      </c>
      <c r="AF429" s="7">
        <v>61</v>
      </c>
      <c r="AG429" s="7">
        <v>62</v>
      </c>
      <c r="AH429" s="7">
        <v>63</v>
      </c>
      <c r="AI429" s="6"/>
    </row>
    <row r="430" spans="1:35" ht="15.75" thickBot="1" x14ac:dyDescent="0.3">
      <c r="A430" s="3"/>
      <c r="B430" s="5"/>
      <c r="C430" s="147" t="s">
        <v>13</v>
      </c>
      <c r="D430" s="148" t="s">
        <v>14</v>
      </c>
      <c r="E430" s="148" t="s">
        <v>15</v>
      </c>
      <c r="F430" s="148" t="s">
        <v>16</v>
      </c>
      <c r="G430" s="148" t="s">
        <v>17</v>
      </c>
      <c r="H430" s="148" t="s">
        <v>18</v>
      </c>
      <c r="I430" s="148" t="s">
        <v>19</v>
      </c>
      <c r="J430" s="148" t="s">
        <v>20</v>
      </c>
      <c r="K430" s="148" t="s">
        <v>21</v>
      </c>
      <c r="L430" s="148" t="s">
        <v>22</v>
      </c>
      <c r="M430" s="148" t="s">
        <v>23</v>
      </c>
      <c r="N430" s="148" t="s">
        <v>24</v>
      </c>
      <c r="O430" s="148" t="s">
        <v>25</v>
      </c>
      <c r="P430" s="148" t="s">
        <v>26</v>
      </c>
      <c r="Q430" s="148" t="s">
        <v>27</v>
      </c>
      <c r="R430" s="342" t="s">
        <v>30</v>
      </c>
      <c r="S430" s="343"/>
      <c r="T430" s="343"/>
      <c r="U430" s="343"/>
      <c r="V430" s="343"/>
      <c r="W430" s="343"/>
      <c r="X430" s="343"/>
      <c r="Y430" s="343"/>
      <c r="Z430" s="343"/>
      <c r="AA430" s="343"/>
      <c r="AB430" s="343"/>
      <c r="AC430" s="343"/>
      <c r="AD430" s="343"/>
      <c r="AE430" s="343"/>
      <c r="AF430" s="344"/>
      <c r="AG430" s="67" t="s">
        <v>28</v>
      </c>
      <c r="AH430" s="149" t="s">
        <v>29</v>
      </c>
      <c r="AI430" s="6"/>
    </row>
    <row r="431" spans="1:35" ht="15.75" thickBot="1" x14ac:dyDescent="0.3">
      <c r="A431" s="3"/>
      <c r="B431" s="5"/>
      <c r="C431" s="150">
        <v>0</v>
      </c>
      <c r="D431" s="151">
        <v>0</v>
      </c>
      <c r="E431" s="151">
        <v>0</v>
      </c>
      <c r="F431" s="151">
        <v>0</v>
      </c>
      <c r="G431" s="151">
        <v>0</v>
      </c>
      <c r="H431" s="151">
        <v>0</v>
      </c>
      <c r="I431" s="151">
        <v>0</v>
      </c>
      <c r="J431" s="151">
        <v>0</v>
      </c>
      <c r="K431" s="151">
        <v>0</v>
      </c>
      <c r="L431" s="151">
        <v>0</v>
      </c>
      <c r="M431" s="151">
        <v>0</v>
      </c>
      <c r="N431" s="151">
        <v>0</v>
      </c>
      <c r="O431" s="151">
        <v>1</v>
      </c>
      <c r="P431" s="151">
        <v>0</v>
      </c>
      <c r="Q431" s="151">
        <v>0</v>
      </c>
      <c r="R431" s="151">
        <v>0</v>
      </c>
      <c r="S431" s="151">
        <v>0</v>
      </c>
      <c r="T431" s="151">
        <v>0</v>
      </c>
      <c r="U431" s="151">
        <v>0</v>
      </c>
      <c r="V431" s="151">
        <v>0</v>
      </c>
      <c r="W431" s="151">
        <v>0</v>
      </c>
      <c r="X431" s="151">
        <v>0</v>
      </c>
      <c r="Y431" s="151">
        <v>0</v>
      </c>
      <c r="Z431" s="151">
        <v>1</v>
      </c>
      <c r="AA431" s="151">
        <v>0</v>
      </c>
      <c r="AB431" s="151">
        <v>1</v>
      </c>
      <c r="AC431" s="151">
        <v>0</v>
      </c>
      <c r="AD431" s="151">
        <v>1</v>
      </c>
      <c r="AE431" s="151">
        <v>0</v>
      </c>
      <c r="AF431" s="151">
        <v>0</v>
      </c>
      <c r="AG431" s="151">
        <v>0</v>
      </c>
      <c r="AH431" s="152">
        <v>0</v>
      </c>
      <c r="AI431" s="6"/>
    </row>
    <row r="432" spans="1:35" x14ac:dyDescent="0.25">
      <c r="A432" s="3"/>
      <c r="B432" s="4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6"/>
    </row>
    <row r="433" spans="1:35" x14ac:dyDescent="0.25">
      <c r="A433" s="3"/>
      <c r="B433" s="8" t="s">
        <v>43</v>
      </c>
      <c r="C433" s="9"/>
      <c r="D433" s="9"/>
      <c r="E433" s="9"/>
      <c r="F433" s="44" t="s">
        <v>44</v>
      </c>
      <c r="G433" s="44"/>
      <c r="H433" s="44"/>
      <c r="I433" s="9"/>
      <c r="J433" s="45" t="s">
        <v>45</v>
      </c>
      <c r="K433" s="45"/>
      <c r="L433" s="45"/>
      <c r="M433" s="45"/>
      <c r="N433" s="9"/>
      <c r="O433" s="46" t="s">
        <v>46</v>
      </c>
      <c r="P433" s="46"/>
      <c r="Q433" s="46"/>
      <c r="R433" s="46"/>
      <c r="S433" s="9"/>
      <c r="T433" s="1" t="s">
        <v>49</v>
      </c>
      <c r="U433" s="10" t="s">
        <v>48</v>
      </c>
      <c r="V433" s="5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6"/>
    </row>
    <row r="434" spans="1:35" ht="15" customHeight="1" x14ac:dyDescent="0.25">
      <c r="A434" s="3"/>
      <c r="B434" s="42" t="str">
        <f>"0x"&amp;DEC2HEX(Sheet3!$I$4,8)</f>
        <v>0x00400320</v>
      </c>
      <c r="C434" s="42"/>
      <c r="D434" s="42"/>
      <c r="E434" s="12"/>
      <c r="F434" s="319" t="str">
        <f>"0x"&amp;BIN2HEX(CONCATENATE(C427,D427,E427,F427,G427,H427,I427,J427),2)&amp;BIN2HEX(CONCATENATE(K427,L427,M427,N427,O427,P427,Q427,R427),2)&amp;BIN2HEX(CONCATENATE(S427,T427,U427,V427,W427,X427,Y427,Z427),2)&amp;BIN2HEX(CONCATENATE(AA427,AB427,AC427,AD427,AE427,AF427,AG427,AH427),2)</f>
        <v>0xFFFFFFFF</v>
      </c>
      <c r="G434" s="319"/>
      <c r="H434" s="319"/>
      <c r="I434" s="12"/>
      <c r="J434" s="319" t="str">
        <f>"0b"&amp;C431&amp;D431&amp;E431&amp;F431&amp;G431&amp;H431&amp;I431&amp;J431&amp;K431&amp;L431&amp;M431&amp;N431&amp;O431&amp;P431&amp;Q431</f>
        <v>0b000000000000100</v>
      </c>
      <c r="K434" s="319"/>
      <c r="L434" s="319"/>
      <c r="M434" s="319"/>
      <c r="N434" s="12"/>
      <c r="O434" s="319" t="str">
        <f>"0b"&amp;DEC2BIN(((AF431+AE431*2+AD431*4+AC431*8+AB431*16+AA431*32+Z431*64+Y431*128+X431*256+W431*512+V431*1024+U431*2048+T431*4096+S431*2^13+R431*2^14)/512),6)&amp;DEC2BIN(MOD((AF431+AE431*2+AD431*4+AC431*8+AB431*16+AA431*32+Z431*64+Y431*128+X431*256+W431*512+V431*1024+U431*2048+T431*4096+S431*2^13+R431*2^14),512),9)</f>
        <v>0b000000001010100</v>
      </c>
      <c r="P434" s="319"/>
      <c r="Q434" s="319"/>
      <c r="R434" s="319"/>
      <c r="S434" s="12"/>
      <c r="T434" s="13">
        <v>0</v>
      </c>
      <c r="U434" s="13">
        <f>AH431</f>
        <v>0</v>
      </c>
      <c r="V434" s="5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6"/>
    </row>
    <row r="435" spans="1:35" x14ac:dyDescent="0.25">
      <c r="A435" s="3"/>
      <c r="B435" s="42"/>
      <c r="C435" s="42"/>
      <c r="D435" s="42"/>
      <c r="E435" s="15"/>
      <c r="F435" s="43"/>
      <c r="G435" s="43"/>
      <c r="H435" s="43"/>
      <c r="I435" s="15"/>
      <c r="J435" s="42"/>
      <c r="K435" s="42"/>
      <c r="L435" s="42"/>
      <c r="M435" s="42"/>
      <c r="N435" s="15"/>
      <c r="O435" s="42"/>
      <c r="P435" s="42"/>
      <c r="Q435" s="42"/>
      <c r="R435" s="42"/>
      <c r="S435" s="15"/>
      <c r="T435" s="13"/>
      <c r="U435" s="15"/>
      <c r="V435" s="5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6"/>
    </row>
    <row r="436" spans="1:35" x14ac:dyDescent="0.25">
      <c r="A436" s="3"/>
      <c r="B436" s="42"/>
      <c r="C436" s="42"/>
      <c r="D436" s="42"/>
      <c r="E436" s="15"/>
      <c r="F436" s="43"/>
      <c r="G436" s="43"/>
      <c r="H436" s="43"/>
      <c r="I436" s="15"/>
      <c r="J436" s="42"/>
      <c r="K436" s="42"/>
      <c r="L436" s="42"/>
      <c r="M436" s="42"/>
      <c r="N436" s="15"/>
      <c r="O436" s="42"/>
      <c r="P436" s="42"/>
      <c r="Q436" s="42"/>
      <c r="R436" s="42"/>
      <c r="S436" s="15"/>
      <c r="T436" s="13"/>
      <c r="U436" s="15"/>
      <c r="V436" s="5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6"/>
    </row>
    <row r="437" spans="1:35" x14ac:dyDescent="0.25">
      <c r="A437" s="3"/>
      <c r="B437" s="5"/>
      <c r="C437" s="5"/>
      <c r="D437" s="5"/>
      <c r="E437" s="5"/>
      <c r="F437" s="17"/>
      <c r="G437" s="17"/>
      <c r="H437" s="17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6"/>
    </row>
    <row r="438" spans="1:35" x14ac:dyDescent="0.25">
      <c r="A438" s="3"/>
      <c r="B438" s="5" t="s">
        <v>47</v>
      </c>
      <c r="C438" s="18"/>
      <c r="D438" s="18"/>
      <c r="E438" s="18"/>
      <c r="F438" s="5"/>
      <c r="G438" s="5"/>
      <c r="H438" s="5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6"/>
    </row>
    <row r="439" spans="1:35" ht="15" customHeight="1" x14ac:dyDescent="0.25">
      <c r="A439" s="3"/>
      <c r="B439" s="42" t="str">
        <f>"0x"&amp;DEC2HEX(Sheet3!$I$4,8)</f>
        <v>0x00400320</v>
      </c>
      <c r="C439" s="42"/>
      <c r="D439" s="42"/>
      <c r="E439" s="16"/>
      <c r="F439" s="322" t="str">
        <f>F434&amp;BIN2HEX(MID(J434,3,8),2)&amp;BIN2HEX(RIGHT(J434,7)&amp;MID(O434,3,1),2)&amp;BIN2HEX(MID(O434,4,8),2)&amp;BIN2HEX(RIGHT(O434,6)&amp;T434&amp;U434,2)</f>
        <v>0xFFFFFFFF00080150</v>
      </c>
      <c r="G439" s="322"/>
      <c r="H439" s="322"/>
      <c r="I439" s="322"/>
      <c r="J439" s="5"/>
      <c r="K439" s="5"/>
      <c r="L439" s="5"/>
      <c r="M439" s="5"/>
      <c r="N439" s="5"/>
      <c r="O439" s="5"/>
      <c r="P439" s="16"/>
      <c r="Q439" s="16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5"/>
      <c r="AH439" s="5"/>
      <c r="AI439" s="6"/>
    </row>
    <row r="440" spans="1:35" x14ac:dyDescent="0.25">
      <c r="A440" s="3"/>
      <c r="B440" s="37"/>
      <c r="C440" s="37"/>
      <c r="D440" s="37"/>
      <c r="E440" s="5"/>
      <c r="F440" s="38"/>
      <c r="G440" s="38"/>
      <c r="H440" s="38"/>
      <c r="I440" s="38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6"/>
    </row>
    <row r="441" spans="1:35" x14ac:dyDescent="0.25">
      <c r="A441" s="3"/>
      <c r="B441" s="37"/>
      <c r="C441" s="37"/>
      <c r="D441" s="37"/>
      <c r="E441" s="5"/>
      <c r="F441" s="38"/>
      <c r="G441" s="38"/>
      <c r="H441" s="38"/>
      <c r="I441" s="38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6"/>
    </row>
    <row r="442" spans="1:35" x14ac:dyDescent="0.25">
      <c r="A442" s="20"/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2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3"/>
    </row>
    <row r="443" spans="1:35" x14ac:dyDescent="0.25">
      <c r="A443" s="24"/>
      <c r="B443" s="28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6"/>
    </row>
    <row r="444" spans="1:35" x14ac:dyDescent="0.25">
      <c r="A444" s="3"/>
      <c r="B444" s="4" t="s">
        <v>151</v>
      </c>
      <c r="C444" s="5"/>
      <c r="D444" s="5"/>
      <c r="E444" s="5"/>
      <c r="F444" s="5"/>
      <c r="G444" s="5"/>
      <c r="H444" s="5"/>
      <c r="I444" s="5" t="str">
        <f>"0x"&amp;BIN2HEX(CONCATENATE(C449,D449,E449,F449,G449,H449,I449,J449),2)&amp;BIN2HEX(CONCATENATE(K449,L449,M449,N449,O449,P449,Q449,R449),2)&amp;BIN2HEX(CONCATENATE(S449,T449,U449,V449,W449,X449,Y449,Z449),2)&amp;BIN2HEX(CONCATENATE(AA449,AB449,AC449,AD449,AE449,AF449,AG449,AH449),2)&amp;"_"&amp;BIN2HEX(CONCATENATE(C453,D453,E453,F453,G453,H453,I453,J453),2)&amp;BIN2HEX(CONCATENATE(K453,L453,M453,N453,O453,P453,Q453,R453),2)&amp;BIN2HEX(CONCATENATE(S453,T453,U453,V453,W453,X453,Y453,Z453),2)&amp;BIN2HEX(CONCATENATE(AA453,AB453,AC453,AD453,AE453,AF453,AG453,AH453),2)</f>
        <v>0xFFFFFFFF_00080154</v>
      </c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6"/>
    </row>
    <row r="445" spans="1:35" ht="15.75" thickBot="1" x14ac:dyDescent="0.3">
      <c r="A445" s="3"/>
      <c r="B445" s="5"/>
      <c r="C445" s="7">
        <v>0</v>
      </c>
      <c r="D445" s="7">
        <v>1</v>
      </c>
      <c r="E445" s="7">
        <v>2</v>
      </c>
      <c r="F445" s="7">
        <v>3</v>
      </c>
      <c r="G445" s="7">
        <v>4</v>
      </c>
      <c r="H445" s="7">
        <v>5</v>
      </c>
      <c r="I445" s="7">
        <v>6</v>
      </c>
      <c r="J445" s="7">
        <v>7</v>
      </c>
      <c r="K445" s="7">
        <v>8</v>
      </c>
      <c r="L445" s="7">
        <v>9</v>
      </c>
      <c r="M445" s="7">
        <v>10</v>
      </c>
      <c r="N445" s="7">
        <v>11</v>
      </c>
      <c r="O445" s="7">
        <v>12</v>
      </c>
      <c r="P445" s="7">
        <v>13</v>
      </c>
      <c r="Q445" s="7">
        <v>14</v>
      </c>
      <c r="R445" s="7">
        <v>15</v>
      </c>
      <c r="S445" s="7">
        <v>16</v>
      </c>
      <c r="T445" s="7">
        <v>17</v>
      </c>
      <c r="U445" s="7">
        <v>18</v>
      </c>
      <c r="V445" s="7">
        <v>19</v>
      </c>
      <c r="W445" s="7">
        <v>20</v>
      </c>
      <c r="X445" s="7">
        <v>21</v>
      </c>
      <c r="Y445" s="7">
        <v>22</v>
      </c>
      <c r="Z445" s="7">
        <v>23</v>
      </c>
      <c r="AA445" s="7">
        <v>24</v>
      </c>
      <c r="AB445" s="7">
        <v>25</v>
      </c>
      <c r="AC445" s="7">
        <v>26</v>
      </c>
      <c r="AD445" s="7">
        <v>27</v>
      </c>
      <c r="AE445" s="7">
        <v>28</v>
      </c>
      <c r="AF445" s="7">
        <v>29</v>
      </c>
      <c r="AG445" s="7">
        <v>30</v>
      </c>
      <c r="AH445" s="7">
        <v>31</v>
      </c>
      <c r="AI445" s="6"/>
    </row>
    <row r="446" spans="1:35" ht="15" customHeight="1" x14ac:dyDescent="0.25">
      <c r="A446" s="3"/>
      <c r="B446" s="5" t="s">
        <v>31</v>
      </c>
      <c r="C446" s="354" t="s">
        <v>143</v>
      </c>
      <c r="D446" s="331"/>
      <c r="E446" s="331"/>
      <c r="F446" s="331"/>
      <c r="G446" s="331"/>
      <c r="H446" s="331"/>
      <c r="I446" s="331"/>
      <c r="J446" s="331"/>
      <c r="K446" s="331"/>
      <c r="L446" s="331"/>
      <c r="M446" s="331"/>
      <c r="N446" s="331"/>
      <c r="O446" s="331"/>
      <c r="P446" s="331"/>
      <c r="Q446" s="331"/>
      <c r="R446" s="331"/>
      <c r="S446" s="331"/>
      <c r="T446" s="331"/>
      <c r="U446" s="331"/>
      <c r="V446" s="331"/>
      <c r="W446" s="331"/>
      <c r="X446" s="331"/>
      <c r="Y446" s="331"/>
      <c r="Z446" s="331"/>
      <c r="AA446" s="331"/>
      <c r="AB446" s="331"/>
      <c r="AC446" s="331"/>
      <c r="AD446" s="331"/>
      <c r="AE446" s="331"/>
      <c r="AF446" s="331"/>
      <c r="AG446" s="331"/>
      <c r="AH446" s="355"/>
      <c r="AI446" s="6"/>
    </row>
    <row r="447" spans="1:35" x14ac:dyDescent="0.25">
      <c r="A447" s="3"/>
      <c r="B447" s="5" t="s">
        <v>32</v>
      </c>
      <c r="C447" s="356"/>
      <c r="D447" s="334"/>
      <c r="E447" s="334"/>
      <c r="F447" s="334"/>
      <c r="G447" s="334"/>
      <c r="H447" s="334"/>
      <c r="I447" s="334"/>
      <c r="J447" s="334"/>
      <c r="K447" s="334"/>
      <c r="L447" s="334"/>
      <c r="M447" s="334"/>
      <c r="N447" s="334"/>
      <c r="O447" s="334"/>
      <c r="P447" s="334"/>
      <c r="Q447" s="334"/>
      <c r="R447" s="334"/>
      <c r="S447" s="334"/>
      <c r="T447" s="334"/>
      <c r="U447" s="334"/>
      <c r="V447" s="334"/>
      <c r="W447" s="334"/>
      <c r="X447" s="334"/>
      <c r="Y447" s="334"/>
      <c r="Z447" s="334"/>
      <c r="AA447" s="334"/>
      <c r="AB447" s="334"/>
      <c r="AC447" s="334"/>
      <c r="AD447" s="334"/>
      <c r="AE447" s="334"/>
      <c r="AF447" s="334"/>
      <c r="AG447" s="334"/>
      <c r="AH447" s="357"/>
      <c r="AI447" s="6"/>
    </row>
    <row r="448" spans="1:35" x14ac:dyDescent="0.25">
      <c r="A448" s="3"/>
      <c r="B448" s="5" t="s">
        <v>11</v>
      </c>
      <c r="C448" s="56">
        <v>1</v>
      </c>
      <c r="D448" s="57">
        <v>1</v>
      </c>
      <c r="E448" s="57">
        <v>1</v>
      </c>
      <c r="F448" s="57">
        <v>1</v>
      </c>
      <c r="G448" s="57">
        <v>1</v>
      </c>
      <c r="H448" s="57">
        <v>1</v>
      </c>
      <c r="I448" s="57">
        <v>1</v>
      </c>
      <c r="J448" s="57">
        <v>1</v>
      </c>
      <c r="K448" s="57">
        <v>1</v>
      </c>
      <c r="L448" s="57">
        <v>1</v>
      </c>
      <c r="M448" s="57">
        <v>1</v>
      </c>
      <c r="N448" s="57">
        <v>1</v>
      </c>
      <c r="O448" s="57">
        <v>1</v>
      </c>
      <c r="P448" s="57">
        <v>1</v>
      </c>
      <c r="Q448" s="57">
        <v>1</v>
      </c>
      <c r="R448" s="57">
        <v>1</v>
      </c>
      <c r="S448" s="57">
        <v>1</v>
      </c>
      <c r="T448" s="57">
        <v>1</v>
      </c>
      <c r="U448" s="57">
        <v>1</v>
      </c>
      <c r="V448" s="57">
        <v>1</v>
      </c>
      <c r="W448" s="57">
        <v>1</v>
      </c>
      <c r="X448" s="57">
        <v>1</v>
      </c>
      <c r="Y448" s="57">
        <v>1</v>
      </c>
      <c r="Z448" s="57">
        <v>1</v>
      </c>
      <c r="AA448" s="57">
        <v>1</v>
      </c>
      <c r="AB448" s="57">
        <v>1</v>
      </c>
      <c r="AC448" s="57">
        <v>1</v>
      </c>
      <c r="AD448" s="57">
        <v>1</v>
      </c>
      <c r="AE448" s="57">
        <v>1</v>
      </c>
      <c r="AF448" s="57">
        <v>1</v>
      </c>
      <c r="AG448" s="57">
        <v>1</v>
      </c>
      <c r="AH448" s="58">
        <v>1</v>
      </c>
      <c r="AI448" s="6"/>
    </row>
    <row r="449" spans="1:35" ht="15.75" thickBot="1" x14ac:dyDescent="0.3">
      <c r="A449" s="3"/>
      <c r="B449" s="5" t="s">
        <v>12</v>
      </c>
      <c r="C449" s="145">
        <v>1</v>
      </c>
      <c r="D449" s="88">
        <v>1</v>
      </c>
      <c r="E449" s="88">
        <v>1</v>
      </c>
      <c r="F449" s="88">
        <v>1</v>
      </c>
      <c r="G449" s="88">
        <v>1</v>
      </c>
      <c r="H449" s="88">
        <v>1</v>
      </c>
      <c r="I449" s="88">
        <v>1</v>
      </c>
      <c r="J449" s="88">
        <v>1</v>
      </c>
      <c r="K449" s="88">
        <v>1</v>
      </c>
      <c r="L449" s="88">
        <v>1</v>
      </c>
      <c r="M449" s="88">
        <v>1</v>
      </c>
      <c r="N449" s="88">
        <v>1</v>
      </c>
      <c r="O449" s="88">
        <v>1</v>
      </c>
      <c r="P449" s="88">
        <v>1</v>
      </c>
      <c r="Q449" s="88">
        <v>1</v>
      </c>
      <c r="R449" s="88">
        <v>1</v>
      </c>
      <c r="S449" s="88">
        <v>1</v>
      </c>
      <c r="T449" s="88">
        <v>1</v>
      </c>
      <c r="U449" s="88">
        <v>1</v>
      </c>
      <c r="V449" s="88">
        <v>1</v>
      </c>
      <c r="W449" s="88">
        <v>1</v>
      </c>
      <c r="X449" s="88">
        <v>1</v>
      </c>
      <c r="Y449" s="88">
        <v>1</v>
      </c>
      <c r="Z449" s="88">
        <v>1</v>
      </c>
      <c r="AA449" s="88">
        <v>1</v>
      </c>
      <c r="AB449" s="88">
        <v>1</v>
      </c>
      <c r="AC449" s="88">
        <v>1</v>
      </c>
      <c r="AD449" s="88">
        <v>1</v>
      </c>
      <c r="AE449" s="88">
        <v>1</v>
      </c>
      <c r="AF449" s="88">
        <v>1</v>
      </c>
      <c r="AG449" s="88">
        <v>1</v>
      </c>
      <c r="AH449" s="89">
        <v>1</v>
      </c>
      <c r="AI449" s="6"/>
    </row>
    <row r="450" spans="1:35" x14ac:dyDescent="0.25">
      <c r="A450" s="3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6"/>
    </row>
    <row r="451" spans="1:35" ht="15.75" thickBot="1" x14ac:dyDescent="0.3">
      <c r="A451" s="3"/>
      <c r="B451" s="5"/>
      <c r="C451" s="7">
        <v>32</v>
      </c>
      <c r="D451" s="7">
        <v>33</v>
      </c>
      <c r="E451" s="7">
        <v>34</v>
      </c>
      <c r="F451" s="7">
        <v>35</v>
      </c>
      <c r="G451" s="7">
        <v>36</v>
      </c>
      <c r="H451" s="7">
        <v>37</v>
      </c>
      <c r="I451" s="7">
        <v>38</v>
      </c>
      <c r="J451" s="7">
        <v>39</v>
      </c>
      <c r="K451" s="7">
        <v>40</v>
      </c>
      <c r="L451" s="7">
        <v>41</v>
      </c>
      <c r="M451" s="7">
        <v>42</v>
      </c>
      <c r="N451" s="7">
        <v>43</v>
      </c>
      <c r="O451" s="7">
        <v>44</v>
      </c>
      <c r="P451" s="7">
        <v>45</v>
      </c>
      <c r="Q451" s="7">
        <v>46</v>
      </c>
      <c r="R451" s="7">
        <v>47</v>
      </c>
      <c r="S451" s="7">
        <v>48</v>
      </c>
      <c r="T451" s="7">
        <v>49</v>
      </c>
      <c r="U451" s="7">
        <v>50</v>
      </c>
      <c r="V451" s="7">
        <v>51</v>
      </c>
      <c r="W451" s="7">
        <v>52</v>
      </c>
      <c r="X451" s="7">
        <v>53</v>
      </c>
      <c r="Y451" s="7">
        <v>54</v>
      </c>
      <c r="Z451" s="7">
        <v>55</v>
      </c>
      <c r="AA451" s="7">
        <v>56</v>
      </c>
      <c r="AB451" s="7">
        <v>57</v>
      </c>
      <c r="AC451" s="7">
        <v>58</v>
      </c>
      <c r="AD451" s="7">
        <v>59</v>
      </c>
      <c r="AE451" s="7">
        <v>60</v>
      </c>
      <c r="AF451" s="7">
        <v>61</v>
      </c>
      <c r="AG451" s="7">
        <v>62</v>
      </c>
      <c r="AH451" s="7">
        <v>63</v>
      </c>
      <c r="AI451" s="6"/>
    </row>
    <row r="452" spans="1:35" ht="15.75" thickBot="1" x14ac:dyDescent="0.3">
      <c r="A452" s="3"/>
      <c r="B452" s="5"/>
      <c r="C452" s="147" t="s">
        <v>13</v>
      </c>
      <c r="D452" s="148" t="s">
        <v>14</v>
      </c>
      <c r="E452" s="148" t="s">
        <v>15</v>
      </c>
      <c r="F452" s="148" t="s">
        <v>16</v>
      </c>
      <c r="G452" s="148" t="s">
        <v>17</v>
      </c>
      <c r="H452" s="148" t="s">
        <v>18</v>
      </c>
      <c r="I452" s="148" t="s">
        <v>19</v>
      </c>
      <c r="J452" s="148" t="s">
        <v>20</v>
      </c>
      <c r="K452" s="148" t="s">
        <v>21</v>
      </c>
      <c r="L452" s="148" t="s">
        <v>22</v>
      </c>
      <c r="M452" s="148" t="s">
        <v>23</v>
      </c>
      <c r="N452" s="148" t="s">
        <v>24</v>
      </c>
      <c r="O452" s="148" t="s">
        <v>25</v>
      </c>
      <c r="P452" s="148" t="s">
        <v>26</v>
      </c>
      <c r="Q452" s="148" t="s">
        <v>27</v>
      </c>
      <c r="R452" s="342" t="s">
        <v>30</v>
      </c>
      <c r="S452" s="343"/>
      <c r="T452" s="343"/>
      <c r="U452" s="343"/>
      <c r="V452" s="343"/>
      <c r="W452" s="343"/>
      <c r="X452" s="343"/>
      <c r="Y452" s="343"/>
      <c r="Z452" s="343"/>
      <c r="AA452" s="343"/>
      <c r="AB452" s="343"/>
      <c r="AC452" s="343"/>
      <c r="AD452" s="343"/>
      <c r="AE452" s="343"/>
      <c r="AF452" s="344"/>
      <c r="AG452" s="67" t="s">
        <v>28</v>
      </c>
      <c r="AH452" s="149" t="s">
        <v>29</v>
      </c>
      <c r="AI452" s="6"/>
    </row>
    <row r="453" spans="1:35" ht="15.75" thickBot="1" x14ac:dyDescent="0.3">
      <c r="A453" s="3"/>
      <c r="B453" s="5"/>
      <c r="C453" s="150">
        <v>0</v>
      </c>
      <c r="D453" s="151">
        <v>0</v>
      </c>
      <c r="E453" s="151">
        <v>0</v>
      </c>
      <c r="F453" s="151">
        <v>0</v>
      </c>
      <c r="G453" s="151">
        <v>0</v>
      </c>
      <c r="H453" s="151">
        <v>0</v>
      </c>
      <c r="I453" s="151">
        <v>0</v>
      </c>
      <c r="J453" s="151">
        <v>0</v>
      </c>
      <c r="K453" s="151">
        <v>0</v>
      </c>
      <c r="L453" s="151">
        <v>0</v>
      </c>
      <c r="M453" s="151">
        <v>0</v>
      </c>
      <c r="N453" s="151">
        <v>0</v>
      </c>
      <c r="O453" s="151">
        <v>1</v>
      </c>
      <c r="P453" s="151">
        <v>0</v>
      </c>
      <c r="Q453" s="151">
        <v>0</v>
      </c>
      <c r="R453" s="151">
        <v>0</v>
      </c>
      <c r="S453" s="151">
        <v>0</v>
      </c>
      <c r="T453" s="151">
        <v>0</v>
      </c>
      <c r="U453" s="151">
        <v>0</v>
      </c>
      <c r="V453" s="151">
        <v>0</v>
      </c>
      <c r="W453" s="151">
        <v>0</v>
      </c>
      <c r="X453" s="151">
        <v>0</v>
      </c>
      <c r="Y453" s="151">
        <v>0</v>
      </c>
      <c r="Z453" s="151">
        <v>1</v>
      </c>
      <c r="AA453" s="151">
        <v>0</v>
      </c>
      <c r="AB453" s="151">
        <v>1</v>
      </c>
      <c r="AC453" s="151">
        <v>0</v>
      </c>
      <c r="AD453" s="151">
        <v>1</v>
      </c>
      <c r="AE453" s="151">
        <v>0</v>
      </c>
      <c r="AF453" s="151">
        <v>1</v>
      </c>
      <c r="AG453" s="151">
        <v>0</v>
      </c>
      <c r="AH453" s="152">
        <v>0</v>
      </c>
      <c r="AI453" s="6"/>
    </row>
    <row r="454" spans="1:35" x14ac:dyDescent="0.25">
      <c r="A454" s="3"/>
      <c r="B454" s="4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6"/>
    </row>
    <row r="455" spans="1:35" x14ac:dyDescent="0.25">
      <c r="A455" s="3"/>
      <c r="B455" s="8" t="s">
        <v>43</v>
      </c>
      <c r="C455" s="9"/>
      <c r="D455" s="9"/>
      <c r="E455" s="9"/>
      <c r="F455" s="44" t="s">
        <v>44</v>
      </c>
      <c r="G455" s="44"/>
      <c r="H455" s="44"/>
      <c r="I455" s="9"/>
      <c r="J455" s="45" t="s">
        <v>45</v>
      </c>
      <c r="K455" s="45"/>
      <c r="L455" s="45"/>
      <c r="M455" s="45"/>
      <c r="N455" s="9"/>
      <c r="O455" s="46" t="s">
        <v>46</v>
      </c>
      <c r="P455" s="46"/>
      <c r="Q455" s="46"/>
      <c r="R455" s="46"/>
      <c r="S455" s="9"/>
      <c r="T455" s="1" t="s">
        <v>49</v>
      </c>
      <c r="U455" s="10" t="s">
        <v>48</v>
      </c>
      <c r="V455" s="5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6"/>
    </row>
    <row r="456" spans="1:35" ht="15" customHeight="1" x14ac:dyDescent="0.25">
      <c r="A456" s="3"/>
      <c r="B456" s="42" t="str">
        <f>"0x"&amp;DEC2HEX(Sheet3!$I$4,8)</f>
        <v>0x00400320</v>
      </c>
      <c r="C456" s="42"/>
      <c r="D456" s="42"/>
      <c r="E456" s="12"/>
      <c r="F456" s="319" t="str">
        <f>"0x"&amp;BIN2HEX(CONCATENATE(C449,D449,E449,F449,G449,H449,I449,J449),2)&amp;BIN2HEX(CONCATENATE(K449,L449,M449,N449,O449,P449,Q449,R449),2)&amp;BIN2HEX(CONCATENATE(S449,T449,U449,V449,W449,X449,Y449,Z449),2)&amp;BIN2HEX(CONCATENATE(AA449,AB449,AC449,AD449,AE449,AF449,AG449,AH449),2)</f>
        <v>0xFFFFFFFF</v>
      </c>
      <c r="G456" s="319"/>
      <c r="H456" s="319"/>
      <c r="I456" s="12"/>
      <c r="J456" s="319" t="str">
        <f>"0b"&amp;C453&amp;D453&amp;E453&amp;F453&amp;G453&amp;H453&amp;I453&amp;J453&amp;K453&amp;L453&amp;M453&amp;N453&amp;O453&amp;P453&amp;Q453</f>
        <v>0b000000000000100</v>
      </c>
      <c r="K456" s="319"/>
      <c r="L456" s="319"/>
      <c r="M456" s="319"/>
      <c r="N456" s="12"/>
      <c r="O456" s="319" t="str">
        <f>"0b"&amp;DEC2BIN(((AF453+AE453*2+AD453*4+AC453*8+AB453*16+AA453*32+Z453*64+Y453*128+X453*256+W453*512+V453*1024+U453*2048+T453*4096+S453*2^13+R453*2^14)/512),6)&amp;DEC2BIN(MOD((AF453+AE453*2+AD453*4+AC453*8+AB453*16+AA453*32+Z453*64+Y453*128+X453*256+W453*512+V453*1024+U453*2048+T453*4096+S453*2^13+R453*2^14),512),9)</f>
        <v>0b000000001010101</v>
      </c>
      <c r="P456" s="319"/>
      <c r="Q456" s="319"/>
      <c r="R456" s="319"/>
      <c r="S456" s="12"/>
      <c r="T456" s="13">
        <v>0</v>
      </c>
      <c r="U456" s="13">
        <f>AH453</f>
        <v>0</v>
      </c>
      <c r="V456" s="5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6"/>
    </row>
    <row r="457" spans="1:35" x14ac:dyDescent="0.25">
      <c r="A457" s="3"/>
      <c r="B457" s="42"/>
      <c r="C457" s="42"/>
      <c r="D457" s="42"/>
      <c r="E457" s="15"/>
      <c r="F457" s="43"/>
      <c r="G457" s="43"/>
      <c r="H457" s="43"/>
      <c r="I457" s="15"/>
      <c r="J457" s="42"/>
      <c r="K457" s="42"/>
      <c r="L457" s="42"/>
      <c r="M457" s="42"/>
      <c r="N457" s="15"/>
      <c r="O457" s="42"/>
      <c r="P457" s="42"/>
      <c r="Q457" s="42"/>
      <c r="R457" s="42"/>
      <c r="S457" s="15"/>
      <c r="T457" s="13"/>
      <c r="U457" s="15"/>
      <c r="V457" s="5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6"/>
    </row>
    <row r="458" spans="1:35" x14ac:dyDescent="0.25">
      <c r="A458" s="3"/>
      <c r="B458" s="42"/>
      <c r="C458" s="42"/>
      <c r="D458" s="42"/>
      <c r="E458" s="15"/>
      <c r="F458" s="43"/>
      <c r="G458" s="43"/>
      <c r="H458" s="43"/>
      <c r="I458" s="15"/>
      <c r="J458" s="42"/>
      <c r="K458" s="42"/>
      <c r="L458" s="42"/>
      <c r="M458" s="42"/>
      <c r="N458" s="15"/>
      <c r="O458" s="42"/>
      <c r="P458" s="42"/>
      <c r="Q458" s="42"/>
      <c r="R458" s="42"/>
      <c r="S458" s="15"/>
      <c r="T458" s="13"/>
      <c r="U458" s="15"/>
      <c r="V458" s="5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6"/>
    </row>
    <row r="459" spans="1:35" x14ac:dyDescent="0.25">
      <c r="A459" s="3"/>
      <c r="B459" s="5"/>
      <c r="C459" s="5"/>
      <c r="D459" s="5"/>
      <c r="E459" s="5"/>
      <c r="F459" s="17"/>
      <c r="G459" s="17"/>
      <c r="H459" s="17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6"/>
    </row>
    <row r="460" spans="1:35" x14ac:dyDescent="0.25">
      <c r="A460" s="3"/>
      <c r="B460" s="5" t="s">
        <v>47</v>
      </c>
      <c r="C460" s="18"/>
      <c r="D460" s="18"/>
      <c r="E460" s="18"/>
      <c r="F460" s="5"/>
      <c r="G460" s="5"/>
      <c r="H460" s="5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6"/>
    </row>
    <row r="461" spans="1:35" ht="15" customHeight="1" x14ac:dyDescent="0.25">
      <c r="A461" s="3"/>
      <c r="B461" s="42" t="str">
        <f>"0x"&amp;DEC2HEX(Sheet3!$I$4,8)</f>
        <v>0x00400320</v>
      </c>
      <c r="C461" s="42"/>
      <c r="D461" s="42"/>
      <c r="E461" s="16"/>
      <c r="F461" s="322" t="str">
        <f>F456&amp;BIN2HEX(MID(J456,3,8),2)&amp;BIN2HEX(RIGHT(J456,7)&amp;MID(O456,3,1),2)&amp;BIN2HEX(MID(O456,4,8),2)&amp;BIN2HEX(RIGHT(O456,6)&amp;T456&amp;U456,2)</f>
        <v>0xFFFFFFFF00080154</v>
      </c>
      <c r="G461" s="322"/>
      <c r="H461" s="322"/>
      <c r="I461" s="322"/>
      <c r="J461" s="5"/>
      <c r="K461" s="5"/>
      <c r="L461" s="5"/>
      <c r="M461" s="5"/>
      <c r="N461" s="5"/>
      <c r="O461" s="5"/>
      <c r="P461" s="16"/>
      <c r="Q461" s="16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5"/>
      <c r="AH461" s="5"/>
      <c r="AI461" s="6"/>
    </row>
    <row r="462" spans="1:35" x14ac:dyDescent="0.25">
      <c r="A462" s="3"/>
      <c r="B462" s="37"/>
      <c r="C462" s="37"/>
      <c r="D462" s="37"/>
      <c r="E462" s="5"/>
      <c r="F462" s="38"/>
      <c r="G462" s="38"/>
      <c r="H462" s="38"/>
      <c r="I462" s="38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6"/>
    </row>
    <row r="463" spans="1:35" x14ac:dyDescent="0.25">
      <c r="A463" s="3"/>
      <c r="B463" s="37"/>
      <c r="C463" s="37"/>
      <c r="D463" s="37"/>
      <c r="E463" s="5"/>
      <c r="F463" s="38"/>
      <c r="G463" s="38"/>
      <c r="H463" s="38"/>
      <c r="I463" s="38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6"/>
    </row>
    <row r="464" spans="1:35" x14ac:dyDescent="0.25">
      <c r="A464" s="20"/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2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3"/>
    </row>
    <row r="465" spans="1:35" x14ac:dyDescent="0.25">
      <c r="A465" s="24"/>
      <c r="B465" s="28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6"/>
    </row>
    <row r="466" spans="1:35" x14ac:dyDescent="0.25">
      <c r="A466" s="3"/>
      <c r="B466" s="4" t="s">
        <v>152</v>
      </c>
      <c r="C466" s="5"/>
      <c r="D466" s="5"/>
      <c r="E466" s="5"/>
      <c r="F466" s="5"/>
      <c r="G466" s="5"/>
      <c r="H466" s="5"/>
      <c r="I466" s="5" t="str">
        <f>"0x"&amp;BIN2HEX(CONCATENATE(C471,D471,E471,F471,G471,H471,I471,J471),2)&amp;BIN2HEX(CONCATENATE(K471,L471,M471,N471,O471,P471,Q471,R471),2)&amp;BIN2HEX(CONCATENATE(S471,T471,U471,V471,W471,X471,Y471,Z471),2)&amp;BIN2HEX(CONCATENATE(AA471,AB471,AC471,AD471,AE471,AF471,AG471,AH471),2)&amp;"_"&amp;BIN2HEX(CONCATENATE(C475,D475,E475,F475,G475,H475,I475,J475),2)&amp;BIN2HEX(CONCATENATE(K475,L475,M475,N475,O475,P475,Q475,R475),2)&amp;BIN2HEX(CONCATENATE(S475,T475,U475,V475,W475,X475,Y475,Z475),2)&amp;BIN2HEX(CONCATENATE(AA475,AB475,AC475,AD475,AE475,AF475,AG475,AH475),2)</f>
        <v>0xFFFFFFFF_00080160</v>
      </c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6"/>
    </row>
    <row r="467" spans="1:35" ht="15.75" thickBot="1" x14ac:dyDescent="0.3">
      <c r="A467" s="3"/>
      <c r="B467" s="5"/>
      <c r="C467" s="7">
        <v>0</v>
      </c>
      <c r="D467" s="7">
        <v>1</v>
      </c>
      <c r="E467" s="7">
        <v>2</v>
      </c>
      <c r="F467" s="7">
        <v>3</v>
      </c>
      <c r="G467" s="7">
        <v>4</v>
      </c>
      <c r="H467" s="7">
        <v>5</v>
      </c>
      <c r="I467" s="7">
        <v>6</v>
      </c>
      <c r="J467" s="7">
        <v>7</v>
      </c>
      <c r="K467" s="7">
        <v>8</v>
      </c>
      <c r="L467" s="7">
        <v>9</v>
      </c>
      <c r="M467" s="7">
        <v>10</v>
      </c>
      <c r="N467" s="7">
        <v>11</v>
      </c>
      <c r="O467" s="7">
        <v>12</v>
      </c>
      <c r="P467" s="7">
        <v>13</v>
      </c>
      <c r="Q467" s="7">
        <v>14</v>
      </c>
      <c r="R467" s="7">
        <v>15</v>
      </c>
      <c r="S467" s="7">
        <v>16</v>
      </c>
      <c r="T467" s="7">
        <v>17</v>
      </c>
      <c r="U467" s="7">
        <v>18</v>
      </c>
      <c r="V467" s="7">
        <v>19</v>
      </c>
      <c r="W467" s="7">
        <v>20</v>
      </c>
      <c r="X467" s="7">
        <v>21</v>
      </c>
      <c r="Y467" s="7">
        <v>22</v>
      </c>
      <c r="Z467" s="7">
        <v>23</v>
      </c>
      <c r="AA467" s="7">
        <v>24</v>
      </c>
      <c r="AB467" s="7">
        <v>25</v>
      </c>
      <c r="AC467" s="7">
        <v>26</v>
      </c>
      <c r="AD467" s="7">
        <v>27</v>
      </c>
      <c r="AE467" s="7">
        <v>28</v>
      </c>
      <c r="AF467" s="7">
        <v>29</v>
      </c>
      <c r="AG467" s="7">
        <v>30</v>
      </c>
      <c r="AH467" s="7">
        <v>31</v>
      </c>
      <c r="AI467" s="6"/>
    </row>
    <row r="468" spans="1:35" x14ac:dyDescent="0.25">
      <c r="A468" s="3"/>
      <c r="B468" s="5" t="s">
        <v>31</v>
      </c>
      <c r="C468" s="354" t="s">
        <v>146</v>
      </c>
      <c r="D468" s="331"/>
      <c r="E468" s="331"/>
      <c r="F468" s="331"/>
      <c r="G468" s="331"/>
      <c r="H468" s="331"/>
      <c r="I468" s="331"/>
      <c r="J468" s="331"/>
      <c r="K468" s="331"/>
      <c r="L468" s="331"/>
      <c r="M468" s="331"/>
      <c r="N468" s="331"/>
      <c r="O468" s="331"/>
      <c r="P468" s="331"/>
      <c r="Q468" s="331"/>
      <c r="R468" s="331"/>
      <c r="S468" s="331"/>
      <c r="T468" s="331"/>
      <c r="U468" s="331"/>
      <c r="V468" s="331"/>
      <c r="W468" s="331"/>
      <c r="X468" s="331"/>
      <c r="Y468" s="331"/>
      <c r="Z468" s="331"/>
      <c r="AA468" s="331"/>
      <c r="AB468" s="331"/>
      <c r="AC468" s="331"/>
      <c r="AD468" s="331"/>
      <c r="AE468" s="331"/>
      <c r="AF468" s="331"/>
      <c r="AG468" s="331"/>
      <c r="AH468" s="355"/>
      <c r="AI468" s="6"/>
    </row>
    <row r="469" spans="1:35" x14ac:dyDescent="0.25">
      <c r="A469" s="3"/>
      <c r="B469" s="5" t="s">
        <v>32</v>
      </c>
      <c r="C469" s="356"/>
      <c r="D469" s="334"/>
      <c r="E469" s="334"/>
      <c r="F469" s="334"/>
      <c r="G469" s="334"/>
      <c r="H469" s="334"/>
      <c r="I469" s="334"/>
      <c r="J469" s="334"/>
      <c r="K469" s="334"/>
      <c r="L469" s="334"/>
      <c r="M469" s="334"/>
      <c r="N469" s="334"/>
      <c r="O469" s="334"/>
      <c r="P469" s="334"/>
      <c r="Q469" s="334"/>
      <c r="R469" s="334"/>
      <c r="S469" s="334"/>
      <c r="T469" s="334"/>
      <c r="U469" s="334"/>
      <c r="V469" s="334"/>
      <c r="W469" s="334"/>
      <c r="X469" s="334"/>
      <c r="Y469" s="334"/>
      <c r="Z469" s="334"/>
      <c r="AA469" s="334"/>
      <c r="AB469" s="334"/>
      <c r="AC469" s="334"/>
      <c r="AD469" s="334"/>
      <c r="AE469" s="334"/>
      <c r="AF469" s="334"/>
      <c r="AG469" s="334"/>
      <c r="AH469" s="357"/>
      <c r="AI469" s="6"/>
    </row>
    <row r="470" spans="1:35" x14ac:dyDescent="0.25">
      <c r="A470" s="3"/>
      <c r="B470" s="5" t="s">
        <v>11</v>
      </c>
      <c r="C470" s="56">
        <v>1</v>
      </c>
      <c r="D470" s="57">
        <v>1</v>
      </c>
      <c r="E470" s="57">
        <v>1</v>
      </c>
      <c r="F470" s="57">
        <v>1</v>
      </c>
      <c r="G470" s="57">
        <v>1</v>
      </c>
      <c r="H470" s="57">
        <v>1</v>
      </c>
      <c r="I470" s="57">
        <v>1</v>
      </c>
      <c r="J470" s="57">
        <v>1</v>
      </c>
      <c r="K470" s="57">
        <v>1</v>
      </c>
      <c r="L470" s="57">
        <v>1</v>
      </c>
      <c r="M470" s="57">
        <v>1</v>
      </c>
      <c r="N470" s="57">
        <v>1</v>
      </c>
      <c r="O470" s="57">
        <v>1</v>
      </c>
      <c r="P470" s="57">
        <v>1</v>
      </c>
      <c r="Q470" s="57">
        <v>1</v>
      </c>
      <c r="R470" s="57">
        <v>1</v>
      </c>
      <c r="S470" s="57">
        <v>1</v>
      </c>
      <c r="T470" s="57">
        <v>1</v>
      </c>
      <c r="U470" s="57">
        <v>1</v>
      </c>
      <c r="V470" s="57">
        <v>1</v>
      </c>
      <c r="W470" s="57">
        <v>1</v>
      </c>
      <c r="X470" s="57">
        <v>1</v>
      </c>
      <c r="Y470" s="57">
        <v>1</v>
      </c>
      <c r="Z470" s="57">
        <v>1</v>
      </c>
      <c r="AA470" s="57">
        <v>1</v>
      </c>
      <c r="AB470" s="57">
        <v>1</v>
      </c>
      <c r="AC470" s="57">
        <v>1</v>
      </c>
      <c r="AD470" s="57">
        <v>1</v>
      </c>
      <c r="AE470" s="57">
        <v>1</v>
      </c>
      <c r="AF470" s="57">
        <v>1</v>
      </c>
      <c r="AG470" s="57">
        <v>1</v>
      </c>
      <c r="AH470" s="58">
        <v>1</v>
      </c>
      <c r="AI470" s="6"/>
    </row>
    <row r="471" spans="1:35" ht="15.75" thickBot="1" x14ac:dyDescent="0.3">
      <c r="A471" s="3"/>
      <c r="B471" s="5" t="s">
        <v>12</v>
      </c>
      <c r="C471" s="145">
        <v>1</v>
      </c>
      <c r="D471" s="88">
        <v>1</v>
      </c>
      <c r="E471" s="88">
        <v>1</v>
      </c>
      <c r="F471" s="88">
        <v>1</v>
      </c>
      <c r="G471" s="88">
        <v>1</v>
      </c>
      <c r="H471" s="88">
        <v>1</v>
      </c>
      <c r="I471" s="88">
        <v>1</v>
      </c>
      <c r="J471" s="88">
        <v>1</v>
      </c>
      <c r="K471" s="88">
        <v>1</v>
      </c>
      <c r="L471" s="88">
        <v>1</v>
      </c>
      <c r="M471" s="88">
        <v>1</v>
      </c>
      <c r="N471" s="88">
        <v>1</v>
      </c>
      <c r="O471" s="88">
        <v>1</v>
      </c>
      <c r="P471" s="88">
        <v>1</v>
      </c>
      <c r="Q471" s="88">
        <v>1</v>
      </c>
      <c r="R471" s="88">
        <v>1</v>
      </c>
      <c r="S471" s="88">
        <v>1</v>
      </c>
      <c r="T471" s="88">
        <v>1</v>
      </c>
      <c r="U471" s="88">
        <v>1</v>
      </c>
      <c r="V471" s="88">
        <v>1</v>
      </c>
      <c r="W471" s="88">
        <v>1</v>
      </c>
      <c r="X471" s="88">
        <v>1</v>
      </c>
      <c r="Y471" s="88">
        <v>1</v>
      </c>
      <c r="Z471" s="88">
        <v>1</v>
      </c>
      <c r="AA471" s="88">
        <v>1</v>
      </c>
      <c r="AB471" s="88">
        <v>1</v>
      </c>
      <c r="AC471" s="88">
        <v>1</v>
      </c>
      <c r="AD471" s="88">
        <v>1</v>
      </c>
      <c r="AE471" s="88">
        <v>1</v>
      </c>
      <c r="AF471" s="88">
        <v>1</v>
      </c>
      <c r="AG471" s="88">
        <v>1</v>
      </c>
      <c r="AH471" s="89">
        <v>1</v>
      </c>
      <c r="AI471" s="6"/>
    </row>
    <row r="472" spans="1:35" x14ac:dyDescent="0.25">
      <c r="A472" s="3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6"/>
    </row>
    <row r="473" spans="1:35" ht="15.75" thickBot="1" x14ac:dyDescent="0.3">
      <c r="A473" s="3"/>
      <c r="B473" s="5"/>
      <c r="C473" s="7">
        <v>32</v>
      </c>
      <c r="D473" s="7">
        <v>33</v>
      </c>
      <c r="E473" s="7">
        <v>34</v>
      </c>
      <c r="F473" s="7">
        <v>35</v>
      </c>
      <c r="G473" s="7">
        <v>36</v>
      </c>
      <c r="H473" s="7">
        <v>37</v>
      </c>
      <c r="I473" s="7">
        <v>38</v>
      </c>
      <c r="J473" s="7">
        <v>39</v>
      </c>
      <c r="K473" s="7">
        <v>40</v>
      </c>
      <c r="L473" s="7">
        <v>41</v>
      </c>
      <c r="M473" s="7">
        <v>42</v>
      </c>
      <c r="N473" s="7">
        <v>43</v>
      </c>
      <c r="O473" s="7">
        <v>44</v>
      </c>
      <c r="P473" s="7">
        <v>45</v>
      </c>
      <c r="Q473" s="7">
        <v>46</v>
      </c>
      <c r="R473" s="7">
        <v>47</v>
      </c>
      <c r="S473" s="7">
        <v>48</v>
      </c>
      <c r="T473" s="7">
        <v>49</v>
      </c>
      <c r="U473" s="7">
        <v>50</v>
      </c>
      <c r="V473" s="7">
        <v>51</v>
      </c>
      <c r="W473" s="7">
        <v>52</v>
      </c>
      <c r="X473" s="7">
        <v>53</v>
      </c>
      <c r="Y473" s="7">
        <v>54</v>
      </c>
      <c r="Z473" s="7">
        <v>55</v>
      </c>
      <c r="AA473" s="7">
        <v>56</v>
      </c>
      <c r="AB473" s="7">
        <v>57</v>
      </c>
      <c r="AC473" s="7">
        <v>58</v>
      </c>
      <c r="AD473" s="7">
        <v>59</v>
      </c>
      <c r="AE473" s="7">
        <v>60</v>
      </c>
      <c r="AF473" s="7">
        <v>61</v>
      </c>
      <c r="AG473" s="7">
        <v>62</v>
      </c>
      <c r="AH473" s="7">
        <v>63</v>
      </c>
      <c r="AI473" s="6"/>
    </row>
    <row r="474" spans="1:35" ht="15.75" thickBot="1" x14ac:dyDescent="0.3">
      <c r="A474" s="3"/>
      <c r="B474" s="5"/>
      <c r="C474" s="147" t="s">
        <v>13</v>
      </c>
      <c r="D474" s="148" t="s">
        <v>14</v>
      </c>
      <c r="E474" s="148" t="s">
        <v>15</v>
      </c>
      <c r="F474" s="148" t="s">
        <v>16</v>
      </c>
      <c r="G474" s="148" t="s">
        <v>17</v>
      </c>
      <c r="H474" s="148" t="s">
        <v>18</v>
      </c>
      <c r="I474" s="148" t="s">
        <v>19</v>
      </c>
      <c r="J474" s="148" t="s">
        <v>20</v>
      </c>
      <c r="K474" s="148" t="s">
        <v>21</v>
      </c>
      <c r="L474" s="148" t="s">
        <v>22</v>
      </c>
      <c r="M474" s="148" t="s">
        <v>23</v>
      </c>
      <c r="N474" s="148" t="s">
        <v>24</v>
      </c>
      <c r="O474" s="148" t="s">
        <v>25</v>
      </c>
      <c r="P474" s="148" t="s">
        <v>26</v>
      </c>
      <c r="Q474" s="148" t="s">
        <v>27</v>
      </c>
      <c r="R474" s="342" t="s">
        <v>30</v>
      </c>
      <c r="S474" s="343"/>
      <c r="T474" s="343"/>
      <c r="U474" s="343"/>
      <c r="V474" s="343"/>
      <c r="W474" s="343"/>
      <c r="X474" s="343"/>
      <c r="Y474" s="343"/>
      <c r="Z474" s="343"/>
      <c r="AA474" s="343"/>
      <c r="AB474" s="343"/>
      <c r="AC474" s="343"/>
      <c r="AD474" s="343"/>
      <c r="AE474" s="343"/>
      <c r="AF474" s="344"/>
      <c r="AG474" s="67" t="s">
        <v>28</v>
      </c>
      <c r="AH474" s="149" t="s">
        <v>29</v>
      </c>
      <c r="AI474" s="6"/>
    </row>
    <row r="475" spans="1:35" ht="15.75" thickBot="1" x14ac:dyDescent="0.3">
      <c r="A475" s="3"/>
      <c r="B475" s="5"/>
      <c r="C475" s="150">
        <v>0</v>
      </c>
      <c r="D475" s="151">
        <v>0</v>
      </c>
      <c r="E475" s="151">
        <v>0</v>
      </c>
      <c r="F475" s="151">
        <v>0</v>
      </c>
      <c r="G475" s="151">
        <v>0</v>
      </c>
      <c r="H475" s="151">
        <v>0</v>
      </c>
      <c r="I475" s="151">
        <v>0</v>
      </c>
      <c r="J475" s="151">
        <v>0</v>
      </c>
      <c r="K475" s="151">
        <v>0</v>
      </c>
      <c r="L475" s="151">
        <v>0</v>
      </c>
      <c r="M475" s="151">
        <v>0</v>
      </c>
      <c r="N475" s="151">
        <v>0</v>
      </c>
      <c r="O475" s="151">
        <v>1</v>
      </c>
      <c r="P475" s="151">
        <v>0</v>
      </c>
      <c r="Q475" s="151">
        <v>0</v>
      </c>
      <c r="R475" s="151">
        <v>0</v>
      </c>
      <c r="S475" s="151">
        <v>0</v>
      </c>
      <c r="T475" s="151">
        <v>0</v>
      </c>
      <c r="U475" s="151">
        <v>0</v>
      </c>
      <c r="V475" s="151">
        <v>0</v>
      </c>
      <c r="W475" s="151">
        <v>0</v>
      </c>
      <c r="X475" s="151">
        <v>0</v>
      </c>
      <c r="Y475" s="151">
        <v>0</v>
      </c>
      <c r="Z475" s="151">
        <v>1</v>
      </c>
      <c r="AA475" s="151">
        <v>0</v>
      </c>
      <c r="AB475" s="151">
        <v>1</v>
      </c>
      <c r="AC475" s="151">
        <v>1</v>
      </c>
      <c r="AD475" s="151">
        <v>0</v>
      </c>
      <c r="AE475" s="151">
        <v>0</v>
      </c>
      <c r="AF475" s="151">
        <v>0</v>
      </c>
      <c r="AG475" s="151">
        <v>0</v>
      </c>
      <c r="AH475" s="152">
        <v>0</v>
      </c>
      <c r="AI475" s="6"/>
    </row>
    <row r="476" spans="1:35" x14ac:dyDescent="0.25">
      <c r="A476" s="3"/>
      <c r="B476" s="4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6"/>
    </row>
    <row r="477" spans="1:35" x14ac:dyDescent="0.25">
      <c r="A477" s="3"/>
      <c r="B477" s="8" t="s">
        <v>43</v>
      </c>
      <c r="C477" s="9"/>
      <c r="D477" s="9"/>
      <c r="E477" s="9"/>
      <c r="F477" s="44" t="s">
        <v>44</v>
      </c>
      <c r="G477" s="44"/>
      <c r="H477" s="44"/>
      <c r="I477" s="9"/>
      <c r="J477" s="45" t="s">
        <v>45</v>
      </c>
      <c r="K477" s="45"/>
      <c r="L477" s="45"/>
      <c r="M477" s="45"/>
      <c r="N477" s="9"/>
      <c r="O477" s="46" t="s">
        <v>46</v>
      </c>
      <c r="P477" s="46"/>
      <c r="Q477" s="46"/>
      <c r="R477" s="46"/>
      <c r="S477" s="9"/>
      <c r="T477" s="1" t="s">
        <v>49</v>
      </c>
      <c r="U477" s="10" t="s">
        <v>48</v>
      </c>
      <c r="V477" s="5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6"/>
    </row>
    <row r="478" spans="1:35" ht="15" customHeight="1" x14ac:dyDescent="0.25">
      <c r="A478" s="3"/>
      <c r="B478" s="42" t="str">
        <f>"0x"&amp;DEC2HEX(Sheet3!$I$4,8)</f>
        <v>0x00400320</v>
      </c>
      <c r="C478" s="42"/>
      <c r="D478" s="42"/>
      <c r="E478" s="12"/>
      <c r="F478" s="319" t="str">
        <f>"0x"&amp;BIN2HEX(CONCATENATE(C471,D471,E471,F471,G471,H471,I471,J471),2)&amp;BIN2HEX(CONCATENATE(K471,L471,M471,N471,O471,P471,Q471,R471),2)&amp;BIN2HEX(CONCATENATE(S471,T471,U471,V471,W471,X471,Y471,Z471),2)&amp;BIN2HEX(CONCATENATE(AA471,AB471,AC471,AD471,AE471,AF471,AG471,AH471),2)</f>
        <v>0xFFFFFFFF</v>
      </c>
      <c r="G478" s="319"/>
      <c r="H478" s="319"/>
      <c r="I478" s="12"/>
      <c r="J478" s="319" t="str">
        <f>"0b"&amp;C475&amp;D475&amp;E475&amp;F475&amp;G475&amp;H475&amp;I475&amp;J475&amp;K475&amp;L475&amp;M475&amp;N475&amp;O475&amp;P475&amp;Q475</f>
        <v>0b000000000000100</v>
      </c>
      <c r="K478" s="319"/>
      <c r="L478" s="319"/>
      <c r="M478" s="319"/>
      <c r="N478" s="12"/>
      <c r="O478" s="319" t="str">
        <f>"0b"&amp;DEC2BIN(((AF475+AE475*2+AD475*4+AC475*8+AB475*16+AA475*32+Z475*64+Y475*128+X475*256+W475*512+V475*1024+U475*2048+T475*4096+S475*2^13+R475*2^14)/512),6)&amp;DEC2BIN(MOD((AF475+AE475*2+AD475*4+AC475*8+AB475*16+AA475*32+Z475*64+Y475*128+X475*256+W475*512+V475*1024+U475*2048+T475*4096+S475*2^13+R475*2^14),512),9)</f>
        <v>0b000000001011000</v>
      </c>
      <c r="P478" s="319"/>
      <c r="Q478" s="319"/>
      <c r="R478" s="319"/>
      <c r="S478" s="12"/>
      <c r="T478" s="13">
        <v>0</v>
      </c>
      <c r="U478" s="13">
        <f>AH475</f>
        <v>0</v>
      </c>
      <c r="V478" s="5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6"/>
    </row>
    <row r="479" spans="1:35" x14ac:dyDescent="0.25">
      <c r="A479" s="3"/>
      <c r="B479" s="42"/>
      <c r="C479" s="42"/>
      <c r="D479" s="42"/>
      <c r="E479" s="15"/>
      <c r="F479" s="43"/>
      <c r="G479" s="43"/>
      <c r="H479" s="43"/>
      <c r="I479" s="15"/>
      <c r="J479" s="42"/>
      <c r="K479" s="42"/>
      <c r="L479" s="42"/>
      <c r="M479" s="42"/>
      <c r="N479" s="15"/>
      <c r="O479" s="42"/>
      <c r="P479" s="42"/>
      <c r="Q479" s="42"/>
      <c r="R479" s="42"/>
      <c r="S479" s="15"/>
      <c r="T479" s="13"/>
      <c r="U479" s="15"/>
      <c r="V479" s="5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6"/>
    </row>
    <row r="480" spans="1:35" x14ac:dyDescent="0.25">
      <c r="A480" s="3"/>
      <c r="B480" s="42"/>
      <c r="C480" s="42"/>
      <c r="D480" s="42"/>
      <c r="E480" s="15"/>
      <c r="F480" s="43"/>
      <c r="G480" s="43"/>
      <c r="H480" s="43"/>
      <c r="I480" s="15"/>
      <c r="J480" s="42"/>
      <c r="K480" s="42"/>
      <c r="L480" s="42"/>
      <c r="M480" s="42"/>
      <c r="N480" s="15"/>
      <c r="O480" s="42"/>
      <c r="P480" s="42"/>
      <c r="Q480" s="42"/>
      <c r="R480" s="42"/>
      <c r="S480" s="15"/>
      <c r="T480" s="13"/>
      <c r="U480" s="15"/>
      <c r="V480" s="5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6"/>
    </row>
    <row r="481" spans="1:35" x14ac:dyDescent="0.25">
      <c r="A481" s="3"/>
      <c r="B481" s="5"/>
      <c r="C481" s="5"/>
      <c r="D481" s="5"/>
      <c r="E481" s="5"/>
      <c r="F481" s="17"/>
      <c r="G481" s="17"/>
      <c r="H481" s="17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6"/>
    </row>
    <row r="482" spans="1:35" x14ac:dyDescent="0.25">
      <c r="A482" s="3"/>
      <c r="B482" s="5" t="s">
        <v>47</v>
      </c>
      <c r="C482" s="18"/>
      <c r="D482" s="18"/>
      <c r="E482" s="18"/>
      <c r="F482" s="5"/>
      <c r="G482" s="5"/>
      <c r="H482" s="5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6"/>
    </row>
    <row r="483" spans="1:35" ht="15" customHeight="1" x14ac:dyDescent="0.25">
      <c r="A483" s="3"/>
      <c r="B483" s="42" t="str">
        <f>"0x"&amp;DEC2HEX(Sheet3!$I$4,8)</f>
        <v>0x00400320</v>
      </c>
      <c r="C483" s="42"/>
      <c r="D483" s="42"/>
      <c r="E483" s="16"/>
      <c r="F483" s="322" t="str">
        <f>F478&amp;BIN2HEX(MID(J478,3,8),2)&amp;BIN2HEX(RIGHT(J478,7)&amp;MID(O478,3,1),2)&amp;BIN2HEX(MID(O478,4,8),2)&amp;BIN2HEX(RIGHT(O478,6)&amp;T478&amp;U478,2)</f>
        <v>0xFFFFFFFF00080160</v>
      </c>
      <c r="G483" s="322"/>
      <c r="H483" s="322"/>
      <c r="I483" s="322"/>
      <c r="J483" s="5"/>
      <c r="K483" s="5"/>
      <c r="L483" s="5"/>
      <c r="M483" s="5"/>
      <c r="N483" s="5"/>
      <c r="O483" s="5"/>
      <c r="P483" s="16"/>
      <c r="Q483" s="16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5"/>
      <c r="AH483" s="5"/>
      <c r="AI483" s="6"/>
    </row>
    <row r="484" spans="1:35" x14ac:dyDescent="0.25">
      <c r="A484" s="3"/>
      <c r="B484" s="37"/>
      <c r="C484" s="37"/>
      <c r="D484" s="37"/>
      <c r="E484" s="5"/>
      <c r="F484" s="38"/>
      <c r="G484" s="38"/>
      <c r="H484" s="38"/>
      <c r="I484" s="38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6"/>
    </row>
    <row r="485" spans="1:35" x14ac:dyDescent="0.25">
      <c r="A485" s="3"/>
      <c r="B485" s="37"/>
      <c r="C485" s="37"/>
      <c r="D485" s="37"/>
      <c r="E485" s="5"/>
      <c r="F485" s="38"/>
      <c r="G485" s="38"/>
      <c r="H485" s="38"/>
      <c r="I485" s="38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6"/>
    </row>
    <row r="486" spans="1:35" x14ac:dyDescent="0.25">
      <c r="A486" s="20"/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2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3"/>
    </row>
    <row r="487" spans="1:35" x14ac:dyDescent="0.25">
      <c r="A487" s="24"/>
      <c r="B487" s="28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D487" s="25"/>
      <c r="AE487" s="25"/>
      <c r="AF487" s="25"/>
      <c r="AG487" s="25"/>
      <c r="AH487" s="25"/>
      <c r="AI487" s="26"/>
    </row>
    <row r="488" spans="1:35" x14ac:dyDescent="0.25">
      <c r="A488" s="3"/>
      <c r="B488" s="4" t="s">
        <v>153</v>
      </c>
      <c r="C488" s="5"/>
      <c r="D488" s="5"/>
      <c r="E488" s="5"/>
      <c r="F488" s="5"/>
      <c r="G488" s="5"/>
      <c r="H488" s="5"/>
      <c r="I488" s="5" t="str">
        <f>"0x"&amp;BIN2HEX(CONCATENATE(C493,D493,E493,F493,G493,H493,I493,J493),2)&amp;BIN2HEX(CONCATENATE(K493,L493,M493,N493,O493,P493,Q493,R493),2)&amp;BIN2HEX(CONCATENATE(S493,T493,U493,V493,W493,X493,Y493,Z493),2)&amp;BIN2HEX(CONCATENATE(AA493,AB493,AC493,AD493,AE493,AF493,AG493,AH493),2)&amp;"_"&amp;BIN2HEX(CONCATENATE(C497,D497,E497,F497,G497,H497,I497,J497),2)&amp;BIN2HEX(CONCATENATE(K497,L497,M497,N497,O497,P497,Q497,R497),2)&amp;BIN2HEX(CONCATENATE(S497,T497,U497,V497,W497,X497,Y497,Z497),2)&amp;BIN2HEX(CONCATENATE(AA497,AB497,AC497,AD497,AE497,AF497,AG497,AH497),2)</f>
        <v>0xFFFFFFFF_00080164</v>
      </c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6"/>
    </row>
    <row r="489" spans="1:35" ht="15.75" thickBot="1" x14ac:dyDescent="0.3">
      <c r="A489" s="3"/>
      <c r="B489" s="5"/>
      <c r="C489" s="7">
        <v>0</v>
      </c>
      <c r="D489" s="7">
        <v>1</v>
      </c>
      <c r="E489" s="7">
        <v>2</v>
      </c>
      <c r="F489" s="7">
        <v>3</v>
      </c>
      <c r="G489" s="7">
        <v>4</v>
      </c>
      <c r="H489" s="7">
        <v>5</v>
      </c>
      <c r="I489" s="7">
        <v>6</v>
      </c>
      <c r="J489" s="7">
        <v>7</v>
      </c>
      <c r="K489" s="7">
        <v>8</v>
      </c>
      <c r="L489" s="7">
        <v>9</v>
      </c>
      <c r="M489" s="7">
        <v>10</v>
      </c>
      <c r="N489" s="7">
        <v>11</v>
      </c>
      <c r="O489" s="7">
        <v>12</v>
      </c>
      <c r="P489" s="7">
        <v>13</v>
      </c>
      <c r="Q489" s="7">
        <v>14</v>
      </c>
      <c r="R489" s="7">
        <v>15</v>
      </c>
      <c r="S489" s="7">
        <v>16</v>
      </c>
      <c r="T489" s="7">
        <v>17</v>
      </c>
      <c r="U489" s="7">
        <v>18</v>
      </c>
      <c r="V489" s="7">
        <v>19</v>
      </c>
      <c r="W489" s="7">
        <v>20</v>
      </c>
      <c r="X489" s="7">
        <v>21</v>
      </c>
      <c r="Y489" s="7">
        <v>22</v>
      </c>
      <c r="Z489" s="7">
        <v>23</v>
      </c>
      <c r="AA489" s="7">
        <v>24</v>
      </c>
      <c r="AB489" s="7">
        <v>25</v>
      </c>
      <c r="AC489" s="7">
        <v>26</v>
      </c>
      <c r="AD489" s="7">
        <v>27</v>
      </c>
      <c r="AE489" s="7">
        <v>28</v>
      </c>
      <c r="AF489" s="7">
        <v>29</v>
      </c>
      <c r="AG489" s="7">
        <v>30</v>
      </c>
      <c r="AH489" s="7">
        <v>31</v>
      </c>
      <c r="AI489" s="6"/>
    </row>
    <row r="490" spans="1:35" ht="15" customHeight="1" x14ac:dyDescent="0.25">
      <c r="A490" s="3"/>
      <c r="B490" s="5" t="s">
        <v>31</v>
      </c>
      <c r="C490" s="354" t="s">
        <v>146</v>
      </c>
      <c r="D490" s="331"/>
      <c r="E490" s="331"/>
      <c r="F490" s="331"/>
      <c r="G490" s="331"/>
      <c r="H490" s="331"/>
      <c r="I490" s="331"/>
      <c r="J490" s="331"/>
      <c r="K490" s="331"/>
      <c r="L490" s="331"/>
      <c r="M490" s="331"/>
      <c r="N490" s="331"/>
      <c r="O490" s="331"/>
      <c r="P490" s="331"/>
      <c r="Q490" s="331"/>
      <c r="R490" s="331"/>
      <c r="S490" s="331"/>
      <c r="T490" s="331"/>
      <c r="U490" s="331"/>
      <c r="V490" s="331"/>
      <c r="W490" s="331"/>
      <c r="X490" s="331"/>
      <c r="Y490" s="331"/>
      <c r="Z490" s="331"/>
      <c r="AA490" s="331"/>
      <c r="AB490" s="331"/>
      <c r="AC490" s="331"/>
      <c r="AD490" s="331"/>
      <c r="AE490" s="331"/>
      <c r="AF490" s="331"/>
      <c r="AG490" s="331"/>
      <c r="AH490" s="355"/>
      <c r="AI490" s="6"/>
    </row>
    <row r="491" spans="1:35" x14ac:dyDescent="0.25">
      <c r="A491" s="3"/>
      <c r="B491" s="5" t="s">
        <v>32</v>
      </c>
      <c r="C491" s="356"/>
      <c r="D491" s="334"/>
      <c r="E491" s="334"/>
      <c r="F491" s="334"/>
      <c r="G491" s="334"/>
      <c r="H491" s="334"/>
      <c r="I491" s="334"/>
      <c r="J491" s="334"/>
      <c r="K491" s="334"/>
      <c r="L491" s="334"/>
      <c r="M491" s="334"/>
      <c r="N491" s="334"/>
      <c r="O491" s="334"/>
      <c r="P491" s="334"/>
      <c r="Q491" s="334"/>
      <c r="R491" s="334"/>
      <c r="S491" s="334"/>
      <c r="T491" s="334"/>
      <c r="U491" s="334"/>
      <c r="V491" s="334"/>
      <c r="W491" s="334"/>
      <c r="X491" s="334"/>
      <c r="Y491" s="334"/>
      <c r="Z491" s="334"/>
      <c r="AA491" s="334"/>
      <c r="AB491" s="334"/>
      <c r="AC491" s="334"/>
      <c r="AD491" s="334"/>
      <c r="AE491" s="334"/>
      <c r="AF491" s="334"/>
      <c r="AG491" s="334"/>
      <c r="AH491" s="357"/>
      <c r="AI491" s="6"/>
    </row>
    <row r="492" spans="1:35" x14ac:dyDescent="0.25">
      <c r="A492" s="3"/>
      <c r="B492" s="5" t="s">
        <v>11</v>
      </c>
      <c r="C492" s="56">
        <v>1</v>
      </c>
      <c r="D492" s="57">
        <v>1</v>
      </c>
      <c r="E492" s="57">
        <v>1</v>
      </c>
      <c r="F492" s="57">
        <v>1</v>
      </c>
      <c r="G492" s="57">
        <v>1</v>
      </c>
      <c r="H492" s="57">
        <v>1</v>
      </c>
      <c r="I492" s="57">
        <v>1</v>
      </c>
      <c r="J492" s="57">
        <v>1</v>
      </c>
      <c r="K492" s="57">
        <v>1</v>
      </c>
      <c r="L492" s="57">
        <v>1</v>
      </c>
      <c r="M492" s="57">
        <v>1</v>
      </c>
      <c r="N492" s="57">
        <v>1</v>
      </c>
      <c r="O492" s="57">
        <v>1</v>
      </c>
      <c r="P492" s="57">
        <v>1</v>
      </c>
      <c r="Q492" s="57">
        <v>1</v>
      </c>
      <c r="R492" s="57">
        <v>1</v>
      </c>
      <c r="S492" s="57">
        <v>1</v>
      </c>
      <c r="T492" s="57">
        <v>1</v>
      </c>
      <c r="U492" s="57">
        <v>1</v>
      </c>
      <c r="V492" s="57">
        <v>1</v>
      </c>
      <c r="W492" s="57">
        <v>1</v>
      </c>
      <c r="X492" s="57">
        <v>1</v>
      </c>
      <c r="Y492" s="57">
        <v>1</v>
      </c>
      <c r="Z492" s="57">
        <v>1</v>
      </c>
      <c r="AA492" s="57">
        <v>1</v>
      </c>
      <c r="AB492" s="57">
        <v>1</v>
      </c>
      <c r="AC492" s="57">
        <v>1</v>
      </c>
      <c r="AD492" s="57">
        <v>1</v>
      </c>
      <c r="AE492" s="57">
        <v>1</v>
      </c>
      <c r="AF492" s="57">
        <v>1</v>
      </c>
      <c r="AG492" s="57">
        <v>1</v>
      </c>
      <c r="AH492" s="58">
        <v>1</v>
      </c>
      <c r="AI492" s="6"/>
    </row>
    <row r="493" spans="1:35" ht="15.75" thickBot="1" x14ac:dyDescent="0.3">
      <c r="A493" s="3"/>
      <c r="B493" s="5" t="s">
        <v>12</v>
      </c>
      <c r="C493" s="145">
        <v>1</v>
      </c>
      <c r="D493" s="88">
        <v>1</v>
      </c>
      <c r="E493" s="88">
        <v>1</v>
      </c>
      <c r="F493" s="88">
        <v>1</v>
      </c>
      <c r="G493" s="88">
        <v>1</v>
      </c>
      <c r="H493" s="88">
        <v>1</v>
      </c>
      <c r="I493" s="88">
        <v>1</v>
      </c>
      <c r="J493" s="88">
        <v>1</v>
      </c>
      <c r="K493" s="88">
        <v>1</v>
      </c>
      <c r="L493" s="88">
        <v>1</v>
      </c>
      <c r="M493" s="88">
        <v>1</v>
      </c>
      <c r="N493" s="88">
        <v>1</v>
      </c>
      <c r="O493" s="88">
        <v>1</v>
      </c>
      <c r="P493" s="88">
        <v>1</v>
      </c>
      <c r="Q493" s="88">
        <v>1</v>
      </c>
      <c r="R493" s="88">
        <v>1</v>
      </c>
      <c r="S493" s="88">
        <v>1</v>
      </c>
      <c r="T493" s="88">
        <v>1</v>
      </c>
      <c r="U493" s="88">
        <v>1</v>
      </c>
      <c r="V493" s="88">
        <v>1</v>
      </c>
      <c r="W493" s="88">
        <v>1</v>
      </c>
      <c r="X493" s="88">
        <v>1</v>
      </c>
      <c r="Y493" s="88">
        <v>1</v>
      </c>
      <c r="Z493" s="88">
        <v>1</v>
      </c>
      <c r="AA493" s="88">
        <v>1</v>
      </c>
      <c r="AB493" s="88">
        <v>1</v>
      </c>
      <c r="AC493" s="88">
        <v>1</v>
      </c>
      <c r="AD493" s="88">
        <v>1</v>
      </c>
      <c r="AE493" s="88">
        <v>1</v>
      </c>
      <c r="AF493" s="88">
        <v>1</v>
      </c>
      <c r="AG493" s="88">
        <v>1</v>
      </c>
      <c r="AH493" s="89">
        <v>1</v>
      </c>
      <c r="AI493" s="6"/>
    </row>
    <row r="494" spans="1:35" x14ac:dyDescent="0.25">
      <c r="A494" s="3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6"/>
    </row>
    <row r="495" spans="1:35" ht="15.75" thickBot="1" x14ac:dyDescent="0.3">
      <c r="A495" s="3"/>
      <c r="B495" s="5"/>
      <c r="C495" s="7">
        <v>32</v>
      </c>
      <c r="D495" s="7">
        <v>33</v>
      </c>
      <c r="E495" s="7">
        <v>34</v>
      </c>
      <c r="F495" s="7">
        <v>35</v>
      </c>
      <c r="G495" s="7">
        <v>36</v>
      </c>
      <c r="H495" s="7">
        <v>37</v>
      </c>
      <c r="I495" s="7">
        <v>38</v>
      </c>
      <c r="J495" s="7">
        <v>39</v>
      </c>
      <c r="K495" s="7">
        <v>40</v>
      </c>
      <c r="L495" s="7">
        <v>41</v>
      </c>
      <c r="M495" s="7">
        <v>42</v>
      </c>
      <c r="N495" s="7">
        <v>43</v>
      </c>
      <c r="O495" s="7">
        <v>44</v>
      </c>
      <c r="P495" s="7">
        <v>45</v>
      </c>
      <c r="Q495" s="7">
        <v>46</v>
      </c>
      <c r="R495" s="7">
        <v>47</v>
      </c>
      <c r="S495" s="7">
        <v>48</v>
      </c>
      <c r="T495" s="7">
        <v>49</v>
      </c>
      <c r="U495" s="7">
        <v>50</v>
      </c>
      <c r="V495" s="7">
        <v>51</v>
      </c>
      <c r="W495" s="7">
        <v>52</v>
      </c>
      <c r="X495" s="7">
        <v>53</v>
      </c>
      <c r="Y495" s="7">
        <v>54</v>
      </c>
      <c r="Z495" s="7">
        <v>55</v>
      </c>
      <c r="AA495" s="7">
        <v>56</v>
      </c>
      <c r="AB495" s="7">
        <v>57</v>
      </c>
      <c r="AC495" s="7">
        <v>58</v>
      </c>
      <c r="AD495" s="7">
        <v>59</v>
      </c>
      <c r="AE495" s="7">
        <v>60</v>
      </c>
      <c r="AF495" s="7">
        <v>61</v>
      </c>
      <c r="AG495" s="7">
        <v>62</v>
      </c>
      <c r="AH495" s="7">
        <v>63</v>
      </c>
      <c r="AI495" s="6"/>
    </row>
    <row r="496" spans="1:35" ht="15.75" thickBot="1" x14ac:dyDescent="0.3">
      <c r="A496" s="3"/>
      <c r="B496" s="5"/>
      <c r="C496" s="147" t="s">
        <v>13</v>
      </c>
      <c r="D496" s="148" t="s">
        <v>14</v>
      </c>
      <c r="E496" s="148" t="s">
        <v>15</v>
      </c>
      <c r="F496" s="148" t="s">
        <v>16</v>
      </c>
      <c r="G496" s="148" t="s">
        <v>17</v>
      </c>
      <c r="H496" s="148" t="s">
        <v>18</v>
      </c>
      <c r="I496" s="148" t="s">
        <v>19</v>
      </c>
      <c r="J496" s="148" t="s">
        <v>20</v>
      </c>
      <c r="K496" s="148" t="s">
        <v>21</v>
      </c>
      <c r="L496" s="148" t="s">
        <v>22</v>
      </c>
      <c r="M496" s="148" t="s">
        <v>23</v>
      </c>
      <c r="N496" s="148" t="s">
        <v>24</v>
      </c>
      <c r="O496" s="148" t="s">
        <v>25</v>
      </c>
      <c r="P496" s="148" t="s">
        <v>26</v>
      </c>
      <c r="Q496" s="148" t="s">
        <v>27</v>
      </c>
      <c r="R496" s="342" t="s">
        <v>30</v>
      </c>
      <c r="S496" s="343"/>
      <c r="T496" s="343"/>
      <c r="U496" s="343"/>
      <c r="V496" s="343"/>
      <c r="W496" s="343"/>
      <c r="X496" s="343"/>
      <c r="Y496" s="343"/>
      <c r="Z496" s="343"/>
      <c r="AA496" s="343"/>
      <c r="AB496" s="343"/>
      <c r="AC496" s="343"/>
      <c r="AD496" s="343"/>
      <c r="AE496" s="343"/>
      <c r="AF496" s="344"/>
      <c r="AG496" s="67" t="s">
        <v>28</v>
      </c>
      <c r="AH496" s="149" t="s">
        <v>29</v>
      </c>
      <c r="AI496" s="6"/>
    </row>
    <row r="497" spans="1:35" ht="15.75" thickBot="1" x14ac:dyDescent="0.3">
      <c r="A497" s="3"/>
      <c r="B497" s="5"/>
      <c r="C497" s="150">
        <v>0</v>
      </c>
      <c r="D497" s="151">
        <v>0</v>
      </c>
      <c r="E497" s="151">
        <v>0</v>
      </c>
      <c r="F497" s="151">
        <v>0</v>
      </c>
      <c r="G497" s="151">
        <v>0</v>
      </c>
      <c r="H497" s="151">
        <v>0</v>
      </c>
      <c r="I497" s="151">
        <v>0</v>
      </c>
      <c r="J497" s="151">
        <v>0</v>
      </c>
      <c r="K497" s="151">
        <v>0</v>
      </c>
      <c r="L497" s="151">
        <v>0</v>
      </c>
      <c r="M497" s="151">
        <v>0</v>
      </c>
      <c r="N497" s="151">
        <v>0</v>
      </c>
      <c r="O497" s="151">
        <v>1</v>
      </c>
      <c r="P497" s="151">
        <v>0</v>
      </c>
      <c r="Q497" s="151">
        <v>0</v>
      </c>
      <c r="R497" s="151">
        <v>0</v>
      </c>
      <c r="S497" s="151">
        <v>0</v>
      </c>
      <c r="T497" s="151">
        <v>0</v>
      </c>
      <c r="U497" s="151">
        <v>0</v>
      </c>
      <c r="V497" s="151">
        <v>0</v>
      </c>
      <c r="W497" s="151">
        <v>0</v>
      </c>
      <c r="X497" s="151">
        <v>0</v>
      </c>
      <c r="Y497" s="151">
        <v>0</v>
      </c>
      <c r="Z497" s="151">
        <v>1</v>
      </c>
      <c r="AA497" s="151">
        <v>0</v>
      </c>
      <c r="AB497" s="151">
        <v>1</v>
      </c>
      <c r="AC497" s="151">
        <v>1</v>
      </c>
      <c r="AD497" s="151">
        <v>0</v>
      </c>
      <c r="AE497" s="151">
        <v>0</v>
      </c>
      <c r="AF497" s="151">
        <v>1</v>
      </c>
      <c r="AG497" s="151">
        <v>0</v>
      </c>
      <c r="AH497" s="152">
        <v>0</v>
      </c>
      <c r="AI497" s="6"/>
    </row>
    <row r="498" spans="1:35" x14ac:dyDescent="0.25">
      <c r="A498" s="3"/>
      <c r="B498" s="4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6"/>
    </row>
    <row r="499" spans="1:35" x14ac:dyDescent="0.25">
      <c r="A499" s="3"/>
      <c r="B499" s="8" t="s">
        <v>43</v>
      </c>
      <c r="C499" s="9"/>
      <c r="D499" s="9"/>
      <c r="E499" s="9"/>
      <c r="F499" s="44" t="s">
        <v>44</v>
      </c>
      <c r="G499" s="44"/>
      <c r="H499" s="44"/>
      <c r="I499" s="9"/>
      <c r="J499" s="45" t="s">
        <v>45</v>
      </c>
      <c r="K499" s="45"/>
      <c r="L499" s="45"/>
      <c r="M499" s="45"/>
      <c r="N499" s="9"/>
      <c r="O499" s="46" t="s">
        <v>46</v>
      </c>
      <c r="P499" s="46"/>
      <c r="Q499" s="46"/>
      <c r="R499" s="46"/>
      <c r="S499" s="9"/>
      <c r="T499" s="1" t="s">
        <v>49</v>
      </c>
      <c r="U499" s="10" t="s">
        <v>48</v>
      </c>
      <c r="V499" s="5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6"/>
    </row>
    <row r="500" spans="1:35" ht="15" customHeight="1" x14ac:dyDescent="0.25">
      <c r="A500" s="3"/>
      <c r="B500" s="42" t="str">
        <f>"0x"&amp;DEC2HEX(Sheet3!$I$4,8)</f>
        <v>0x00400320</v>
      </c>
      <c r="C500" s="42"/>
      <c r="D500" s="42"/>
      <c r="E500" s="12"/>
      <c r="F500" s="319" t="str">
        <f>"0x"&amp;BIN2HEX(CONCATENATE(C493,D493,E493,F493,G493,H493,I493,J493),2)&amp;BIN2HEX(CONCATENATE(K493,L493,M493,N493,O493,P493,Q493,R493),2)&amp;BIN2HEX(CONCATENATE(S493,T493,U493,V493,W493,X493,Y493,Z493),2)&amp;BIN2HEX(CONCATENATE(AA493,AB493,AC493,AD493,AE493,AF493,AG493,AH493),2)</f>
        <v>0xFFFFFFFF</v>
      </c>
      <c r="G500" s="319"/>
      <c r="H500" s="319"/>
      <c r="I500" s="12"/>
      <c r="J500" s="319" t="str">
        <f>"0b"&amp;C497&amp;D497&amp;E497&amp;F497&amp;G497&amp;H497&amp;I497&amp;J497&amp;K497&amp;L497&amp;M497&amp;N497&amp;O497&amp;P497&amp;Q497</f>
        <v>0b000000000000100</v>
      </c>
      <c r="K500" s="319"/>
      <c r="L500" s="319"/>
      <c r="M500" s="319"/>
      <c r="N500" s="12"/>
      <c r="O500" s="319" t="str">
        <f>"0b"&amp;DEC2BIN(((AF497+AE497*2+AD497*4+AC497*8+AB497*16+AA497*32+Z497*64+Y497*128+X497*256+W497*512+V497*1024+U497*2048+T497*4096+S497*2^13+R497*2^14)/512),6)&amp;DEC2BIN(MOD((AF497+AE497*2+AD497*4+AC497*8+AB497*16+AA497*32+Z497*64+Y497*128+X497*256+W497*512+V497*1024+U497*2048+T497*4096+S497*2^13+R497*2^14),512),9)</f>
        <v>0b000000001011001</v>
      </c>
      <c r="P500" s="319"/>
      <c r="Q500" s="319"/>
      <c r="R500" s="319"/>
      <c r="S500" s="12"/>
      <c r="T500" s="13">
        <v>0</v>
      </c>
      <c r="U500" s="13">
        <f>AH497</f>
        <v>0</v>
      </c>
      <c r="V500" s="5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6"/>
    </row>
    <row r="501" spans="1:35" x14ac:dyDescent="0.25">
      <c r="A501" s="3"/>
      <c r="B501" s="42"/>
      <c r="C501" s="42"/>
      <c r="D501" s="42"/>
      <c r="E501" s="15"/>
      <c r="F501" s="43"/>
      <c r="G501" s="43"/>
      <c r="H501" s="43"/>
      <c r="I501" s="15"/>
      <c r="J501" s="42"/>
      <c r="K501" s="42"/>
      <c r="L501" s="42"/>
      <c r="M501" s="42"/>
      <c r="N501" s="15"/>
      <c r="O501" s="42"/>
      <c r="P501" s="42"/>
      <c r="Q501" s="42"/>
      <c r="R501" s="42"/>
      <c r="S501" s="15"/>
      <c r="T501" s="13"/>
      <c r="U501" s="15"/>
      <c r="V501" s="5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6"/>
    </row>
    <row r="502" spans="1:35" x14ac:dyDescent="0.25">
      <c r="A502" s="3"/>
      <c r="B502" s="42"/>
      <c r="C502" s="42"/>
      <c r="D502" s="42"/>
      <c r="E502" s="15"/>
      <c r="F502" s="43"/>
      <c r="G502" s="43"/>
      <c r="H502" s="43"/>
      <c r="I502" s="15"/>
      <c r="J502" s="42"/>
      <c r="K502" s="42"/>
      <c r="L502" s="42"/>
      <c r="M502" s="42"/>
      <c r="N502" s="15"/>
      <c r="O502" s="42"/>
      <c r="P502" s="42"/>
      <c r="Q502" s="42"/>
      <c r="R502" s="42"/>
      <c r="S502" s="15"/>
      <c r="T502" s="13"/>
      <c r="U502" s="15"/>
      <c r="V502" s="5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6"/>
    </row>
    <row r="503" spans="1:35" x14ac:dyDescent="0.25">
      <c r="A503" s="3"/>
      <c r="B503" s="5"/>
      <c r="C503" s="5"/>
      <c r="D503" s="5"/>
      <c r="E503" s="5"/>
      <c r="F503" s="17"/>
      <c r="G503" s="17"/>
      <c r="H503" s="17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6"/>
    </row>
    <row r="504" spans="1:35" x14ac:dyDescent="0.25">
      <c r="A504" s="3"/>
      <c r="B504" s="5" t="s">
        <v>47</v>
      </c>
      <c r="C504" s="18"/>
      <c r="D504" s="18"/>
      <c r="E504" s="18"/>
      <c r="F504" s="5"/>
      <c r="G504" s="5"/>
      <c r="H504" s="5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6"/>
    </row>
    <row r="505" spans="1:35" ht="15" customHeight="1" x14ac:dyDescent="0.25">
      <c r="A505" s="3"/>
      <c r="B505" s="42" t="str">
        <f>"0x"&amp;DEC2HEX(Sheet3!$I$4,8)</f>
        <v>0x00400320</v>
      </c>
      <c r="C505" s="42"/>
      <c r="D505" s="42"/>
      <c r="E505" s="16"/>
      <c r="F505" s="322" t="str">
        <f>F500&amp;BIN2HEX(MID(J500,3,8),2)&amp;BIN2HEX(RIGHT(J500,7)&amp;MID(O500,3,1),2)&amp;BIN2HEX(MID(O500,4,8),2)&amp;BIN2HEX(RIGHT(O500,6)&amp;T500&amp;U500,2)</f>
        <v>0xFFFFFFFF00080164</v>
      </c>
      <c r="G505" s="322"/>
      <c r="H505" s="322"/>
      <c r="I505" s="322"/>
      <c r="J505" s="5"/>
      <c r="K505" s="5"/>
      <c r="L505" s="5"/>
      <c r="M505" s="5"/>
      <c r="N505" s="5"/>
      <c r="O505" s="5"/>
      <c r="P505" s="16"/>
      <c r="Q505" s="16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5"/>
      <c r="AH505" s="5"/>
      <c r="AI505" s="6"/>
    </row>
    <row r="506" spans="1:35" x14ac:dyDescent="0.25">
      <c r="A506" s="3"/>
      <c r="B506" s="37"/>
      <c r="C506" s="37"/>
      <c r="D506" s="37"/>
      <c r="E506" s="5"/>
      <c r="F506" s="38"/>
      <c r="G506" s="38"/>
      <c r="H506" s="38"/>
      <c r="I506" s="38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6"/>
    </row>
    <row r="507" spans="1:35" x14ac:dyDescent="0.25">
      <c r="A507" s="3"/>
      <c r="B507" s="37"/>
      <c r="C507" s="37"/>
      <c r="D507" s="37"/>
      <c r="E507" s="5"/>
      <c r="F507" s="38"/>
      <c r="G507" s="38"/>
      <c r="H507" s="38"/>
      <c r="I507" s="38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6"/>
    </row>
    <row r="508" spans="1:35" x14ac:dyDescent="0.25">
      <c r="A508" s="20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2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3"/>
    </row>
    <row r="509" spans="1:35" x14ac:dyDescent="0.25">
      <c r="A509" s="24"/>
      <c r="B509" s="28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  <c r="AD509" s="25"/>
      <c r="AE509" s="25"/>
      <c r="AF509" s="25"/>
      <c r="AG509" s="25"/>
      <c r="AH509" s="25"/>
      <c r="AI509" s="26"/>
    </row>
    <row r="510" spans="1:35" x14ac:dyDescent="0.25">
      <c r="A510" s="3"/>
      <c r="B510" s="4" t="s">
        <v>154</v>
      </c>
      <c r="C510" s="5"/>
      <c r="D510" s="5"/>
      <c r="E510" s="5"/>
      <c r="F510" s="5"/>
      <c r="G510" s="5"/>
      <c r="H510" s="5"/>
      <c r="I510" s="5" t="str">
        <f>"0x"&amp;BIN2HEX(CONCATENATE(C515,D515,E515,F515,G515,H515,I515,J515),2)&amp;BIN2HEX(CONCATENATE(K515,L515,M515,N515,O515,P515,Q515,R515),2)&amp;BIN2HEX(CONCATENATE(S515,T515,U515,V515,W515,X515,Y515,Z515),2)&amp;BIN2HEX(CONCATENATE(AA515,AB515,AC515,AD515,AE515,AF515,AG515,AH515),2)&amp;"_"&amp;BIN2HEX(CONCATENATE(C519,D519,E519,F519,G519,H519,I519,J519),2)&amp;BIN2HEX(CONCATENATE(K519,L519,M519,N519,O519,P519,Q519,R519),2)&amp;BIN2HEX(CONCATENATE(S519,T519,U519,V519,W519,X519,Y519,Z519),2)&amp;BIN2HEX(CONCATENATE(AA519,AB519,AC519,AD519,AE519,AF519,AG519,AH519),2)</f>
        <v>0x00000000_00080180</v>
      </c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6"/>
    </row>
    <row r="511" spans="1:35" ht="15.75" thickBot="1" x14ac:dyDescent="0.3">
      <c r="A511" s="3"/>
      <c r="B511" s="5"/>
      <c r="C511" s="7">
        <v>0</v>
      </c>
      <c r="D511" s="7">
        <v>1</v>
      </c>
      <c r="E511" s="7">
        <v>2</v>
      </c>
      <c r="F511" s="7">
        <v>3</v>
      </c>
      <c r="G511" s="7">
        <v>4</v>
      </c>
      <c r="H511" s="7">
        <v>5</v>
      </c>
      <c r="I511" s="7">
        <v>6</v>
      </c>
      <c r="J511" s="7">
        <v>7</v>
      </c>
      <c r="K511" s="7">
        <v>8</v>
      </c>
      <c r="L511" s="7">
        <v>9</v>
      </c>
      <c r="M511" s="7">
        <v>10</v>
      </c>
      <c r="N511" s="7">
        <v>11</v>
      </c>
      <c r="O511" s="7">
        <v>12</v>
      </c>
      <c r="P511" s="7">
        <v>13</v>
      </c>
      <c r="Q511" s="7">
        <v>14</v>
      </c>
      <c r="R511" s="7">
        <v>15</v>
      </c>
      <c r="S511" s="7">
        <v>16</v>
      </c>
      <c r="T511" s="7">
        <v>17</v>
      </c>
      <c r="U511" s="7">
        <v>18</v>
      </c>
      <c r="V511" s="7">
        <v>19</v>
      </c>
      <c r="W511" s="7">
        <v>20</v>
      </c>
      <c r="X511" s="7">
        <v>21</v>
      </c>
      <c r="Y511" s="7">
        <v>22</v>
      </c>
      <c r="Z511" s="7">
        <v>23</v>
      </c>
      <c r="AA511" s="7">
        <v>24</v>
      </c>
      <c r="AB511" s="7">
        <v>25</v>
      </c>
      <c r="AC511" s="7">
        <v>26</v>
      </c>
      <c r="AD511" s="7">
        <v>27</v>
      </c>
      <c r="AE511" s="7">
        <v>28</v>
      </c>
      <c r="AF511" s="7">
        <v>29</v>
      </c>
      <c r="AG511" s="7">
        <v>30</v>
      </c>
      <c r="AH511" s="7">
        <v>31</v>
      </c>
      <c r="AI511" s="6"/>
    </row>
    <row r="512" spans="1:35" ht="15" customHeight="1" x14ac:dyDescent="0.25">
      <c r="A512" s="3"/>
      <c r="B512" s="5" t="s">
        <v>31</v>
      </c>
      <c r="C512" s="328" t="s">
        <v>161</v>
      </c>
      <c r="D512" s="330" t="s">
        <v>63</v>
      </c>
      <c r="E512" s="331"/>
      <c r="F512" s="331"/>
      <c r="G512" s="331"/>
      <c r="H512" s="331"/>
      <c r="I512" s="331"/>
      <c r="J512" s="332"/>
      <c r="K512" s="336">
        <v>0</v>
      </c>
      <c r="L512" s="337"/>
      <c r="M512" s="337"/>
      <c r="N512" s="360" t="s">
        <v>112</v>
      </c>
      <c r="O512" s="360" t="s">
        <v>112</v>
      </c>
      <c r="P512" s="330" t="s">
        <v>135</v>
      </c>
      <c r="Q512" s="331"/>
      <c r="R512" s="332"/>
      <c r="S512" s="330" t="s">
        <v>136</v>
      </c>
      <c r="T512" s="331"/>
      <c r="U512" s="331"/>
      <c r="V512" s="332"/>
      <c r="W512" s="330" t="s">
        <v>137</v>
      </c>
      <c r="X512" s="331"/>
      <c r="Y512" s="331"/>
      <c r="Z512" s="332"/>
      <c r="AA512" s="154">
        <v>0</v>
      </c>
      <c r="AB512" s="345" t="s">
        <v>138</v>
      </c>
      <c r="AC512" s="330" t="s">
        <v>139</v>
      </c>
      <c r="AD512" s="331"/>
      <c r="AE512" s="331"/>
      <c r="AF512" s="331"/>
      <c r="AG512" s="331"/>
      <c r="AH512" s="355"/>
      <c r="AI512" s="6"/>
    </row>
    <row r="513" spans="1:35" x14ac:dyDescent="0.25">
      <c r="A513" s="3"/>
      <c r="B513" s="5" t="s">
        <v>32</v>
      </c>
      <c r="C513" s="329"/>
      <c r="D513" s="333"/>
      <c r="E513" s="334"/>
      <c r="F513" s="334"/>
      <c r="G513" s="334"/>
      <c r="H513" s="334"/>
      <c r="I513" s="334"/>
      <c r="J513" s="335"/>
      <c r="K513" s="339"/>
      <c r="L513" s="340"/>
      <c r="M513" s="340"/>
      <c r="N513" s="361"/>
      <c r="O513" s="361"/>
      <c r="P513" s="333"/>
      <c r="Q513" s="334"/>
      <c r="R513" s="335"/>
      <c r="S513" s="333"/>
      <c r="T513" s="334"/>
      <c r="U513" s="334"/>
      <c r="V513" s="335"/>
      <c r="W513" s="333"/>
      <c r="X513" s="334"/>
      <c r="Y513" s="334"/>
      <c r="Z513" s="335"/>
      <c r="AA513" s="156"/>
      <c r="AB513" s="346"/>
      <c r="AC513" s="333"/>
      <c r="AD513" s="334"/>
      <c r="AE513" s="334"/>
      <c r="AF513" s="334"/>
      <c r="AG513" s="334"/>
      <c r="AH513" s="357"/>
      <c r="AI513" s="6"/>
    </row>
    <row r="514" spans="1:35" x14ac:dyDescent="0.25">
      <c r="A514" s="3"/>
      <c r="B514" s="5" t="s">
        <v>11</v>
      </c>
      <c r="C514" s="56">
        <v>0</v>
      </c>
      <c r="D514" s="57">
        <v>0</v>
      </c>
      <c r="E514" s="57">
        <v>0</v>
      </c>
      <c r="F514" s="57">
        <v>0</v>
      </c>
      <c r="G514" s="57">
        <v>0</v>
      </c>
      <c r="H514" s="57">
        <v>0</v>
      </c>
      <c r="I514" s="57">
        <v>0</v>
      </c>
      <c r="J514" s="57">
        <v>0</v>
      </c>
      <c r="K514" s="57">
        <v>0</v>
      </c>
      <c r="L514" s="57">
        <v>0</v>
      </c>
      <c r="M514" s="57">
        <v>0</v>
      </c>
      <c r="N514" s="57">
        <v>0</v>
      </c>
      <c r="O514" s="57">
        <v>0</v>
      </c>
      <c r="P514" s="57">
        <v>0</v>
      </c>
      <c r="Q514" s="57">
        <v>0</v>
      </c>
      <c r="R514" s="57">
        <v>0</v>
      </c>
      <c r="S514" s="57">
        <v>0</v>
      </c>
      <c r="T514" s="57">
        <v>0</v>
      </c>
      <c r="U514" s="57">
        <v>0</v>
      </c>
      <c r="V514" s="57">
        <v>0</v>
      </c>
      <c r="W514" s="57">
        <v>0</v>
      </c>
      <c r="X514" s="57">
        <v>0</v>
      </c>
      <c r="Y514" s="57">
        <v>0</v>
      </c>
      <c r="Z514" s="57">
        <v>0</v>
      </c>
      <c r="AA514" s="57">
        <v>0</v>
      </c>
      <c r="AB514" s="57">
        <v>0</v>
      </c>
      <c r="AC514" s="57">
        <v>0</v>
      </c>
      <c r="AD514" s="57">
        <v>0</v>
      </c>
      <c r="AE514" s="57">
        <v>0</v>
      </c>
      <c r="AF514" s="57">
        <v>0</v>
      </c>
      <c r="AG514" s="57">
        <v>0</v>
      </c>
      <c r="AH514" s="58">
        <v>0</v>
      </c>
      <c r="AI514" s="6"/>
    </row>
    <row r="515" spans="1:35" ht="15.75" thickBot="1" x14ac:dyDescent="0.3">
      <c r="A515" s="3"/>
      <c r="B515" s="5" t="s">
        <v>12</v>
      </c>
      <c r="C515" s="145">
        <v>0</v>
      </c>
      <c r="D515" s="88">
        <v>0</v>
      </c>
      <c r="E515" s="88">
        <v>0</v>
      </c>
      <c r="F515" s="88">
        <v>0</v>
      </c>
      <c r="G515" s="88">
        <v>0</v>
      </c>
      <c r="H515" s="88">
        <v>0</v>
      </c>
      <c r="I515" s="88">
        <v>0</v>
      </c>
      <c r="J515" s="88">
        <v>0</v>
      </c>
      <c r="K515" s="161">
        <v>0</v>
      </c>
      <c r="L515" s="161">
        <v>0</v>
      </c>
      <c r="M515" s="161">
        <v>0</v>
      </c>
      <c r="N515" s="161">
        <v>0</v>
      </c>
      <c r="O515" s="161">
        <v>0</v>
      </c>
      <c r="P515" s="88">
        <v>0</v>
      </c>
      <c r="Q515" s="88">
        <v>0</v>
      </c>
      <c r="R515" s="88">
        <v>0</v>
      </c>
      <c r="S515" s="88">
        <v>0</v>
      </c>
      <c r="T515" s="88">
        <v>0</v>
      </c>
      <c r="U515" s="88">
        <v>0</v>
      </c>
      <c r="V515" s="88">
        <v>0</v>
      </c>
      <c r="W515" s="88">
        <v>0</v>
      </c>
      <c r="X515" s="88">
        <v>0</v>
      </c>
      <c r="Y515" s="88">
        <v>0</v>
      </c>
      <c r="Z515" s="88">
        <v>0</v>
      </c>
      <c r="AA515" s="62">
        <v>0</v>
      </c>
      <c r="AB515" s="88">
        <v>0</v>
      </c>
      <c r="AC515" s="88">
        <v>0</v>
      </c>
      <c r="AD515" s="88">
        <v>0</v>
      </c>
      <c r="AE515" s="88">
        <v>0</v>
      </c>
      <c r="AF515" s="88">
        <v>0</v>
      </c>
      <c r="AG515" s="88">
        <v>0</v>
      </c>
      <c r="AH515" s="89">
        <v>0</v>
      </c>
      <c r="AI515" s="6"/>
    </row>
    <row r="516" spans="1:35" x14ac:dyDescent="0.25">
      <c r="A516" s="3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6"/>
    </row>
    <row r="517" spans="1:35" ht="15.75" thickBot="1" x14ac:dyDescent="0.3">
      <c r="A517" s="3"/>
      <c r="B517" s="5"/>
      <c r="C517" s="7">
        <v>32</v>
      </c>
      <c r="D517" s="7">
        <v>33</v>
      </c>
      <c r="E517" s="7">
        <v>34</v>
      </c>
      <c r="F517" s="7">
        <v>35</v>
      </c>
      <c r="G517" s="7">
        <v>36</v>
      </c>
      <c r="H517" s="7">
        <v>37</v>
      </c>
      <c r="I517" s="7">
        <v>38</v>
      </c>
      <c r="J517" s="7">
        <v>39</v>
      </c>
      <c r="K517" s="7">
        <v>40</v>
      </c>
      <c r="L517" s="7">
        <v>41</v>
      </c>
      <c r="M517" s="7">
        <v>42</v>
      </c>
      <c r="N517" s="7">
        <v>43</v>
      </c>
      <c r="O517" s="7">
        <v>44</v>
      </c>
      <c r="P517" s="7">
        <v>45</v>
      </c>
      <c r="Q517" s="7">
        <v>46</v>
      </c>
      <c r="R517" s="7">
        <v>47</v>
      </c>
      <c r="S517" s="7">
        <v>48</v>
      </c>
      <c r="T517" s="7">
        <v>49</v>
      </c>
      <c r="U517" s="7">
        <v>50</v>
      </c>
      <c r="V517" s="7">
        <v>51</v>
      </c>
      <c r="W517" s="7">
        <v>52</v>
      </c>
      <c r="X517" s="7">
        <v>53</v>
      </c>
      <c r="Y517" s="7">
        <v>54</v>
      </c>
      <c r="Z517" s="7">
        <v>55</v>
      </c>
      <c r="AA517" s="7">
        <v>56</v>
      </c>
      <c r="AB517" s="7">
        <v>57</v>
      </c>
      <c r="AC517" s="7">
        <v>58</v>
      </c>
      <c r="AD517" s="7">
        <v>59</v>
      </c>
      <c r="AE517" s="7">
        <v>60</v>
      </c>
      <c r="AF517" s="7">
        <v>61</v>
      </c>
      <c r="AG517" s="7">
        <v>62</v>
      </c>
      <c r="AH517" s="7">
        <v>63</v>
      </c>
      <c r="AI517" s="6"/>
    </row>
    <row r="518" spans="1:35" ht="15.75" thickBot="1" x14ac:dyDescent="0.3">
      <c r="A518" s="3"/>
      <c r="B518" s="5"/>
      <c r="C518" s="147" t="s">
        <v>13</v>
      </c>
      <c r="D518" s="148" t="s">
        <v>14</v>
      </c>
      <c r="E518" s="148" t="s">
        <v>15</v>
      </c>
      <c r="F518" s="148" t="s">
        <v>16</v>
      </c>
      <c r="G518" s="148" t="s">
        <v>17</v>
      </c>
      <c r="H518" s="148" t="s">
        <v>18</v>
      </c>
      <c r="I518" s="148" t="s">
        <v>19</v>
      </c>
      <c r="J518" s="148" t="s">
        <v>20</v>
      </c>
      <c r="K518" s="148" t="s">
        <v>21</v>
      </c>
      <c r="L518" s="148" t="s">
        <v>22</v>
      </c>
      <c r="M518" s="148" t="s">
        <v>23</v>
      </c>
      <c r="N518" s="148" t="s">
        <v>24</v>
      </c>
      <c r="O518" s="148" t="s">
        <v>25</v>
      </c>
      <c r="P518" s="148" t="s">
        <v>26</v>
      </c>
      <c r="Q518" s="148" t="s">
        <v>27</v>
      </c>
      <c r="R518" s="342" t="s">
        <v>30</v>
      </c>
      <c r="S518" s="343"/>
      <c r="T518" s="343"/>
      <c r="U518" s="343"/>
      <c r="V518" s="343"/>
      <c r="W518" s="343"/>
      <c r="X518" s="343"/>
      <c r="Y518" s="343"/>
      <c r="Z518" s="343"/>
      <c r="AA518" s="343"/>
      <c r="AB518" s="343"/>
      <c r="AC518" s="343"/>
      <c r="AD518" s="343"/>
      <c r="AE518" s="343"/>
      <c r="AF518" s="344"/>
      <c r="AG518" s="67" t="s">
        <v>28</v>
      </c>
      <c r="AH518" s="149" t="s">
        <v>29</v>
      </c>
      <c r="AI518" s="6"/>
    </row>
    <row r="519" spans="1:35" ht="15.75" thickBot="1" x14ac:dyDescent="0.3">
      <c r="A519" s="3"/>
      <c r="B519" s="5"/>
      <c r="C519" s="150">
        <v>0</v>
      </c>
      <c r="D519" s="151">
        <v>0</v>
      </c>
      <c r="E519" s="151">
        <v>0</v>
      </c>
      <c r="F519" s="151">
        <v>0</v>
      </c>
      <c r="G519" s="151">
        <v>0</v>
      </c>
      <c r="H519" s="151">
        <v>0</v>
      </c>
      <c r="I519" s="151">
        <v>0</v>
      </c>
      <c r="J519" s="151">
        <v>0</v>
      </c>
      <c r="K519" s="151">
        <v>0</v>
      </c>
      <c r="L519" s="151">
        <v>0</v>
      </c>
      <c r="M519" s="151">
        <v>0</v>
      </c>
      <c r="N519" s="151">
        <v>0</v>
      </c>
      <c r="O519" s="151">
        <v>1</v>
      </c>
      <c r="P519" s="151">
        <v>0</v>
      </c>
      <c r="Q519" s="151">
        <v>0</v>
      </c>
      <c r="R519" s="151">
        <v>0</v>
      </c>
      <c r="S519" s="151">
        <v>0</v>
      </c>
      <c r="T519" s="151">
        <v>0</v>
      </c>
      <c r="U519" s="151">
        <v>0</v>
      </c>
      <c r="V519" s="151">
        <v>0</v>
      </c>
      <c r="W519" s="151">
        <v>0</v>
      </c>
      <c r="X519" s="151">
        <v>0</v>
      </c>
      <c r="Y519" s="151">
        <v>0</v>
      </c>
      <c r="Z519" s="151">
        <v>1</v>
      </c>
      <c r="AA519" s="151">
        <v>1</v>
      </c>
      <c r="AB519" s="151">
        <v>0</v>
      </c>
      <c r="AC519" s="151">
        <v>0</v>
      </c>
      <c r="AD519" s="151">
        <v>0</v>
      </c>
      <c r="AE519" s="151">
        <v>0</v>
      </c>
      <c r="AF519" s="151">
        <v>0</v>
      </c>
      <c r="AG519" s="151">
        <v>0</v>
      </c>
      <c r="AH519" s="152">
        <v>0</v>
      </c>
      <c r="AI519" s="6"/>
    </row>
    <row r="520" spans="1:35" x14ac:dyDescent="0.25">
      <c r="A520" s="3"/>
      <c r="B520" s="4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6"/>
    </row>
    <row r="521" spans="1:35" x14ac:dyDescent="0.25">
      <c r="A521" s="3"/>
      <c r="B521" s="8" t="s">
        <v>43</v>
      </c>
      <c r="C521" s="9"/>
      <c r="D521" s="9"/>
      <c r="E521" s="9"/>
      <c r="F521" s="44" t="s">
        <v>44</v>
      </c>
      <c r="G521" s="44"/>
      <c r="H521" s="44"/>
      <c r="I521" s="9"/>
      <c r="J521" s="45" t="s">
        <v>45</v>
      </c>
      <c r="K521" s="45"/>
      <c r="L521" s="45"/>
      <c r="M521" s="45"/>
      <c r="N521" s="9"/>
      <c r="O521" s="46" t="s">
        <v>46</v>
      </c>
      <c r="P521" s="46"/>
      <c r="Q521" s="46"/>
      <c r="R521" s="46"/>
      <c r="S521" s="9"/>
      <c r="T521" s="1" t="s">
        <v>49</v>
      </c>
      <c r="U521" s="10" t="s">
        <v>48</v>
      </c>
      <c r="V521" s="5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6"/>
    </row>
    <row r="522" spans="1:35" ht="15" customHeight="1" x14ac:dyDescent="0.25">
      <c r="A522" s="3"/>
      <c r="B522" s="42" t="str">
        <f>"0x"&amp;DEC2HEX(Sheet3!$I$4,8)</f>
        <v>0x00400320</v>
      </c>
      <c r="C522" s="42"/>
      <c r="D522" s="42"/>
      <c r="E522" s="12"/>
      <c r="F522" s="319" t="str">
        <f>"0x"&amp;BIN2HEX(CONCATENATE(C515,D515,E515,F515,G515,H515,I515,J515),2)&amp;BIN2HEX(CONCATENATE(K515,L515,M515,N515,O515,P515,Q515,R515),2)&amp;BIN2HEX(CONCATENATE(S515,T515,U515,V515,W515,X515,Y515,Z515),2)&amp;BIN2HEX(CONCATENATE(AA515,AB515,AC515,AD515,AE515,AF515,AG515,AH515),2)</f>
        <v>0x00000000</v>
      </c>
      <c r="G522" s="319"/>
      <c r="H522" s="319"/>
      <c r="I522" s="12"/>
      <c r="J522" s="319" t="str">
        <f>"0b"&amp;C519&amp;D519&amp;E519&amp;F519&amp;G519&amp;H519&amp;I519&amp;J519&amp;K519&amp;L519&amp;M519&amp;N519&amp;O519&amp;P519&amp;Q519</f>
        <v>0b000000000000100</v>
      </c>
      <c r="K522" s="319"/>
      <c r="L522" s="319"/>
      <c r="M522" s="319"/>
      <c r="N522" s="12"/>
      <c r="O522" s="319" t="str">
        <f>"0b"&amp;DEC2BIN(((AF519+AE519*2+AD519*4+AC519*8+AB519*16+AA519*32+Z519*64+Y519*128+X519*256+W519*512+V519*1024+U519*2048+T519*4096+S519*2^13+R519*2^14)/512),6)&amp;DEC2BIN(MOD((AF519+AE519*2+AD519*4+AC519*8+AB519*16+AA519*32+Z519*64+Y519*128+X519*256+W519*512+V519*1024+U519*2048+T519*4096+S519*2^13+R519*2^14),512),9)</f>
        <v>0b000000001100000</v>
      </c>
      <c r="P522" s="319"/>
      <c r="Q522" s="319"/>
      <c r="R522" s="319"/>
      <c r="S522" s="12"/>
      <c r="T522" s="13">
        <v>0</v>
      </c>
      <c r="U522" s="13">
        <f>AH519</f>
        <v>0</v>
      </c>
      <c r="V522" s="5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6"/>
    </row>
    <row r="523" spans="1:35" x14ac:dyDescent="0.25">
      <c r="A523" s="3"/>
      <c r="B523" s="42"/>
      <c r="C523" s="42"/>
      <c r="D523" s="42"/>
      <c r="E523" s="15"/>
      <c r="F523" s="43"/>
      <c r="G523" s="43"/>
      <c r="H523" s="43"/>
      <c r="I523" s="15"/>
      <c r="J523" s="42"/>
      <c r="K523" s="42"/>
      <c r="L523" s="42"/>
      <c r="M523" s="42"/>
      <c r="N523" s="15"/>
      <c r="O523" s="42"/>
      <c r="P523" s="42"/>
      <c r="Q523" s="42"/>
      <c r="R523" s="42"/>
      <c r="S523" s="15"/>
      <c r="T523" s="13"/>
      <c r="U523" s="15"/>
      <c r="V523" s="5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6"/>
    </row>
    <row r="524" spans="1:35" x14ac:dyDescent="0.25">
      <c r="A524" s="3"/>
      <c r="B524" s="42"/>
      <c r="C524" s="42"/>
      <c r="D524" s="42"/>
      <c r="E524" s="15"/>
      <c r="F524" s="43"/>
      <c r="G524" s="43"/>
      <c r="H524" s="43"/>
      <c r="I524" s="15"/>
      <c r="J524" s="42"/>
      <c r="K524" s="42"/>
      <c r="L524" s="42"/>
      <c r="M524" s="42"/>
      <c r="N524" s="15"/>
      <c r="O524" s="42"/>
      <c r="P524" s="42"/>
      <c r="Q524" s="42"/>
      <c r="R524" s="42"/>
      <c r="S524" s="15"/>
      <c r="T524" s="13"/>
      <c r="U524" s="15"/>
      <c r="V524" s="5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6"/>
    </row>
    <row r="525" spans="1:35" x14ac:dyDescent="0.25">
      <c r="A525" s="3"/>
      <c r="B525" s="5"/>
      <c r="C525" s="5"/>
      <c r="D525" s="5"/>
      <c r="E525" s="5"/>
      <c r="F525" s="17"/>
      <c r="G525" s="17"/>
      <c r="H525" s="17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6"/>
    </row>
    <row r="526" spans="1:35" x14ac:dyDescent="0.25">
      <c r="A526" s="3"/>
      <c r="B526" s="5" t="s">
        <v>47</v>
      </c>
      <c r="C526" s="18"/>
      <c r="D526" s="18"/>
      <c r="E526" s="18"/>
      <c r="F526" s="5"/>
      <c r="G526" s="5"/>
      <c r="H526" s="5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6"/>
    </row>
    <row r="527" spans="1:35" ht="15" customHeight="1" x14ac:dyDescent="0.25">
      <c r="A527" s="3"/>
      <c r="B527" s="42" t="str">
        <f>"0x"&amp;DEC2HEX(Sheet3!$I$4,8)</f>
        <v>0x00400320</v>
      </c>
      <c r="C527" s="42"/>
      <c r="D527" s="42"/>
      <c r="E527" s="16"/>
      <c r="F527" s="322" t="str">
        <f>F522&amp;BIN2HEX(MID(J522,3,8),2)&amp;BIN2HEX(RIGHT(J522,7)&amp;MID(O522,3,1),2)&amp;BIN2HEX(MID(O522,4,8),2)&amp;BIN2HEX(RIGHT(O522,6)&amp;T522&amp;U522,2)</f>
        <v>0x0000000000080180</v>
      </c>
      <c r="G527" s="322"/>
      <c r="H527" s="322"/>
      <c r="I527" s="322"/>
      <c r="J527" s="5"/>
      <c r="K527" s="5"/>
      <c r="L527" s="5"/>
      <c r="M527" s="5"/>
      <c r="N527" s="5"/>
      <c r="O527" s="5"/>
      <c r="P527" s="16"/>
      <c r="Q527" s="16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5"/>
      <c r="AH527" s="5"/>
      <c r="AI527" s="6"/>
    </row>
    <row r="528" spans="1:35" x14ac:dyDescent="0.25">
      <c r="A528" s="3"/>
      <c r="B528" s="37"/>
      <c r="C528" s="37"/>
      <c r="D528" s="37"/>
      <c r="E528" s="5"/>
      <c r="F528" s="38"/>
      <c r="G528" s="38"/>
      <c r="H528" s="38"/>
      <c r="I528" s="38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6"/>
    </row>
    <row r="529" spans="1:35" x14ac:dyDescent="0.25">
      <c r="A529" s="3"/>
      <c r="B529" s="37"/>
      <c r="C529" s="37"/>
      <c r="D529" s="37"/>
      <c r="E529" s="5"/>
      <c r="F529" s="38"/>
      <c r="G529" s="38"/>
      <c r="H529" s="38"/>
      <c r="I529" s="38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6"/>
    </row>
    <row r="530" spans="1:35" x14ac:dyDescent="0.25">
      <c r="A530" s="20"/>
      <c r="B530" s="21"/>
      <c r="C530" s="21"/>
      <c r="D530" s="21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2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3"/>
    </row>
    <row r="531" spans="1:35" x14ac:dyDescent="0.25">
      <c r="A531" s="24"/>
      <c r="B531" s="28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6"/>
    </row>
    <row r="532" spans="1:35" x14ac:dyDescent="0.25">
      <c r="A532" s="3"/>
      <c r="B532" s="4" t="s">
        <v>155</v>
      </c>
      <c r="C532" s="5"/>
      <c r="D532" s="5"/>
      <c r="E532" s="5"/>
      <c r="F532" s="5"/>
      <c r="G532" s="5"/>
      <c r="H532" s="5"/>
      <c r="I532" s="5" t="str">
        <f>"0x"&amp;BIN2HEX(CONCATENATE(C537,D537,E537,F537,G537,H537,I537,J537),2)&amp;BIN2HEX(CONCATENATE(K537,L537,M537,N537,O537,P537,Q537,R537),2)&amp;BIN2HEX(CONCATENATE(S537,T537,U537,V537,W537,X537,Y537,Z537),2)&amp;BIN2HEX(CONCATENATE(AA537,AB537,AC537,AD537,AE537,AF537,AG537,AH537),2)&amp;"_"&amp;BIN2HEX(CONCATENATE(C541,D541,E541,F541,G541,H541,I541,J541),2)&amp;BIN2HEX(CONCATENATE(K541,L541,M541,N541,O541,P541,Q541,R541),2)&amp;BIN2HEX(CONCATENATE(S541,T541,U541,V541,W541,X541,Y541,Z541),2)&amp;BIN2HEX(CONCATENATE(AA541,AB541,AC541,AD541,AE541,AF541,AG541,AH541),2)</f>
        <v>0x00000000_00080184</v>
      </c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6"/>
    </row>
    <row r="533" spans="1:35" ht="15.75" thickBot="1" x14ac:dyDescent="0.3">
      <c r="A533" s="3"/>
      <c r="B533" s="5"/>
      <c r="C533" s="7">
        <v>0</v>
      </c>
      <c r="D533" s="7">
        <v>1</v>
      </c>
      <c r="E533" s="7">
        <v>2</v>
      </c>
      <c r="F533" s="7">
        <v>3</v>
      </c>
      <c r="G533" s="7">
        <v>4</v>
      </c>
      <c r="H533" s="7">
        <v>5</v>
      </c>
      <c r="I533" s="7">
        <v>6</v>
      </c>
      <c r="J533" s="7">
        <v>7</v>
      </c>
      <c r="K533" s="7">
        <v>8</v>
      </c>
      <c r="L533" s="7">
        <v>9</v>
      </c>
      <c r="M533" s="7">
        <v>10</v>
      </c>
      <c r="N533" s="7">
        <v>11</v>
      </c>
      <c r="O533" s="7">
        <v>12</v>
      </c>
      <c r="P533" s="7">
        <v>13</v>
      </c>
      <c r="Q533" s="7">
        <v>14</v>
      </c>
      <c r="R533" s="7">
        <v>15</v>
      </c>
      <c r="S533" s="7">
        <v>16</v>
      </c>
      <c r="T533" s="7">
        <v>17</v>
      </c>
      <c r="U533" s="7">
        <v>18</v>
      </c>
      <c r="V533" s="7">
        <v>19</v>
      </c>
      <c r="W533" s="7">
        <v>20</v>
      </c>
      <c r="X533" s="7">
        <v>21</v>
      </c>
      <c r="Y533" s="7">
        <v>22</v>
      </c>
      <c r="Z533" s="7">
        <v>23</v>
      </c>
      <c r="AA533" s="7">
        <v>24</v>
      </c>
      <c r="AB533" s="7">
        <v>25</v>
      </c>
      <c r="AC533" s="7">
        <v>26</v>
      </c>
      <c r="AD533" s="7">
        <v>27</v>
      </c>
      <c r="AE533" s="7">
        <v>28</v>
      </c>
      <c r="AF533" s="7">
        <v>29</v>
      </c>
      <c r="AG533" s="7">
        <v>30</v>
      </c>
      <c r="AH533" s="7">
        <v>31</v>
      </c>
      <c r="AI533" s="6"/>
    </row>
    <row r="534" spans="1:35" ht="15" customHeight="1" x14ac:dyDescent="0.25">
      <c r="A534" s="3"/>
      <c r="B534" s="5" t="s">
        <v>31</v>
      </c>
      <c r="C534" s="349">
        <v>0</v>
      </c>
      <c r="D534" s="337"/>
      <c r="E534" s="337"/>
      <c r="F534" s="337"/>
      <c r="G534" s="337"/>
      <c r="H534" s="350"/>
      <c r="I534" s="330" t="s">
        <v>141</v>
      </c>
      <c r="J534" s="331"/>
      <c r="K534" s="331"/>
      <c r="L534" s="331"/>
      <c r="M534" s="331"/>
      <c r="N534" s="331"/>
      <c r="O534" s="331"/>
      <c r="P534" s="331"/>
      <c r="Q534" s="331"/>
      <c r="R534" s="331"/>
      <c r="S534" s="331"/>
      <c r="T534" s="331"/>
      <c r="U534" s="331"/>
      <c r="V534" s="331"/>
      <c r="W534" s="331"/>
      <c r="X534" s="331"/>
      <c r="Y534" s="331"/>
      <c r="Z534" s="331"/>
      <c r="AA534" s="331"/>
      <c r="AB534" s="331"/>
      <c r="AC534" s="331"/>
      <c r="AD534" s="331"/>
      <c r="AE534" s="331"/>
      <c r="AF534" s="331"/>
      <c r="AG534" s="331"/>
      <c r="AH534" s="355"/>
      <c r="AI534" s="6"/>
    </row>
    <row r="535" spans="1:35" x14ac:dyDescent="0.25">
      <c r="A535" s="3"/>
      <c r="B535" s="5" t="s">
        <v>32</v>
      </c>
      <c r="C535" s="358"/>
      <c r="D535" s="340"/>
      <c r="E535" s="340"/>
      <c r="F535" s="340"/>
      <c r="G535" s="340"/>
      <c r="H535" s="359"/>
      <c r="I535" s="333"/>
      <c r="J535" s="334"/>
      <c r="K535" s="334"/>
      <c r="L535" s="334"/>
      <c r="M535" s="334"/>
      <c r="N535" s="334"/>
      <c r="O535" s="334"/>
      <c r="P535" s="334"/>
      <c r="Q535" s="334"/>
      <c r="R535" s="334"/>
      <c r="S535" s="334"/>
      <c r="T535" s="334"/>
      <c r="U535" s="334"/>
      <c r="V535" s="334"/>
      <c r="W535" s="334"/>
      <c r="X535" s="334"/>
      <c r="Y535" s="334"/>
      <c r="Z535" s="334"/>
      <c r="AA535" s="334"/>
      <c r="AB535" s="334"/>
      <c r="AC535" s="334"/>
      <c r="AD535" s="334"/>
      <c r="AE535" s="334"/>
      <c r="AF535" s="334"/>
      <c r="AG535" s="334"/>
      <c r="AH535" s="357"/>
      <c r="AI535" s="6"/>
    </row>
    <row r="536" spans="1:35" x14ac:dyDescent="0.25">
      <c r="A536" s="3"/>
      <c r="B536" s="5" t="s">
        <v>11</v>
      </c>
      <c r="C536" s="56">
        <v>0</v>
      </c>
      <c r="D536" s="57">
        <v>0</v>
      </c>
      <c r="E536" s="57">
        <v>0</v>
      </c>
      <c r="F536" s="57">
        <v>0</v>
      </c>
      <c r="G536" s="57">
        <v>0</v>
      </c>
      <c r="H536" s="57">
        <v>0</v>
      </c>
      <c r="I536" s="57">
        <v>0</v>
      </c>
      <c r="J536" s="57">
        <v>0</v>
      </c>
      <c r="K536" s="57">
        <v>0</v>
      </c>
      <c r="L536" s="57">
        <v>0</v>
      </c>
      <c r="M536" s="57">
        <v>0</v>
      </c>
      <c r="N536" s="57">
        <v>0</v>
      </c>
      <c r="O536" s="57">
        <v>0</v>
      </c>
      <c r="P536" s="57">
        <v>0</v>
      </c>
      <c r="Q536" s="57">
        <v>0</v>
      </c>
      <c r="R536" s="57">
        <v>0</v>
      </c>
      <c r="S536" s="57">
        <v>0</v>
      </c>
      <c r="T536" s="57">
        <v>0</v>
      </c>
      <c r="U536" s="57">
        <v>0</v>
      </c>
      <c r="V536" s="57">
        <v>0</v>
      </c>
      <c r="W536" s="57">
        <v>0</v>
      </c>
      <c r="X536" s="57">
        <v>0</v>
      </c>
      <c r="Y536" s="57">
        <v>0</v>
      </c>
      <c r="Z536" s="57">
        <v>0</v>
      </c>
      <c r="AA536" s="57">
        <v>0</v>
      </c>
      <c r="AB536" s="57">
        <v>0</v>
      </c>
      <c r="AC536" s="57">
        <v>0</v>
      </c>
      <c r="AD536" s="57">
        <v>0</v>
      </c>
      <c r="AE536" s="57">
        <v>0</v>
      </c>
      <c r="AF536" s="57">
        <v>0</v>
      </c>
      <c r="AG536" s="57">
        <v>0</v>
      </c>
      <c r="AH536" s="58">
        <v>0</v>
      </c>
      <c r="AI536" s="6"/>
    </row>
    <row r="537" spans="1:35" ht="15.75" thickBot="1" x14ac:dyDescent="0.3">
      <c r="A537" s="3"/>
      <c r="B537" s="5" t="s">
        <v>12</v>
      </c>
      <c r="C537" s="61">
        <v>0</v>
      </c>
      <c r="D537" s="62">
        <v>0</v>
      </c>
      <c r="E537" s="62">
        <v>0</v>
      </c>
      <c r="F537" s="62">
        <v>0</v>
      </c>
      <c r="G537" s="62">
        <v>0</v>
      </c>
      <c r="H537" s="62">
        <v>0</v>
      </c>
      <c r="I537" s="88">
        <v>0</v>
      </c>
      <c r="J537" s="88">
        <v>0</v>
      </c>
      <c r="K537" s="88">
        <v>0</v>
      </c>
      <c r="L537" s="88">
        <v>0</v>
      </c>
      <c r="M537" s="88">
        <v>0</v>
      </c>
      <c r="N537" s="88">
        <v>0</v>
      </c>
      <c r="O537" s="88">
        <v>0</v>
      </c>
      <c r="P537" s="88">
        <v>0</v>
      </c>
      <c r="Q537" s="88">
        <v>0</v>
      </c>
      <c r="R537" s="88">
        <v>0</v>
      </c>
      <c r="S537" s="88">
        <v>0</v>
      </c>
      <c r="T537" s="88">
        <v>0</v>
      </c>
      <c r="U537" s="88">
        <v>0</v>
      </c>
      <c r="V537" s="88">
        <v>0</v>
      </c>
      <c r="W537" s="88">
        <v>0</v>
      </c>
      <c r="X537" s="88">
        <v>0</v>
      </c>
      <c r="Y537" s="88">
        <v>0</v>
      </c>
      <c r="Z537" s="88">
        <v>0</v>
      </c>
      <c r="AA537" s="88">
        <v>0</v>
      </c>
      <c r="AB537" s="88">
        <v>0</v>
      </c>
      <c r="AC537" s="88">
        <v>0</v>
      </c>
      <c r="AD537" s="88">
        <v>0</v>
      </c>
      <c r="AE537" s="88">
        <v>0</v>
      </c>
      <c r="AF537" s="88">
        <v>0</v>
      </c>
      <c r="AG537" s="88">
        <v>0</v>
      </c>
      <c r="AH537" s="89">
        <v>0</v>
      </c>
      <c r="AI537" s="6"/>
    </row>
    <row r="538" spans="1:35" x14ac:dyDescent="0.25">
      <c r="A538" s="3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6"/>
    </row>
    <row r="539" spans="1:35" ht="15.75" thickBot="1" x14ac:dyDescent="0.3">
      <c r="A539" s="3"/>
      <c r="B539" s="5"/>
      <c r="C539" s="7">
        <v>32</v>
      </c>
      <c r="D539" s="7">
        <v>33</v>
      </c>
      <c r="E539" s="7">
        <v>34</v>
      </c>
      <c r="F539" s="7">
        <v>35</v>
      </c>
      <c r="G539" s="7">
        <v>36</v>
      </c>
      <c r="H539" s="7">
        <v>37</v>
      </c>
      <c r="I539" s="7">
        <v>38</v>
      </c>
      <c r="J539" s="7">
        <v>39</v>
      </c>
      <c r="K539" s="7">
        <v>40</v>
      </c>
      <c r="L539" s="7">
        <v>41</v>
      </c>
      <c r="M539" s="7">
        <v>42</v>
      </c>
      <c r="N539" s="7">
        <v>43</v>
      </c>
      <c r="O539" s="7">
        <v>44</v>
      </c>
      <c r="P539" s="7">
        <v>45</v>
      </c>
      <c r="Q539" s="7">
        <v>46</v>
      </c>
      <c r="R539" s="7">
        <v>47</v>
      </c>
      <c r="S539" s="7">
        <v>48</v>
      </c>
      <c r="T539" s="7">
        <v>49</v>
      </c>
      <c r="U539" s="7">
        <v>50</v>
      </c>
      <c r="V539" s="7">
        <v>51</v>
      </c>
      <c r="W539" s="7">
        <v>52</v>
      </c>
      <c r="X539" s="7">
        <v>53</v>
      </c>
      <c r="Y539" s="7">
        <v>54</v>
      </c>
      <c r="Z539" s="7">
        <v>55</v>
      </c>
      <c r="AA539" s="7">
        <v>56</v>
      </c>
      <c r="AB539" s="7">
        <v>57</v>
      </c>
      <c r="AC539" s="7">
        <v>58</v>
      </c>
      <c r="AD539" s="7">
        <v>59</v>
      </c>
      <c r="AE539" s="7">
        <v>60</v>
      </c>
      <c r="AF539" s="7">
        <v>61</v>
      </c>
      <c r="AG539" s="7">
        <v>62</v>
      </c>
      <c r="AH539" s="7">
        <v>63</v>
      </c>
      <c r="AI539" s="6"/>
    </row>
    <row r="540" spans="1:35" ht="15.75" thickBot="1" x14ac:dyDescent="0.3">
      <c r="A540" s="3"/>
      <c r="B540" s="5"/>
      <c r="C540" s="147" t="s">
        <v>13</v>
      </c>
      <c r="D540" s="148" t="s">
        <v>14</v>
      </c>
      <c r="E540" s="148" t="s">
        <v>15</v>
      </c>
      <c r="F540" s="148" t="s">
        <v>16</v>
      </c>
      <c r="G540" s="148" t="s">
        <v>17</v>
      </c>
      <c r="H540" s="148" t="s">
        <v>18</v>
      </c>
      <c r="I540" s="148" t="s">
        <v>19</v>
      </c>
      <c r="J540" s="148" t="s">
        <v>20</v>
      </c>
      <c r="K540" s="148" t="s">
        <v>21</v>
      </c>
      <c r="L540" s="148" t="s">
        <v>22</v>
      </c>
      <c r="M540" s="148" t="s">
        <v>23</v>
      </c>
      <c r="N540" s="148" t="s">
        <v>24</v>
      </c>
      <c r="O540" s="148" t="s">
        <v>25</v>
      </c>
      <c r="P540" s="148" t="s">
        <v>26</v>
      </c>
      <c r="Q540" s="148" t="s">
        <v>27</v>
      </c>
      <c r="R540" s="342" t="s">
        <v>30</v>
      </c>
      <c r="S540" s="343"/>
      <c r="T540" s="343"/>
      <c r="U540" s="343"/>
      <c r="V540" s="343"/>
      <c r="W540" s="343"/>
      <c r="X540" s="343"/>
      <c r="Y540" s="343"/>
      <c r="Z540" s="343"/>
      <c r="AA540" s="343"/>
      <c r="AB540" s="343"/>
      <c r="AC540" s="343"/>
      <c r="AD540" s="343"/>
      <c r="AE540" s="343"/>
      <c r="AF540" s="344"/>
      <c r="AG540" s="67" t="s">
        <v>28</v>
      </c>
      <c r="AH540" s="149" t="s">
        <v>29</v>
      </c>
      <c r="AI540" s="6"/>
    </row>
    <row r="541" spans="1:35" ht="15.75" thickBot="1" x14ac:dyDescent="0.3">
      <c r="A541" s="3"/>
      <c r="B541" s="5"/>
      <c r="C541" s="150">
        <v>0</v>
      </c>
      <c r="D541" s="151">
        <v>0</v>
      </c>
      <c r="E541" s="151">
        <v>0</v>
      </c>
      <c r="F541" s="151">
        <v>0</v>
      </c>
      <c r="G541" s="151">
        <v>0</v>
      </c>
      <c r="H541" s="151">
        <v>0</v>
      </c>
      <c r="I541" s="151">
        <v>0</v>
      </c>
      <c r="J541" s="151">
        <v>0</v>
      </c>
      <c r="K541" s="151">
        <v>0</v>
      </c>
      <c r="L541" s="151">
        <v>0</v>
      </c>
      <c r="M541" s="151">
        <v>0</v>
      </c>
      <c r="N541" s="151">
        <v>0</v>
      </c>
      <c r="O541" s="151">
        <v>1</v>
      </c>
      <c r="P541" s="151">
        <v>0</v>
      </c>
      <c r="Q541" s="151">
        <v>0</v>
      </c>
      <c r="R541" s="151">
        <v>0</v>
      </c>
      <c r="S541" s="151">
        <v>0</v>
      </c>
      <c r="T541" s="151">
        <v>0</v>
      </c>
      <c r="U541" s="151">
        <v>0</v>
      </c>
      <c r="V541" s="151">
        <v>0</v>
      </c>
      <c r="W541" s="151">
        <v>0</v>
      </c>
      <c r="X541" s="151">
        <v>0</v>
      </c>
      <c r="Y541" s="151">
        <v>0</v>
      </c>
      <c r="Z541" s="151">
        <v>1</v>
      </c>
      <c r="AA541" s="151">
        <v>1</v>
      </c>
      <c r="AB541" s="151">
        <v>0</v>
      </c>
      <c r="AC541" s="151">
        <v>0</v>
      </c>
      <c r="AD541" s="151">
        <v>0</v>
      </c>
      <c r="AE541" s="151">
        <v>0</v>
      </c>
      <c r="AF541" s="151">
        <v>1</v>
      </c>
      <c r="AG541" s="151">
        <v>0</v>
      </c>
      <c r="AH541" s="152">
        <v>0</v>
      </c>
      <c r="AI541" s="6"/>
    </row>
    <row r="542" spans="1:35" x14ac:dyDescent="0.25">
      <c r="A542" s="3"/>
      <c r="B542" s="4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6"/>
    </row>
    <row r="543" spans="1:35" x14ac:dyDescent="0.25">
      <c r="A543" s="3"/>
      <c r="B543" s="8" t="s">
        <v>43</v>
      </c>
      <c r="C543" s="9"/>
      <c r="D543" s="9"/>
      <c r="E543" s="9"/>
      <c r="F543" s="44" t="s">
        <v>44</v>
      </c>
      <c r="G543" s="44"/>
      <c r="H543" s="44"/>
      <c r="I543" s="9"/>
      <c r="J543" s="45" t="s">
        <v>45</v>
      </c>
      <c r="K543" s="45"/>
      <c r="L543" s="45"/>
      <c r="M543" s="45"/>
      <c r="N543" s="9"/>
      <c r="O543" s="46" t="s">
        <v>46</v>
      </c>
      <c r="P543" s="46"/>
      <c r="Q543" s="46"/>
      <c r="R543" s="46"/>
      <c r="S543" s="9"/>
      <c r="T543" s="1" t="s">
        <v>49</v>
      </c>
      <c r="U543" s="10" t="s">
        <v>48</v>
      </c>
      <c r="V543" s="5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6"/>
    </row>
    <row r="544" spans="1:35" ht="15" customHeight="1" x14ac:dyDescent="0.25">
      <c r="A544" s="3"/>
      <c r="B544" s="42" t="str">
        <f>"0x"&amp;DEC2HEX(Sheet3!$I$4,8)</f>
        <v>0x00400320</v>
      </c>
      <c r="C544" s="42"/>
      <c r="D544" s="42"/>
      <c r="E544" s="12"/>
      <c r="F544" s="319" t="str">
        <f>"0x"&amp;BIN2HEX(CONCATENATE(C537,D537,E537,F537,G537,H537,I537,J537),2)&amp;BIN2HEX(CONCATENATE(K537,L537,M537,N537,O537,P537,Q537,R537),2)&amp;BIN2HEX(CONCATENATE(S537,T537,U537,V537,W537,X537,Y537,Z537),2)&amp;BIN2HEX(CONCATENATE(AA537,AB537,AC537,AD537,AE537,AF537,AG537,AH537),2)</f>
        <v>0x00000000</v>
      </c>
      <c r="G544" s="319"/>
      <c r="H544" s="319"/>
      <c r="I544" s="12"/>
      <c r="J544" s="319" t="str">
        <f>"0b"&amp;C541&amp;D541&amp;E541&amp;F541&amp;G541&amp;H541&amp;I541&amp;J541&amp;K541&amp;L541&amp;M541&amp;N541&amp;O541&amp;P541&amp;Q541</f>
        <v>0b000000000000100</v>
      </c>
      <c r="K544" s="319"/>
      <c r="L544" s="319"/>
      <c r="M544" s="319"/>
      <c r="N544" s="12"/>
      <c r="O544" s="319" t="str">
        <f>"0b"&amp;DEC2BIN(((AF541+AE541*2+AD541*4+AC541*8+AB541*16+AA541*32+Z541*64+Y541*128+X541*256+W541*512+V541*1024+U541*2048+T541*4096+S541*2^13+R541*2^14)/512),6)&amp;DEC2BIN(MOD((AF541+AE541*2+AD541*4+AC541*8+AB541*16+AA541*32+Z541*64+Y541*128+X541*256+W541*512+V541*1024+U541*2048+T541*4096+S541*2^13+R541*2^14),512),9)</f>
        <v>0b000000001100001</v>
      </c>
      <c r="P544" s="319"/>
      <c r="Q544" s="319"/>
      <c r="R544" s="319"/>
      <c r="S544" s="12"/>
      <c r="T544" s="13">
        <v>0</v>
      </c>
      <c r="U544" s="13">
        <f>AH541</f>
        <v>0</v>
      </c>
      <c r="V544" s="5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6"/>
    </row>
    <row r="545" spans="1:35" x14ac:dyDescent="0.25">
      <c r="A545" s="3"/>
      <c r="B545" s="42"/>
      <c r="C545" s="42"/>
      <c r="D545" s="42"/>
      <c r="E545" s="15"/>
      <c r="F545" s="43"/>
      <c r="G545" s="43"/>
      <c r="H545" s="43"/>
      <c r="I545" s="15"/>
      <c r="J545" s="42"/>
      <c r="K545" s="42"/>
      <c r="L545" s="42"/>
      <c r="M545" s="42"/>
      <c r="N545" s="15"/>
      <c r="O545" s="42"/>
      <c r="P545" s="42"/>
      <c r="Q545" s="42"/>
      <c r="R545" s="42"/>
      <c r="S545" s="15"/>
      <c r="T545" s="13"/>
      <c r="U545" s="15"/>
      <c r="V545" s="5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6"/>
    </row>
    <row r="546" spans="1:35" x14ac:dyDescent="0.25">
      <c r="A546" s="3"/>
      <c r="B546" s="42"/>
      <c r="C546" s="42"/>
      <c r="D546" s="42"/>
      <c r="E546" s="15"/>
      <c r="F546" s="43"/>
      <c r="G546" s="43"/>
      <c r="H546" s="43"/>
      <c r="I546" s="15"/>
      <c r="J546" s="42"/>
      <c r="K546" s="42"/>
      <c r="L546" s="42"/>
      <c r="M546" s="42"/>
      <c r="N546" s="15"/>
      <c r="O546" s="42"/>
      <c r="P546" s="42"/>
      <c r="Q546" s="42"/>
      <c r="R546" s="42"/>
      <c r="S546" s="15"/>
      <c r="T546" s="13"/>
      <c r="U546" s="15"/>
      <c r="V546" s="5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6"/>
    </row>
    <row r="547" spans="1:35" x14ac:dyDescent="0.25">
      <c r="A547" s="3"/>
      <c r="B547" s="5"/>
      <c r="C547" s="5"/>
      <c r="D547" s="5"/>
      <c r="E547" s="5"/>
      <c r="F547" s="17"/>
      <c r="G547" s="17"/>
      <c r="H547" s="17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6"/>
    </row>
    <row r="548" spans="1:35" x14ac:dyDescent="0.25">
      <c r="A548" s="3"/>
      <c r="B548" s="5" t="s">
        <v>47</v>
      </c>
      <c r="C548" s="18"/>
      <c r="D548" s="18"/>
      <c r="E548" s="18"/>
      <c r="F548" s="5"/>
      <c r="G548" s="5"/>
      <c r="H548" s="5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6"/>
    </row>
    <row r="549" spans="1:35" ht="15" customHeight="1" x14ac:dyDescent="0.25">
      <c r="A549" s="3"/>
      <c r="B549" s="42" t="str">
        <f>"0x"&amp;DEC2HEX(Sheet3!$I$4,8)</f>
        <v>0x00400320</v>
      </c>
      <c r="C549" s="42"/>
      <c r="D549" s="42"/>
      <c r="E549" s="16"/>
      <c r="F549" s="322" t="str">
        <f>F544&amp;BIN2HEX(MID(J544,3,8),2)&amp;BIN2HEX(RIGHT(J544,7)&amp;MID(O544,3,1),2)&amp;BIN2HEX(MID(O544,4,8),2)&amp;BIN2HEX(RIGHT(O544,6)&amp;T544&amp;U544,2)</f>
        <v>0x0000000000080184</v>
      </c>
      <c r="G549" s="322"/>
      <c r="H549" s="322"/>
      <c r="I549" s="322"/>
      <c r="J549" s="5"/>
      <c r="K549" s="5"/>
      <c r="L549" s="5"/>
      <c r="M549" s="5"/>
      <c r="N549" s="5"/>
      <c r="O549" s="5"/>
      <c r="P549" s="16"/>
      <c r="Q549" s="16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5"/>
      <c r="AH549" s="5"/>
      <c r="AI549" s="6"/>
    </row>
    <row r="550" spans="1:35" x14ac:dyDescent="0.25">
      <c r="A550" s="3"/>
      <c r="B550" s="37"/>
      <c r="C550" s="37"/>
      <c r="D550" s="37"/>
      <c r="E550" s="5"/>
      <c r="F550" s="38"/>
      <c r="G550" s="38"/>
      <c r="H550" s="38"/>
      <c r="I550" s="38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6"/>
    </row>
    <row r="551" spans="1:35" x14ac:dyDescent="0.25">
      <c r="A551" s="3"/>
      <c r="B551" s="37"/>
      <c r="C551" s="37"/>
      <c r="D551" s="37"/>
      <c r="E551" s="5"/>
      <c r="F551" s="38"/>
      <c r="G551" s="38"/>
      <c r="H551" s="38"/>
      <c r="I551" s="38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6"/>
    </row>
    <row r="552" spans="1:35" x14ac:dyDescent="0.25">
      <c r="A552" s="20"/>
      <c r="B552" s="21"/>
      <c r="C552" s="21"/>
      <c r="D552" s="21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2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3"/>
    </row>
    <row r="553" spans="1:35" x14ac:dyDescent="0.25">
      <c r="A553" s="24"/>
      <c r="B553" s="28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D553" s="25"/>
      <c r="AE553" s="25"/>
      <c r="AF553" s="25"/>
      <c r="AG553" s="25"/>
      <c r="AH553" s="25"/>
      <c r="AI553" s="26"/>
    </row>
    <row r="554" spans="1:35" x14ac:dyDescent="0.25">
      <c r="A554" s="3"/>
      <c r="B554" s="4" t="s">
        <v>156</v>
      </c>
      <c r="C554" s="5"/>
      <c r="D554" s="5"/>
      <c r="E554" s="5"/>
      <c r="F554" s="5"/>
      <c r="G554" s="5"/>
      <c r="H554" s="5"/>
      <c r="I554" s="5" t="str">
        <f>"0x"&amp;BIN2HEX(CONCATENATE(C559,D559,E559,F559,G559,H559,I559,J559),2)&amp;BIN2HEX(CONCATENATE(K559,L559,M559,N559,O559,P559,Q559,R559),2)&amp;BIN2HEX(CONCATENATE(S559,T559,U559,V559,W559,X559,Y559,Z559),2)&amp;BIN2HEX(CONCATENATE(AA559,AB559,AC559,AD559,AE559,AF559,AG559,AH559),2)&amp;"_"&amp;BIN2HEX(CONCATENATE(C563,D563,E563,F563,G563,H563,I563,J563),2)&amp;BIN2HEX(CONCATENATE(K563,L563,M563,N563,O563,P563,Q563,R563),2)&amp;BIN2HEX(CONCATENATE(S563,T563,U563,V563,W563,X563,Y563,Z563),2)&amp;BIN2HEX(CONCATENATE(AA563,AB563,AC563,AD563,AE563,AF563,AG563,AH563),2)</f>
        <v>0xFFFFFFFF_00080190</v>
      </c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6"/>
    </row>
    <row r="555" spans="1:35" ht="15.75" thickBot="1" x14ac:dyDescent="0.3">
      <c r="A555" s="3"/>
      <c r="B555" s="5"/>
      <c r="C555" s="7">
        <v>0</v>
      </c>
      <c r="D555" s="7">
        <v>1</v>
      </c>
      <c r="E555" s="7">
        <v>2</v>
      </c>
      <c r="F555" s="7">
        <v>3</v>
      </c>
      <c r="G555" s="7">
        <v>4</v>
      </c>
      <c r="H555" s="7">
        <v>5</v>
      </c>
      <c r="I555" s="7">
        <v>6</v>
      </c>
      <c r="J555" s="7">
        <v>7</v>
      </c>
      <c r="K555" s="7">
        <v>8</v>
      </c>
      <c r="L555" s="7">
        <v>9</v>
      </c>
      <c r="M555" s="7">
        <v>10</v>
      </c>
      <c r="N555" s="7">
        <v>11</v>
      </c>
      <c r="O555" s="7">
        <v>12</v>
      </c>
      <c r="P555" s="7">
        <v>13</v>
      </c>
      <c r="Q555" s="7">
        <v>14</v>
      </c>
      <c r="R555" s="7">
        <v>15</v>
      </c>
      <c r="S555" s="7">
        <v>16</v>
      </c>
      <c r="T555" s="7">
        <v>17</v>
      </c>
      <c r="U555" s="7">
        <v>18</v>
      </c>
      <c r="V555" s="7">
        <v>19</v>
      </c>
      <c r="W555" s="7">
        <v>20</v>
      </c>
      <c r="X555" s="7">
        <v>21</v>
      </c>
      <c r="Y555" s="7">
        <v>22</v>
      </c>
      <c r="Z555" s="7">
        <v>23</v>
      </c>
      <c r="AA555" s="7">
        <v>24</v>
      </c>
      <c r="AB555" s="7">
        <v>25</v>
      </c>
      <c r="AC555" s="7">
        <v>26</v>
      </c>
      <c r="AD555" s="7">
        <v>27</v>
      </c>
      <c r="AE555" s="7">
        <v>28</v>
      </c>
      <c r="AF555" s="7">
        <v>29</v>
      </c>
      <c r="AG555" s="7">
        <v>30</v>
      </c>
      <c r="AH555" s="7">
        <v>31</v>
      </c>
      <c r="AI555" s="6"/>
    </row>
    <row r="556" spans="1:35" ht="15" customHeight="1" x14ac:dyDescent="0.25">
      <c r="A556" s="3"/>
      <c r="B556" s="5" t="s">
        <v>31</v>
      </c>
      <c r="C556" s="354" t="s">
        <v>143</v>
      </c>
      <c r="D556" s="331"/>
      <c r="E556" s="331"/>
      <c r="F556" s="331"/>
      <c r="G556" s="331"/>
      <c r="H556" s="331"/>
      <c r="I556" s="331"/>
      <c r="J556" s="331"/>
      <c r="K556" s="331"/>
      <c r="L556" s="331"/>
      <c r="M556" s="331"/>
      <c r="N556" s="331"/>
      <c r="O556" s="331"/>
      <c r="P556" s="331"/>
      <c r="Q556" s="331"/>
      <c r="R556" s="331"/>
      <c r="S556" s="331"/>
      <c r="T556" s="331"/>
      <c r="U556" s="331"/>
      <c r="V556" s="331"/>
      <c r="W556" s="331"/>
      <c r="X556" s="331"/>
      <c r="Y556" s="331"/>
      <c r="Z556" s="331"/>
      <c r="AA556" s="331"/>
      <c r="AB556" s="331"/>
      <c r="AC556" s="331"/>
      <c r="AD556" s="331"/>
      <c r="AE556" s="331"/>
      <c r="AF556" s="331"/>
      <c r="AG556" s="331"/>
      <c r="AH556" s="355"/>
      <c r="AI556" s="6"/>
    </row>
    <row r="557" spans="1:35" x14ac:dyDescent="0.25">
      <c r="A557" s="3"/>
      <c r="B557" s="5" t="s">
        <v>32</v>
      </c>
      <c r="C557" s="356"/>
      <c r="D557" s="334"/>
      <c r="E557" s="334"/>
      <c r="F557" s="334"/>
      <c r="G557" s="334"/>
      <c r="H557" s="334"/>
      <c r="I557" s="334"/>
      <c r="J557" s="334"/>
      <c r="K557" s="334"/>
      <c r="L557" s="334"/>
      <c r="M557" s="334"/>
      <c r="N557" s="334"/>
      <c r="O557" s="334"/>
      <c r="P557" s="334"/>
      <c r="Q557" s="334"/>
      <c r="R557" s="334"/>
      <c r="S557" s="334"/>
      <c r="T557" s="334"/>
      <c r="U557" s="334"/>
      <c r="V557" s="334"/>
      <c r="W557" s="334"/>
      <c r="X557" s="334"/>
      <c r="Y557" s="334"/>
      <c r="Z557" s="334"/>
      <c r="AA557" s="334"/>
      <c r="AB557" s="334"/>
      <c r="AC557" s="334"/>
      <c r="AD557" s="334"/>
      <c r="AE557" s="334"/>
      <c r="AF557" s="334"/>
      <c r="AG557" s="334"/>
      <c r="AH557" s="357"/>
      <c r="AI557" s="6"/>
    </row>
    <row r="558" spans="1:35" x14ac:dyDescent="0.25">
      <c r="A558" s="3"/>
      <c r="B558" s="5" t="s">
        <v>11</v>
      </c>
      <c r="C558" s="56">
        <v>1</v>
      </c>
      <c r="D558" s="57">
        <v>1</v>
      </c>
      <c r="E558" s="57">
        <v>1</v>
      </c>
      <c r="F558" s="57">
        <v>1</v>
      </c>
      <c r="G558" s="57">
        <v>1</v>
      </c>
      <c r="H558" s="57">
        <v>1</v>
      </c>
      <c r="I558" s="57">
        <v>1</v>
      </c>
      <c r="J558" s="57">
        <v>1</v>
      </c>
      <c r="K558" s="57">
        <v>1</v>
      </c>
      <c r="L558" s="57">
        <v>1</v>
      </c>
      <c r="M558" s="57">
        <v>1</v>
      </c>
      <c r="N558" s="57">
        <v>1</v>
      </c>
      <c r="O558" s="57">
        <v>1</v>
      </c>
      <c r="P558" s="57">
        <v>1</v>
      </c>
      <c r="Q558" s="57">
        <v>1</v>
      </c>
      <c r="R558" s="57">
        <v>1</v>
      </c>
      <c r="S558" s="57">
        <v>1</v>
      </c>
      <c r="T558" s="57">
        <v>1</v>
      </c>
      <c r="U558" s="57">
        <v>1</v>
      </c>
      <c r="V558" s="57">
        <v>1</v>
      </c>
      <c r="W558" s="57">
        <v>1</v>
      </c>
      <c r="X558" s="57">
        <v>1</v>
      </c>
      <c r="Y558" s="57">
        <v>1</v>
      </c>
      <c r="Z558" s="57">
        <v>1</v>
      </c>
      <c r="AA558" s="57">
        <v>1</v>
      </c>
      <c r="AB558" s="57">
        <v>1</v>
      </c>
      <c r="AC558" s="57">
        <v>1</v>
      </c>
      <c r="AD558" s="57">
        <v>1</v>
      </c>
      <c r="AE558" s="57">
        <v>1</v>
      </c>
      <c r="AF558" s="57">
        <v>1</v>
      </c>
      <c r="AG558" s="57">
        <v>1</v>
      </c>
      <c r="AH558" s="58">
        <v>1</v>
      </c>
      <c r="AI558" s="6"/>
    </row>
    <row r="559" spans="1:35" ht="15.75" thickBot="1" x14ac:dyDescent="0.3">
      <c r="A559" s="3"/>
      <c r="B559" s="5" t="s">
        <v>12</v>
      </c>
      <c r="C559" s="145">
        <v>1</v>
      </c>
      <c r="D559" s="88">
        <v>1</v>
      </c>
      <c r="E559" s="88">
        <v>1</v>
      </c>
      <c r="F559" s="88">
        <v>1</v>
      </c>
      <c r="G559" s="88">
        <v>1</v>
      </c>
      <c r="H559" s="88">
        <v>1</v>
      </c>
      <c r="I559" s="88">
        <v>1</v>
      </c>
      <c r="J559" s="88">
        <v>1</v>
      </c>
      <c r="K559" s="88">
        <v>1</v>
      </c>
      <c r="L559" s="88">
        <v>1</v>
      </c>
      <c r="M559" s="88">
        <v>1</v>
      </c>
      <c r="N559" s="88">
        <v>1</v>
      </c>
      <c r="O559" s="88">
        <v>1</v>
      </c>
      <c r="P559" s="88">
        <v>1</v>
      </c>
      <c r="Q559" s="88">
        <v>1</v>
      </c>
      <c r="R559" s="88">
        <v>1</v>
      </c>
      <c r="S559" s="88">
        <v>1</v>
      </c>
      <c r="T559" s="88">
        <v>1</v>
      </c>
      <c r="U559" s="88">
        <v>1</v>
      </c>
      <c r="V559" s="88">
        <v>1</v>
      </c>
      <c r="W559" s="88">
        <v>1</v>
      </c>
      <c r="X559" s="88">
        <v>1</v>
      </c>
      <c r="Y559" s="88">
        <v>1</v>
      </c>
      <c r="Z559" s="88">
        <v>1</v>
      </c>
      <c r="AA559" s="88">
        <v>1</v>
      </c>
      <c r="AB559" s="88">
        <v>1</v>
      </c>
      <c r="AC559" s="88">
        <v>1</v>
      </c>
      <c r="AD559" s="88">
        <v>1</v>
      </c>
      <c r="AE559" s="88">
        <v>1</v>
      </c>
      <c r="AF559" s="88">
        <v>1</v>
      </c>
      <c r="AG559" s="88">
        <v>1</v>
      </c>
      <c r="AH559" s="89">
        <v>1</v>
      </c>
      <c r="AI559" s="6"/>
    </row>
    <row r="560" spans="1:35" x14ac:dyDescent="0.25">
      <c r="A560" s="3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6"/>
    </row>
    <row r="561" spans="1:35" ht="15.75" thickBot="1" x14ac:dyDescent="0.3">
      <c r="A561" s="3"/>
      <c r="B561" s="5"/>
      <c r="C561" s="7">
        <v>32</v>
      </c>
      <c r="D561" s="7">
        <v>33</v>
      </c>
      <c r="E561" s="7">
        <v>34</v>
      </c>
      <c r="F561" s="7">
        <v>35</v>
      </c>
      <c r="G561" s="7">
        <v>36</v>
      </c>
      <c r="H561" s="7">
        <v>37</v>
      </c>
      <c r="I561" s="7">
        <v>38</v>
      </c>
      <c r="J561" s="7">
        <v>39</v>
      </c>
      <c r="K561" s="7">
        <v>40</v>
      </c>
      <c r="L561" s="7">
        <v>41</v>
      </c>
      <c r="M561" s="7">
        <v>42</v>
      </c>
      <c r="N561" s="7">
        <v>43</v>
      </c>
      <c r="O561" s="7">
        <v>44</v>
      </c>
      <c r="P561" s="7">
        <v>45</v>
      </c>
      <c r="Q561" s="7">
        <v>46</v>
      </c>
      <c r="R561" s="7">
        <v>47</v>
      </c>
      <c r="S561" s="7">
        <v>48</v>
      </c>
      <c r="T561" s="7">
        <v>49</v>
      </c>
      <c r="U561" s="7">
        <v>50</v>
      </c>
      <c r="V561" s="7">
        <v>51</v>
      </c>
      <c r="W561" s="7">
        <v>52</v>
      </c>
      <c r="X561" s="7">
        <v>53</v>
      </c>
      <c r="Y561" s="7">
        <v>54</v>
      </c>
      <c r="Z561" s="7">
        <v>55</v>
      </c>
      <c r="AA561" s="7">
        <v>56</v>
      </c>
      <c r="AB561" s="7">
        <v>57</v>
      </c>
      <c r="AC561" s="7">
        <v>58</v>
      </c>
      <c r="AD561" s="7">
        <v>59</v>
      </c>
      <c r="AE561" s="7">
        <v>60</v>
      </c>
      <c r="AF561" s="7">
        <v>61</v>
      </c>
      <c r="AG561" s="7">
        <v>62</v>
      </c>
      <c r="AH561" s="7">
        <v>63</v>
      </c>
      <c r="AI561" s="6"/>
    </row>
    <row r="562" spans="1:35" ht="15.75" thickBot="1" x14ac:dyDescent="0.3">
      <c r="A562" s="3"/>
      <c r="B562" s="5"/>
      <c r="C562" s="147" t="s">
        <v>13</v>
      </c>
      <c r="D562" s="148" t="s">
        <v>14</v>
      </c>
      <c r="E562" s="148" t="s">
        <v>15</v>
      </c>
      <c r="F562" s="148" t="s">
        <v>16</v>
      </c>
      <c r="G562" s="148" t="s">
        <v>17</v>
      </c>
      <c r="H562" s="148" t="s">
        <v>18</v>
      </c>
      <c r="I562" s="148" t="s">
        <v>19</v>
      </c>
      <c r="J562" s="148" t="s">
        <v>20</v>
      </c>
      <c r="K562" s="148" t="s">
        <v>21</v>
      </c>
      <c r="L562" s="148" t="s">
        <v>22</v>
      </c>
      <c r="M562" s="148" t="s">
        <v>23</v>
      </c>
      <c r="N562" s="148" t="s">
        <v>24</v>
      </c>
      <c r="O562" s="148" t="s">
        <v>25</v>
      </c>
      <c r="P562" s="148" t="s">
        <v>26</v>
      </c>
      <c r="Q562" s="148" t="s">
        <v>27</v>
      </c>
      <c r="R562" s="342" t="s">
        <v>30</v>
      </c>
      <c r="S562" s="343"/>
      <c r="T562" s="343"/>
      <c r="U562" s="343"/>
      <c r="V562" s="343"/>
      <c r="W562" s="343"/>
      <c r="X562" s="343"/>
      <c r="Y562" s="343"/>
      <c r="Z562" s="343"/>
      <c r="AA562" s="343"/>
      <c r="AB562" s="343"/>
      <c r="AC562" s="343"/>
      <c r="AD562" s="343"/>
      <c r="AE562" s="343"/>
      <c r="AF562" s="344"/>
      <c r="AG562" s="67" t="s">
        <v>28</v>
      </c>
      <c r="AH562" s="149" t="s">
        <v>29</v>
      </c>
      <c r="AI562" s="6"/>
    </row>
    <row r="563" spans="1:35" ht="15.75" thickBot="1" x14ac:dyDescent="0.3">
      <c r="A563" s="3"/>
      <c r="B563" s="5"/>
      <c r="C563" s="150">
        <v>0</v>
      </c>
      <c r="D563" s="151">
        <v>0</v>
      </c>
      <c r="E563" s="151">
        <v>0</v>
      </c>
      <c r="F563" s="151">
        <v>0</v>
      </c>
      <c r="G563" s="151">
        <v>0</v>
      </c>
      <c r="H563" s="151">
        <v>0</v>
      </c>
      <c r="I563" s="151">
        <v>0</v>
      </c>
      <c r="J563" s="151">
        <v>0</v>
      </c>
      <c r="K563" s="151">
        <v>0</v>
      </c>
      <c r="L563" s="151">
        <v>0</v>
      </c>
      <c r="M563" s="151">
        <v>0</v>
      </c>
      <c r="N563" s="151">
        <v>0</v>
      </c>
      <c r="O563" s="151">
        <v>1</v>
      </c>
      <c r="P563" s="151">
        <v>0</v>
      </c>
      <c r="Q563" s="151">
        <v>0</v>
      </c>
      <c r="R563" s="151">
        <v>0</v>
      </c>
      <c r="S563" s="151">
        <v>0</v>
      </c>
      <c r="T563" s="151">
        <v>0</v>
      </c>
      <c r="U563" s="151">
        <v>0</v>
      </c>
      <c r="V563" s="151">
        <v>0</v>
      </c>
      <c r="W563" s="151">
        <v>0</v>
      </c>
      <c r="X563" s="151">
        <v>0</v>
      </c>
      <c r="Y563" s="151">
        <v>0</v>
      </c>
      <c r="Z563" s="151">
        <v>1</v>
      </c>
      <c r="AA563" s="151">
        <v>1</v>
      </c>
      <c r="AB563" s="151">
        <v>0</v>
      </c>
      <c r="AC563" s="151">
        <v>0</v>
      </c>
      <c r="AD563" s="151">
        <v>1</v>
      </c>
      <c r="AE563" s="151">
        <v>0</v>
      </c>
      <c r="AF563" s="151">
        <v>0</v>
      </c>
      <c r="AG563" s="151">
        <v>0</v>
      </c>
      <c r="AH563" s="152">
        <v>0</v>
      </c>
      <c r="AI563" s="6"/>
    </row>
    <row r="564" spans="1:35" x14ac:dyDescent="0.25">
      <c r="A564" s="3"/>
      <c r="B564" s="4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6"/>
    </row>
    <row r="565" spans="1:35" x14ac:dyDescent="0.25">
      <c r="A565" s="3"/>
      <c r="B565" s="8" t="s">
        <v>43</v>
      </c>
      <c r="C565" s="9"/>
      <c r="D565" s="9"/>
      <c r="E565" s="9"/>
      <c r="F565" s="44" t="s">
        <v>44</v>
      </c>
      <c r="G565" s="44"/>
      <c r="H565" s="44"/>
      <c r="I565" s="9"/>
      <c r="J565" s="45" t="s">
        <v>45</v>
      </c>
      <c r="K565" s="45"/>
      <c r="L565" s="45"/>
      <c r="M565" s="45"/>
      <c r="N565" s="9"/>
      <c r="O565" s="46" t="s">
        <v>46</v>
      </c>
      <c r="P565" s="46"/>
      <c r="Q565" s="46"/>
      <c r="R565" s="46"/>
      <c r="S565" s="9"/>
      <c r="T565" s="1" t="s">
        <v>49</v>
      </c>
      <c r="U565" s="10" t="s">
        <v>48</v>
      </c>
      <c r="V565" s="5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6"/>
    </row>
    <row r="566" spans="1:35" ht="15" customHeight="1" x14ac:dyDescent="0.25">
      <c r="A566" s="3"/>
      <c r="B566" s="42" t="str">
        <f>"0x"&amp;DEC2HEX(Sheet3!$I$4,8)</f>
        <v>0x00400320</v>
      </c>
      <c r="C566" s="42"/>
      <c r="D566" s="42"/>
      <c r="E566" s="12"/>
      <c r="F566" s="319" t="str">
        <f>"0x"&amp;BIN2HEX(CONCATENATE(C559,D559,E559,F559,G559,H559,I559,J559),2)&amp;BIN2HEX(CONCATENATE(K559,L559,M559,N559,O559,P559,Q559,R559),2)&amp;BIN2HEX(CONCATENATE(S559,T559,U559,V559,W559,X559,Y559,Z559),2)&amp;BIN2HEX(CONCATENATE(AA559,AB559,AC559,AD559,AE559,AF559,AG559,AH559),2)</f>
        <v>0xFFFFFFFF</v>
      </c>
      <c r="G566" s="319"/>
      <c r="H566" s="319"/>
      <c r="I566" s="12"/>
      <c r="J566" s="319" t="str">
        <f>"0b"&amp;C563&amp;D563&amp;E563&amp;F563&amp;G563&amp;H563&amp;I563&amp;J563&amp;K563&amp;L563&amp;M563&amp;N563&amp;O563&amp;P563&amp;Q563</f>
        <v>0b000000000000100</v>
      </c>
      <c r="K566" s="319"/>
      <c r="L566" s="319"/>
      <c r="M566" s="319"/>
      <c r="N566" s="12"/>
      <c r="O566" s="319" t="str">
        <f>"0b"&amp;DEC2BIN(((AF563+AE563*2+AD563*4+AC563*8+AB563*16+AA563*32+Z563*64+Y563*128+X563*256+W563*512+V563*1024+U563*2048+T563*4096+S563*2^13+R563*2^14)/512),6)&amp;DEC2BIN(MOD((AF563+AE563*2+AD563*4+AC563*8+AB563*16+AA563*32+Z563*64+Y563*128+X563*256+W563*512+V563*1024+U563*2048+T563*4096+S563*2^13+R563*2^14),512),9)</f>
        <v>0b000000001100100</v>
      </c>
      <c r="P566" s="319"/>
      <c r="Q566" s="319"/>
      <c r="R566" s="319"/>
      <c r="S566" s="12"/>
      <c r="T566" s="13">
        <v>0</v>
      </c>
      <c r="U566" s="13">
        <f>AH563</f>
        <v>0</v>
      </c>
      <c r="V566" s="5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6"/>
    </row>
    <row r="567" spans="1:35" x14ac:dyDescent="0.25">
      <c r="A567" s="3"/>
      <c r="B567" s="42"/>
      <c r="C567" s="42"/>
      <c r="D567" s="42"/>
      <c r="E567" s="15"/>
      <c r="F567" s="43"/>
      <c r="G567" s="43"/>
      <c r="H567" s="43"/>
      <c r="I567" s="15"/>
      <c r="J567" s="42"/>
      <c r="K567" s="42"/>
      <c r="L567" s="42"/>
      <c r="M567" s="42"/>
      <c r="N567" s="15"/>
      <c r="O567" s="42"/>
      <c r="P567" s="42"/>
      <c r="Q567" s="42"/>
      <c r="R567" s="42"/>
      <c r="S567" s="15"/>
      <c r="T567" s="13"/>
      <c r="U567" s="15"/>
      <c r="V567" s="5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6"/>
    </row>
    <row r="568" spans="1:35" x14ac:dyDescent="0.25">
      <c r="A568" s="3"/>
      <c r="B568" s="42"/>
      <c r="C568" s="42"/>
      <c r="D568" s="42"/>
      <c r="E568" s="15"/>
      <c r="F568" s="43"/>
      <c r="G568" s="43"/>
      <c r="H568" s="43"/>
      <c r="I568" s="15"/>
      <c r="J568" s="42"/>
      <c r="K568" s="42"/>
      <c r="L568" s="42"/>
      <c r="M568" s="42"/>
      <c r="N568" s="15"/>
      <c r="O568" s="42"/>
      <c r="P568" s="42"/>
      <c r="Q568" s="42"/>
      <c r="R568" s="42"/>
      <c r="S568" s="15"/>
      <c r="T568" s="13"/>
      <c r="U568" s="15"/>
      <c r="V568" s="5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6"/>
    </row>
    <row r="569" spans="1:35" x14ac:dyDescent="0.25">
      <c r="A569" s="3"/>
      <c r="B569" s="5"/>
      <c r="C569" s="5"/>
      <c r="D569" s="5"/>
      <c r="E569" s="5"/>
      <c r="F569" s="17"/>
      <c r="G569" s="17"/>
      <c r="H569" s="17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6"/>
    </row>
    <row r="570" spans="1:35" x14ac:dyDescent="0.25">
      <c r="A570" s="3"/>
      <c r="B570" s="5" t="s">
        <v>47</v>
      </c>
      <c r="C570" s="18"/>
      <c r="D570" s="18"/>
      <c r="E570" s="18"/>
      <c r="F570" s="5"/>
      <c r="G570" s="5"/>
      <c r="H570" s="5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6"/>
    </row>
    <row r="571" spans="1:35" ht="15" customHeight="1" x14ac:dyDescent="0.25">
      <c r="A571" s="3"/>
      <c r="B571" s="42" t="str">
        <f>"0x"&amp;DEC2HEX(Sheet3!$I$4,8)</f>
        <v>0x00400320</v>
      </c>
      <c r="C571" s="42"/>
      <c r="D571" s="42"/>
      <c r="E571" s="16"/>
      <c r="F571" s="322" t="str">
        <f>F566&amp;BIN2HEX(MID(J566,3,8),2)&amp;BIN2HEX(RIGHT(J566,7)&amp;MID(O566,3,1),2)&amp;BIN2HEX(MID(O566,4,8),2)&amp;BIN2HEX(RIGHT(O566,6)&amp;T566&amp;U566,2)</f>
        <v>0xFFFFFFFF00080190</v>
      </c>
      <c r="G571" s="322"/>
      <c r="H571" s="322"/>
      <c r="I571" s="322"/>
      <c r="J571" s="5"/>
      <c r="K571" s="5"/>
      <c r="L571" s="5"/>
      <c r="M571" s="5"/>
      <c r="N571" s="5"/>
      <c r="O571" s="5"/>
      <c r="P571" s="16"/>
      <c r="Q571" s="16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5"/>
      <c r="AH571" s="5"/>
      <c r="AI571" s="6"/>
    </row>
    <row r="572" spans="1:35" x14ac:dyDescent="0.25">
      <c r="A572" s="3"/>
      <c r="B572" s="37"/>
      <c r="C572" s="37"/>
      <c r="D572" s="37"/>
      <c r="E572" s="5"/>
      <c r="F572" s="38"/>
      <c r="G572" s="38"/>
      <c r="H572" s="38"/>
      <c r="I572" s="38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6"/>
    </row>
    <row r="573" spans="1:35" x14ac:dyDescent="0.25">
      <c r="A573" s="3"/>
      <c r="B573" s="37"/>
      <c r="C573" s="37"/>
      <c r="D573" s="37"/>
      <c r="E573" s="5"/>
      <c r="F573" s="38"/>
      <c r="G573" s="38"/>
      <c r="H573" s="38"/>
      <c r="I573" s="38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6"/>
    </row>
    <row r="574" spans="1:35" x14ac:dyDescent="0.25">
      <c r="A574" s="20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2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3"/>
    </row>
    <row r="575" spans="1:35" x14ac:dyDescent="0.25">
      <c r="A575" s="24"/>
      <c r="B575" s="28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D575" s="25"/>
      <c r="AE575" s="25"/>
      <c r="AF575" s="25"/>
      <c r="AG575" s="25"/>
      <c r="AH575" s="25"/>
      <c r="AI575" s="26"/>
    </row>
    <row r="576" spans="1:35" x14ac:dyDescent="0.25">
      <c r="A576" s="3"/>
      <c r="B576" s="4" t="s">
        <v>157</v>
      </c>
      <c r="C576" s="5"/>
      <c r="D576" s="5"/>
      <c r="E576" s="5"/>
      <c r="F576" s="5"/>
      <c r="G576" s="5"/>
      <c r="H576" s="5"/>
      <c r="I576" s="5" t="str">
        <f>"0x"&amp;BIN2HEX(CONCATENATE(C581,D581,E581,F581,G581,H581,I581,J581),2)&amp;BIN2HEX(CONCATENATE(K581,L581,M581,N581,O581,P581,Q581,R581),2)&amp;BIN2HEX(CONCATENATE(S581,T581,U581,V581,W581,X581,Y581,Z581),2)&amp;BIN2HEX(CONCATENATE(AA581,AB581,AC581,AD581,AE581,AF581,AG581,AH581),2)&amp;"_"&amp;BIN2HEX(CONCATENATE(C585,D585,E585,F585,G585,H585,I585,J585),2)&amp;BIN2HEX(CONCATENATE(K585,L585,M585,N585,O585,P585,Q585,R585),2)&amp;BIN2HEX(CONCATENATE(S585,T585,U585,V585,W585,X585,Y585,Z585),2)&amp;BIN2HEX(CONCATENATE(AA585,AB585,AC585,AD585,AE585,AF585,AG585,AH585),2)</f>
        <v>0xFFFFFFFF_00080194</v>
      </c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6"/>
    </row>
    <row r="577" spans="1:35" ht="15.75" thickBot="1" x14ac:dyDescent="0.3">
      <c r="A577" s="3"/>
      <c r="B577" s="5"/>
      <c r="C577" s="7">
        <v>0</v>
      </c>
      <c r="D577" s="7">
        <v>1</v>
      </c>
      <c r="E577" s="7">
        <v>2</v>
      </c>
      <c r="F577" s="7">
        <v>3</v>
      </c>
      <c r="G577" s="7">
        <v>4</v>
      </c>
      <c r="H577" s="7">
        <v>5</v>
      </c>
      <c r="I577" s="7">
        <v>6</v>
      </c>
      <c r="J577" s="7">
        <v>7</v>
      </c>
      <c r="K577" s="7">
        <v>8</v>
      </c>
      <c r="L577" s="7">
        <v>9</v>
      </c>
      <c r="M577" s="7">
        <v>10</v>
      </c>
      <c r="N577" s="7">
        <v>11</v>
      </c>
      <c r="O577" s="7">
        <v>12</v>
      </c>
      <c r="P577" s="7">
        <v>13</v>
      </c>
      <c r="Q577" s="7">
        <v>14</v>
      </c>
      <c r="R577" s="7">
        <v>15</v>
      </c>
      <c r="S577" s="7">
        <v>16</v>
      </c>
      <c r="T577" s="7">
        <v>17</v>
      </c>
      <c r="U577" s="7">
        <v>18</v>
      </c>
      <c r="V577" s="7">
        <v>19</v>
      </c>
      <c r="W577" s="7">
        <v>20</v>
      </c>
      <c r="X577" s="7">
        <v>21</v>
      </c>
      <c r="Y577" s="7">
        <v>22</v>
      </c>
      <c r="Z577" s="7">
        <v>23</v>
      </c>
      <c r="AA577" s="7">
        <v>24</v>
      </c>
      <c r="AB577" s="7">
        <v>25</v>
      </c>
      <c r="AC577" s="7">
        <v>26</v>
      </c>
      <c r="AD577" s="7">
        <v>27</v>
      </c>
      <c r="AE577" s="7">
        <v>28</v>
      </c>
      <c r="AF577" s="7">
        <v>29</v>
      </c>
      <c r="AG577" s="7">
        <v>30</v>
      </c>
      <c r="AH577" s="7">
        <v>31</v>
      </c>
      <c r="AI577" s="6"/>
    </row>
    <row r="578" spans="1:35" ht="15" customHeight="1" x14ac:dyDescent="0.25">
      <c r="A578" s="3"/>
      <c r="B578" s="5" t="s">
        <v>31</v>
      </c>
      <c r="C578" s="354" t="s">
        <v>143</v>
      </c>
      <c r="D578" s="331"/>
      <c r="E578" s="331"/>
      <c r="F578" s="331"/>
      <c r="G578" s="331"/>
      <c r="H578" s="331"/>
      <c r="I578" s="331"/>
      <c r="J578" s="331"/>
      <c r="K578" s="331"/>
      <c r="L578" s="331"/>
      <c r="M578" s="331"/>
      <c r="N578" s="331"/>
      <c r="O578" s="331"/>
      <c r="P578" s="331"/>
      <c r="Q578" s="331"/>
      <c r="R578" s="331"/>
      <c r="S578" s="331"/>
      <c r="T578" s="331"/>
      <c r="U578" s="331"/>
      <c r="V578" s="331"/>
      <c r="W578" s="331"/>
      <c r="X578" s="331"/>
      <c r="Y578" s="331"/>
      <c r="Z578" s="331"/>
      <c r="AA578" s="331"/>
      <c r="AB578" s="331"/>
      <c r="AC578" s="331"/>
      <c r="AD578" s="331"/>
      <c r="AE578" s="331"/>
      <c r="AF578" s="331"/>
      <c r="AG578" s="331"/>
      <c r="AH578" s="355"/>
      <c r="AI578" s="6"/>
    </row>
    <row r="579" spans="1:35" x14ac:dyDescent="0.25">
      <c r="A579" s="3"/>
      <c r="B579" s="5" t="s">
        <v>32</v>
      </c>
      <c r="C579" s="356"/>
      <c r="D579" s="334"/>
      <c r="E579" s="334"/>
      <c r="F579" s="334"/>
      <c r="G579" s="334"/>
      <c r="H579" s="334"/>
      <c r="I579" s="334"/>
      <c r="J579" s="334"/>
      <c r="K579" s="334"/>
      <c r="L579" s="334"/>
      <c r="M579" s="334"/>
      <c r="N579" s="334"/>
      <c r="O579" s="334"/>
      <c r="P579" s="334"/>
      <c r="Q579" s="334"/>
      <c r="R579" s="334"/>
      <c r="S579" s="334"/>
      <c r="T579" s="334"/>
      <c r="U579" s="334"/>
      <c r="V579" s="334"/>
      <c r="W579" s="334"/>
      <c r="X579" s="334"/>
      <c r="Y579" s="334"/>
      <c r="Z579" s="334"/>
      <c r="AA579" s="334"/>
      <c r="AB579" s="334"/>
      <c r="AC579" s="334"/>
      <c r="AD579" s="334"/>
      <c r="AE579" s="334"/>
      <c r="AF579" s="334"/>
      <c r="AG579" s="334"/>
      <c r="AH579" s="357"/>
      <c r="AI579" s="6"/>
    </row>
    <row r="580" spans="1:35" x14ac:dyDescent="0.25">
      <c r="A580" s="3"/>
      <c r="B580" s="5" t="s">
        <v>11</v>
      </c>
      <c r="C580" s="56">
        <v>1</v>
      </c>
      <c r="D580" s="57">
        <v>1</v>
      </c>
      <c r="E580" s="57">
        <v>1</v>
      </c>
      <c r="F580" s="57">
        <v>1</v>
      </c>
      <c r="G580" s="57">
        <v>1</v>
      </c>
      <c r="H580" s="57">
        <v>1</v>
      </c>
      <c r="I580" s="57">
        <v>1</v>
      </c>
      <c r="J580" s="57">
        <v>1</v>
      </c>
      <c r="K580" s="57">
        <v>1</v>
      </c>
      <c r="L580" s="57">
        <v>1</v>
      </c>
      <c r="M580" s="57">
        <v>1</v>
      </c>
      <c r="N580" s="57">
        <v>1</v>
      </c>
      <c r="O580" s="57">
        <v>1</v>
      </c>
      <c r="P580" s="57">
        <v>1</v>
      </c>
      <c r="Q580" s="57">
        <v>1</v>
      </c>
      <c r="R580" s="57">
        <v>1</v>
      </c>
      <c r="S580" s="57">
        <v>1</v>
      </c>
      <c r="T580" s="57">
        <v>1</v>
      </c>
      <c r="U580" s="57">
        <v>1</v>
      </c>
      <c r="V580" s="57">
        <v>1</v>
      </c>
      <c r="W580" s="57">
        <v>1</v>
      </c>
      <c r="X580" s="57">
        <v>1</v>
      </c>
      <c r="Y580" s="57">
        <v>1</v>
      </c>
      <c r="Z580" s="57">
        <v>1</v>
      </c>
      <c r="AA580" s="57">
        <v>1</v>
      </c>
      <c r="AB580" s="57">
        <v>1</v>
      </c>
      <c r="AC580" s="57">
        <v>1</v>
      </c>
      <c r="AD580" s="57">
        <v>1</v>
      </c>
      <c r="AE580" s="57">
        <v>1</v>
      </c>
      <c r="AF580" s="57">
        <v>1</v>
      </c>
      <c r="AG580" s="57">
        <v>1</v>
      </c>
      <c r="AH580" s="58">
        <v>1</v>
      </c>
      <c r="AI580" s="6"/>
    </row>
    <row r="581" spans="1:35" ht="15.75" thickBot="1" x14ac:dyDescent="0.3">
      <c r="A581" s="3"/>
      <c r="B581" s="5" t="s">
        <v>12</v>
      </c>
      <c r="C581" s="145">
        <v>1</v>
      </c>
      <c r="D581" s="88">
        <v>1</v>
      </c>
      <c r="E581" s="88">
        <v>1</v>
      </c>
      <c r="F581" s="88">
        <v>1</v>
      </c>
      <c r="G581" s="88">
        <v>1</v>
      </c>
      <c r="H581" s="88">
        <v>1</v>
      </c>
      <c r="I581" s="88">
        <v>1</v>
      </c>
      <c r="J581" s="88">
        <v>1</v>
      </c>
      <c r="K581" s="88">
        <v>1</v>
      </c>
      <c r="L581" s="88">
        <v>1</v>
      </c>
      <c r="M581" s="88">
        <v>1</v>
      </c>
      <c r="N581" s="88">
        <v>1</v>
      </c>
      <c r="O581" s="88">
        <v>1</v>
      </c>
      <c r="P581" s="88">
        <v>1</v>
      </c>
      <c r="Q581" s="88">
        <v>1</v>
      </c>
      <c r="R581" s="88">
        <v>1</v>
      </c>
      <c r="S581" s="88">
        <v>1</v>
      </c>
      <c r="T581" s="88">
        <v>1</v>
      </c>
      <c r="U581" s="88">
        <v>1</v>
      </c>
      <c r="V581" s="88">
        <v>1</v>
      </c>
      <c r="W581" s="88">
        <v>1</v>
      </c>
      <c r="X581" s="88">
        <v>1</v>
      </c>
      <c r="Y581" s="88">
        <v>1</v>
      </c>
      <c r="Z581" s="88">
        <v>1</v>
      </c>
      <c r="AA581" s="88">
        <v>1</v>
      </c>
      <c r="AB581" s="88">
        <v>1</v>
      </c>
      <c r="AC581" s="88">
        <v>1</v>
      </c>
      <c r="AD581" s="88">
        <v>1</v>
      </c>
      <c r="AE581" s="88">
        <v>1</v>
      </c>
      <c r="AF581" s="88">
        <v>1</v>
      </c>
      <c r="AG581" s="88">
        <v>1</v>
      </c>
      <c r="AH581" s="89">
        <v>1</v>
      </c>
      <c r="AI581" s="6"/>
    </row>
    <row r="582" spans="1:35" x14ac:dyDescent="0.25">
      <c r="A582" s="3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6"/>
    </row>
    <row r="583" spans="1:35" ht="15.75" thickBot="1" x14ac:dyDescent="0.3">
      <c r="A583" s="3"/>
      <c r="B583" s="5"/>
      <c r="C583" s="7">
        <v>32</v>
      </c>
      <c r="D583" s="7">
        <v>33</v>
      </c>
      <c r="E583" s="7">
        <v>34</v>
      </c>
      <c r="F583" s="7">
        <v>35</v>
      </c>
      <c r="G583" s="7">
        <v>36</v>
      </c>
      <c r="H583" s="7">
        <v>37</v>
      </c>
      <c r="I583" s="7">
        <v>38</v>
      </c>
      <c r="J583" s="7">
        <v>39</v>
      </c>
      <c r="K583" s="7">
        <v>40</v>
      </c>
      <c r="L583" s="7">
        <v>41</v>
      </c>
      <c r="M583" s="7">
        <v>42</v>
      </c>
      <c r="N583" s="7">
        <v>43</v>
      </c>
      <c r="O583" s="7">
        <v>44</v>
      </c>
      <c r="P583" s="7">
        <v>45</v>
      </c>
      <c r="Q583" s="7">
        <v>46</v>
      </c>
      <c r="R583" s="7">
        <v>47</v>
      </c>
      <c r="S583" s="7">
        <v>48</v>
      </c>
      <c r="T583" s="7">
        <v>49</v>
      </c>
      <c r="U583" s="7">
        <v>50</v>
      </c>
      <c r="V583" s="7">
        <v>51</v>
      </c>
      <c r="W583" s="7">
        <v>52</v>
      </c>
      <c r="X583" s="7">
        <v>53</v>
      </c>
      <c r="Y583" s="7">
        <v>54</v>
      </c>
      <c r="Z583" s="7">
        <v>55</v>
      </c>
      <c r="AA583" s="7">
        <v>56</v>
      </c>
      <c r="AB583" s="7">
        <v>57</v>
      </c>
      <c r="AC583" s="7">
        <v>58</v>
      </c>
      <c r="AD583" s="7">
        <v>59</v>
      </c>
      <c r="AE583" s="7">
        <v>60</v>
      </c>
      <c r="AF583" s="7">
        <v>61</v>
      </c>
      <c r="AG583" s="7">
        <v>62</v>
      </c>
      <c r="AH583" s="7">
        <v>63</v>
      </c>
      <c r="AI583" s="6"/>
    </row>
    <row r="584" spans="1:35" ht="15.75" thickBot="1" x14ac:dyDescent="0.3">
      <c r="A584" s="3"/>
      <c r="B584" s="5"/>
      <c r="C584" s="147" t="s">
        <v>13</v>
      </c>
      <c r="D584" s="148" t="s">
        <v>14</v>
      </c>
      <c r="E584" s="148" t="s">
        <v>15</v>
      </c>
      <c r="F584" s="148" t="s">
        <v>16</v>
      </c>
      <c r="G584" s="148" t="s">
        <v>17</v>
      </c>
      <c r="H584" s="148" t="s">
        <v>18</v>
      </c>
      <c r="I584" s="148" t="s">
        <v>19</v>
      </c>
      <c r="J584" s="148" t="s">
        <v>20</v>
      </c>
      <c r="K584" s="148" t="s">
        <v>21</v>
      </c>
      <c r="L584" s="148" t="s">
        <v>22</v>
      </c>
      <c r="M584" s="148" t="s">
        <v>23</v>
      </c>
      <c r="N584" s="148" t="s">
        <v>24</v>
      </c>
      <c r="O584" s="148" t="s">
        <v>25</v>
      </c>
      <c r="P584" s="148" t="s">
        <v>26</v>
      </c>
      <c r="Q584" s="148" t="s">
        <v>27</v>
      </c>
      <c r="R584" s="342" t="s">
        <v>30</v>
      </c>
      <c r="S584" s="343"/>
      <c r="T584" s="343"/>
      <c r="U584" s="343"/>
      <c r="V584" s="343"/>
      <c r="W584" s="343"/>
      <c r="X584" s="343"/>
      <c r="Y584" s="343"/>
      <c r="Z584" s="343"/>
      <c r="AA584" s="343"/>
      <c r="AB584" s="343"/>
      <c r="AC584" s="343"/>
      <c r="AD584" s="343"/>
      <c r="AE584" s="343"/>
      <c r="AF584" s="344"/>
      <c r="AG584" s="67" t="s">
        <v>28</v>
      </c>
      <c r="AH584" s="149" t="s">
        <v>29</v>
      </c>
      <c r="AI584" s="6"/>
    </row>
    <row r="585" spans="1:35" ht="15.75" thickBot="1" x14ac:dyDescent="0.3">
      <c r="A585" s="3"/>
      <c r="B585" s="5"/>
      <c r="C585" s="150">
        <v>0</v>
      </c>
      <c r="D585" s="151">
        <v>0</v>
      </c>
      <c r="E585" s="151">
        <v>0</v>
      </c>
      <c r="F585" s="151">
        <v>0</v>
      </c>
      <c r="G585" s="151">
        <v>0</v>
      </c>
      <c r="H585" s="151">
        <v>0</v>
      </c>
      <c r="I585" s="151">
        <v>0</v>
      </c>
      <c r="J585" s="151">
        <v>0</v>
      </c>
      <c r="K585" s="151">
        <v>0</v>
      </c>
      <c r="L585" s="151">
        <v>0</v>
      </c>
      <c r="M585" s="151">
        <v>0</v>
      </c>
      <c r="N585" s="151">
        <v>0</v>
      </c>
      <c r="O585" s="151">
        <v>1</v>
      </c>
      <c r="P585" s="151">
        <v>0</v>
      </c>
      <c r="Q585" s="151">
        <v>0</v>
      </c>
      <c r="R585" s="151">
        <v>0</v>
      </c>
      <c r="S585" s="151">
        <v>0</v>
      </c>
      <c r="T585" s="151">
        <v>0</v>
      </c>
      <c r="U585" s="151">
        <v>0</v>
      </c>
      <c r="V585" s="151">
        <v>0</v>
      </c>
      <c r="W585" s="151">
        <v>0</v>
      </c>
      <c r="X585" s="151">
        <v>0</v>
      </c>
      <c r="Y585" s="151">
        <v>0</v>
      </c>
      <c r="Z585" s="151">
        <v>1</v>
      </c>
      <c r="AA585" s="151">
        <v>1</v>
      </c>
      <c r="AB585" s="151">
        <v>0</v>
      </c>
      <c r="AC585" s="151">
        <v>0</v>
      </c>
      <c r="AD585" s="151">
        <v>1</v>
      </c>
      <c r="AE585" s="151">
        <v>0</v>
      </c>
      <c r="AF585" s="151">
        <v>1</v>
      </c>
      <c r="AG585" s="151">
        <v>0</v>
      </c>
      <c r="AH585" s="152">
        <v>0</v>
      </c>
      <c r="AI585" s="6"/>
    </row>
    <row r="586" spans="1:35" x14ac:dyDescent="0.25">
      <c r="A586" s="3"/>
      <c r="B586" s="4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6"/>
    </row>
    <row r="587" spans="1:35" x14ac:dyDescent="0.25">
      <c r="A587" s="3"/>
      <c r="B587" s="8" t="s">
        <v>43</v>
      </c>
      <c r="C587" s="9"/>
      <c r="D587" s="9"/>
      <c r="E587" s="9"/>
      <c r="F587" s="44" t="s">
        <v>44</v>
      </c>
      <c r="G587" s="44"/>
      <c r="H587" s="44"/>
      <c r="I587" s="9"/>
      <c r="J587" s="45" t="s">
        <v>45</v>
      </c>
      <c r="K587" s="45"/>
      <c r="L587" s="45"/>
      <c r="M587" s="45"/>
      <c r="N587" s="9"/>
      <c r="O587" s="46" t="s">
        <v>46</v>
      </c>
      <c r="P587" s="46"/>
      <c r="Q587" s="46"/>
      <c r="R587" s="46"/>
      <c r="S587" s="9"/>
      <c r="T587" s="1" t="s">
        <v>49</v>
      </c>
      <c r="U587" s="10" t="s">
        <v>48</v>
      </c>
      <c r="V587" s="5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6"/>
    </row>
    <row r="588" spans="1:35" ht="15" customHeight="1" x14ac:dyDescent="0.25">
      <c r="A588" s="3"/>
      <c r="B588" s="42" t="str">
        <f>"0x"&amp;DEC2HEX(Sheet3!$I$4,8)</f>
        <v>0x00400320</v>
      </c>
      <c r="C588" s="42"/>
      <c r="D588" s="42"/>
      <c r="E588" s="12"/>
      <c r="F588" s="319" t="str">
        <f>"0x"&amp;BIN2HEX(CONCATENATE(C581,D581,E581,F581,G581,H581,I581,J581),2)&amp;BIN2HEX(CONCATENATE(K581,L581,M581,N581,O581,P581,Q581,R581),2)&amp;BIN2HEX(CONCATENATE(S581,T581,U581,V581,W581,X581,Y581,Z581),2)&amp;BIN2HEX(CONCATENATE(AA581,AB581,AC581,AD581,AE581,AF581,AG581,AH581),2)</f>
        <v>0xFFFFFFFF</v>
      </c>
      <c r="G588" s="319"/>
      <c r="H588" s="319"/>
      <c r="I588" s="12"/>
      <c r="J588" s="319" t="str">
        <f>"0b"&amp;C585&amp;D585&amp;E585&amp;F585&amp;G585&amp;H585&amp;I585&amp;J585&amp;K585&amp;L585&amp;M585&amp;N585&amp;O585&amp;P585&amp;Q585</f>
        <v>0b000000000000100</v>
      </c>
      <c r="K588" s="319"/>
      <c r="L588" s="319"/>
      <c r="M588" s="319"/>
      <c r="N588" s="12"/>
      <c r="O588" s="319" t="str">
        <f>"0b"&amp;DEC2BIN(((AF585+AE585*2+AD585*4+AC585*8+AB585*16+AA585*32+Z585*64+Y585*128+X585*256+W585*512+V585*1024+U585*2048+T585*4096+S585*2^13+R585*2^14)/512),6)&amp;DEC2BIN(MOD((AF585+AE585*2+AD585*4+AC585*8+AB585*16+AA585*32+Z585*64+Y585*128+X585*256+W585*512+V585*1024+U585*2048+T585*4096+S585*2^13+R585*2^14),512),9)</f>
        <v>0b000000001100101</v>
      </c>
      <c r="P588" s="319"/>
      <c r="Q588" s="319"/>
      <c r="R588" s="319"/>
      <c r="S588" s="12"/>
      <c r="T588" s="13">
        <v>0</v>
      </c>
      <c r="U588" s="13">
        <f>AH585</f>
        <v>0</v>
      </c>
      <c r="V588" s="5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6"/>
    </row>
    <row r="589" spans="1:35" x14ac:dyDescent="0.25">
      <c r="A589" s="3"/>
      <c r="B589" s="42"/>
      <c r="C589" s="42"/>
      <c r="D589" s="42"/>
      <c r="E589" s="15"/>
      <c r="F589" s="43"/>
      <c r="G589" s="43"/>
      <c r="H589" s="43"/>
      <c r="I589" s="15"/>
      <c r="J589" s="42"/>
      <c r="K589" s="42"/>
      <c r="L589" s="42"/>
      <c r="M589" s="42"/>
      <c r="N589" s="15"/>
      <c r="O589" s="42"/>
      <c r="P589" s="42"/>
      <c r="Q589" s="42"/>
      <c r="R589" s="42"/>
      <c r="S589" s="15"/>
      <c r="T589" s="13"/>
      <c r="U589" s="15"/>
      <c r="V589" s="5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6"/>
    </row>
    <row r="590" spans="1:35" x14ac:dyDescent="0.25">
      <c r="A590" s="3"/>
      <c r="B590" s="42"/>
      <c r="C590" s="42"/>
      <c r="D590" s="42"/>
      <c r="E590" s="15"/>
      <c r="F590" s="43"/>
      <c r="G590" s="43"/>
      <c r="H590" s="43"/>
      <c r="I590" s="15"/>
      <c r="J590" s="42"/>
      <c r="K590" s="42"/>
      <c r="L590" s="42"/>
      <c r="M590" s="42"/>
      <c r="N590" s="15"/>
      <c r="O590" s="42"/>
      <c r="P590" s="42"/>
      <c r="Q590" s="42"/>
      <c r="R590" s="42"/>
      <c r="S590" s="15"/>
      <c r="T590" s="13"/>
      <c r="U590" s="15"/>
      <c r="V590" s="5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6"/>
    </row>
    <row r="591" spans="1:35" x14ac:dyDescent="0.25">
      <c r="A591" s="3"/>
      <c r="B591" s="5"/>
      <c r="C591" s="5"/>
      <c r="D591" s="5"/>
      <c r="E591" s="5"/>
      <c r="F591" s="17"/>
      <c r="G591" s="17"/>
      <c r="H591" s="17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6"/>
    </row>
    <row r="592" spans="1:35" x14ac:dyDescent="0.25">
      <c r="A592" s="3"/>
      <c r="B592" s="5" t="s">
        <v>47</v>
      </c>
      <c r="C592" s="18"/>
      <c r="D592" s="18"/>
      <c r="E592" s="18"/>
      <c r="F592" s="5"/>
      <c r="G592" s="5"/>
      <c r="H592" s="5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6"/>
    </row>
    <row r="593" spans="1:35" ht="15" customHeight="1" x14ac:dyDescent="0.25">
      <c r="A593" s="3"/>
      <c r="B593" s="42" t="str">
        <f>"0x"&amp;DEC2HEX(Sheet3!$I$4,8)</f>
        <v>0x00400320</v>
      </c>
      <c r="C593" s="42"/>
      <c r="D593" s="42"/>
      <c r="E593" s="16"/>
      <c r="F593" s="322" t="str">
        <f>F588&amp;BIN2HEX(MID(J588,3,8),2)&amp;BIN2HEX(RIGHT(J588,7)&amp;MID(O588,3,1),2)&amp;BIN2HEX(MID(O588,4,8),2)&amp;BIN2HEX(RIGHT(O588,6)&amp;T588&amp;U588,2)</f>
        <v>0xFFFFFFFF00080194</v>
      </c>
      <c r="G593" s="322"/>
      <c r="H593" s="322"/>
      <c r="I593" s="322"/>
      <c r="J593" s="5"/>
      <c r="K593" s="5"/>
      <c r="L593" s="5"/>
      <c r="M593" s="5"/>
      <c r="N593" s="5"/>
      <c r="O593" s="5"/>
      <c r="P593" s="16"/>
      <c r="Q593" s="16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5"/>
      <c r="AH593" s="5"/>
      <c r="AI593" s="6"/>
    </row>
    <row r="594" spans="1:35" x14ac:dyDescent="0.25">
      <c r="A594" s="3"/>
      <c r="B594" s="37"/>
      <c r="C594" s="37"/>
      <c r="D594" s="37"/>
      <c r="E594" s="5"/>
      <c r="F594" s="38"/>
      <c r="G594" s="38"/>
      <c r="H594" s="38"/>
      <c r="I594" s="38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6"/>
    </row>
    <row r="595" spans="1:35" x14ac:dyDescent="0.25">
      <c r="A595" s="3"/>
      <c r="B595" s="37"/>
      <c r="C595" s="37"/>
      <c r="D595" s="37"/>
      <c r="E595" s="5"/>
      <c r="F595" s="38"/>
      <c r="G595" s="38"/>
      <c r="H595" s="38"/>
      <c r="I595" s="38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6"/>
    </row>
    <row r="596" spans="1:35" x14ac:dyDescent="0.25">
      <c r="A596" s="20"/>
      <c r="B596" s="21"/>
      <c r="C596" s="21"/>
      <c r="D596" s="21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2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3"/>
    </row>
    <row r="597" spans="1:35" x14ac:dyDescent="0.25">
      <c r="A597" s="24"/>
      <c r="B597" s="28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6"/>
    </row>
    <row r="598" spans="1:35" x14ac:dyDescent="0.25">
      <c r="A598" s="3"/>
      <c r="B598" s="4" t="s">
        <v>158</v>
      </c>
      <c r="C598" s="5"/>
      <c r="D598" s="5"/>
      <c r="E598" s="5"/>
      <c r="F598" s="5"/>
      <c r="G598" s="5"/>
      <c r="H598" s="5"/>
      <c r="I598" s="5" t="str">
        <f>"0x"&amp;BIN2HEX(CONCATENATE(C603,D603,E603,F603,G603,H603,I603,J603),2)&amp;BIN2HEX(CONCATENATE(K603,L603,M603,N603,O603,P603,Q603,R603),2)&amp;BIN2HEX(CONCATENATE(S603,T603,U603,V603,W603,X603,Y603,Z603),2)&amp;BIN2HEX(CONCATENATE(AA603,AB603,AC603,AD603,AE603,AF603,AG603,AH603),2)&amp;"_"&amp;BIN2HEX(CONCATENATE(C607,D607,E607,F607,G607,H607,I607,J607),2)&amp;BIN2HEX(CONCATENATE(K607,L607,M607,N607,O607,P607,Q607,R607),2)&amp;BIN2HEX(CONCATENATE(S607,T607,U607,V607,W607,X607,Y607,Z607),2)&amp;BIN2HEX(CONCATENATE(AA607,AB607,AC607,AD607,AE607,AF607,AG607,AH607),2)</f>
        <v>0xFFFFFFFF_000801A0</v>
      </c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6"/>
    </row>
    <row r="599" spans="1:35" ht="15.75" thickBot="1" x14ac:dyDescent="0.3">
      <c r="A599" s="3"/>
      <c r="B599" s="5"/>
      <c r="C599" s="7">
        <v>0</v>
      </c>
      <c r="D599" s="7">
        <v>1</v>
      </c>
      <c r="E599" s="7">
        <v>2</v>
      </c>
      <c r="F599" s="7">
        <v>3</v>
      </c>
      <c r="G599" s="7">
        <v>4</v>
      </c>
      <c r="H599" s="7">
        <v>5</v>
      </c>
      <c r="I599" s="7">
        <v>6</v>
      </c>
      <c r="J599" s="7">
        <v>7</v>
      </c>
      <c r="K599" s="7">
        <v>8</v>
      </c>
      <c r="L599" s="7">
        <v>9</v>
      </c>
      <c r="M599" s="7">
        <v>10</v>
      </c>
      <c r="N599" s="7">
        <v>11</v>
      </c>
      <c r="O599" s="7">
        <v>12</v>
      </c>
      <c r="P599" s="7">
        <v>13</v>
      </c>
      <c r="Q599" s="7">
        <v>14</v>
      </c>
      <c r="R599" s="7">
        <v>15</v>
      </c>
      <c r="S599" s="7">
        <v>16</v>
      </c>
      <c r="T599" s="7">
        <v>17</v>
      </c>
      <c r="U599" s="7">
        <v>18</v>
      </c>
      <c r="V599" s="7">
        <v>19</v>
      </c>
      <c r="W599" s="7">
        <v>20</v>
      </c>
      <c r="X599" s="7">
        <v>21</v>
      </c>
      <c r="Y599" s="7">
        <v>22</v>
      </c>
      <c r="Z599" s="7">
        <v>23</v>
      </c>
      <c r="AA599" s="7">
        <v>24</v>
      </c>
      <c r="AB599" s="7">
        <v>25</v>
      </c>
      <c r="AC599" s="7">
        <v>26</v>
      </c>
      <c r="AD599" s="7">
        <v>27</v>
      </c>
      <c r="AE599" s="7">
        <v>28</v>
      </c>
      <c r="AF599" s="7">
        <v>29</v>
      </c>
      <c r="AG599" s="7">
        <v>30</v>
      </c>
      <c r="AH599" s="7">
        <v>31</v>
      </c>
      <c r="AI599" s="6"/>
    </row>
    <row r="600" spans="1:35" ht="15" customHeight="1" x14ac:dyDescent="0.25">
      <c r="A600" s="3"/>
      <c r="B600" s="5" t="s">
        <v>31</v>
      </c>
      <c r="C600" s="354" t="s">
        <v>146</v>
      </c>
      <c r="D600" s="331"/>
      <c r="E600" s="331"/>
      <c r="F600" s="331"/>
      <c r="G600" s="331"/>
      <c r="H600" s="331"/>
      <c r="I600" s="331"/>
      <c r="J600" s="331"/>
      <c r="K600" s="331"/>
      <c r="L600" s="331"/>
      <c r="M600" s="331"/>
      <c r="N600" s="331"/>
      <c r="O600" s="331"/>
      <c r="P600" s="331"/>
      <c r="Q600" s="331"/>
      <c r="R600" s="331"/>
      <c r="S600" s="331"/>
      <c r="T600" s="331"/>
      <c r="U600" s="331"/>
      <c r="V600" s="331"/>
      <c r="W600" s="331"/>
      <c r="X600" s="331"/>
      <c r="Y600" s="331"/>
      <c r="Z600" s="331"/>
      <c r="AA600" s="331"/>
      <c r="AB600" s="331"/>
      <c r="AC600" s="331"/>
      <c r="AD600" s="331"/>
      <c r="AE600" s="331"/>
      <c r="AF600" s="331"/>
      <c r="AG600" s="331"/>
      <c r="AH600" s="355"/>
      <c r="AI600" s="6"/>
    </row>
    <row r="601" spans="1:35" x14ac:dyDescent="0.25">
      <c r="A601" s="3"/>
      <c r="B601" s="5" t="s">
        <v>32</v>
      </c>
      <c r="C601" s="356"/>
      <c r="D601" s="334"/>
      <c r="E601" s="334"/>
      <c r="F601" s="334"/>
      <c r="G601" s="334"/>
      <c r="H601" s="334"/>
      <c r="I601" s="334"/>
      <c r="J601" s="334"/>
      <c r="K601" s="334"/>
      <c r="L601" s="334"/>
      <c r="M601" s="334"/>
      <c r="N601" s="334"/>
      <c r="O601" s="334"/>
      <c r="P601" s="334"/>
      <c r="Q601" s="334"/>
      <c r="R601" s="334"/>
      <c r="S601" s="334"/>
      <c r="T601" s="334"/>
      <c r="U601" s="334"/>
      <c r="V601" s="334"/>
      <c r="W601" s="334"/>
      <c r="X601" s="334"/>
      <c r="Y601" s="334"/>
      <c r="Z601" s="334"/>
      <c r="AA601" s="334"/>
      <c r="AB601" s="334"/>
      <c r="AC601" s="334"/>
      <c r="AD601" s="334"/>
      <c r="AE601" s="334"/>
      <c r="AF601" s="334"/>
      <c r="AG601" s="334"/>
      <c r="AH601" s="357"/>
      <c r="AI601" s="6"/>
    </row>
    <row r="602" spans="1:35" x14ac:dyDescent="0.25">
      <c r="A602" s="3"/>
      <c r="B602" s="5" t="s">
        <v>11</v>
      </c>
      <c r="C602" s="56">
        <v>1</v>
      </c>
      <c r="D602" s="57">
        <v>1</v>
      </c>
      <c r="E602" s="57">
        <v>1</v>
      </c>
      <c r="F602" s="57">
        <v>1</v>
      </c>
      <c r="G602" s="57">
        <v>1</v>
      </c>
      <c r="H602" s="57">
        <v>1</v>
      </c>
      <c r="I602" s="57">
        <v>1</v>
      </c>
      <c r="J602" s="57">
        <v>1</v>
      </c>
      <c r="K602" s="57">
        <v>1</v>
      </c>
      <c r="L602" s="57">
        <v>1</v>
      </c>
      <c r="M602" s="57">
        <v>1</v>
      </c>
      <c r="N602" s="57">
        <v>1</v>
      </c>
      <c r="O602" s="57">
        <v>1</v>
      </c>
      <c r="P602" s="57">
        <v>1</v>
      </c>
      <c r="Q602" s="57">
        <v>1</v>
      </c>
      <c r="R602" s="57">
        <v>1</v>
      </c>
      <c r="S602" s="57">
        <v>1</v>
      </c>
      <c r="T602" s="57">
        <v>1</v>
      </c>
      <c r="U602" s="57">
        <v>1</v>
      </c>
      <c r="V602" s="57">
        <v>1</v>
      </c>
      <c r="W602" s="57">
        <v>1</v>
      </c>
      <c r="X602" s="57">
        <v>1</v>
      </c>
      <c r="Y602" s="57">
        <v>1</v>
      </c>
      <c r="Z602" s="57">
        <v>1</v>
      </c>
      <c r="AA602" s="57">
        <v>1</v>
      </c>
      <c r="AB602" s="57">
        <v>1</v>
      </c>
      <c r="AC602" s="57">
        <v>1</v>
      </c>
      <c r="AD602" s="57">
        <v>1</v>
      </c>
      <c r="AE602" s="57">
        <v>1</v>
      </c>
      <c r="AF602" s="57">
        <v>1</v>
      </c>
      <c r="AG602" s="57">
        <v>1</v>
      </c>
      <c r="AH602" s="58">
        <v>1</v>
      </c>
      <c r="AI602" s="6"/>
    </row>
    <row r="603" spans="1:35" ht="15.75" thickBot="1" x14ac:dyDescent="0.3">
      <c r="A603" s="3"/>
      <c r="B603" s="5" t="s">
        <v>12</v>
      </c>
      <c r="C603" s="145">
        <v>1</v>
      </c>
      <c r="D603" s="88">
        <v>1</v>
      </c>
      <c r="E603" s="88">
        <v>1</v>
      </c>
      <c r="F603" s="88">
        <v>1</v>
      </c>
      <c r="G603" s="88">
        <v>1</v>
      </c>
      <c r="H603" s="88">
        <v>1</v>
      </c>
      <c r="I603" s="88">
        <v>1</v>
      </c>
      <c r="J603" s="88">
        <v>1</v>
      </c>
      <c r="K603" s="88">
        <v>1</v>
      </c>
      <c r="L603" s="88">
        <v>1</v>
      </c>
      <c r="M603" s="88">
        <v>1</v>
      </c>
      <c r="N603" s="88">
        <v>1</v>
      </c>
      <c r="O603" s="88">
        <v>1</v>
      </c>
      <c r="P603" s="88">
        <v>1</v>
      </c>
      <c r="Q603" s="88">
        <v>1</v>
      </c>
      <c r="R603" s="88">
        <v>1</v>
      </c>
      <c r="S603" s="88">
        <v>1</v>
      </c>
      <c r="T603" s="88">
        <v>1</v>
      </c>
      <c r="U603" s="88">
        <v>1</v>
      </c>
      <c r="V603" s="88">
        <v>1</v>
      </c>
      <c r="W603" s="88">
        <v>1</v>
      </c>
      <c r="X603" s="88">
        <v>1</v>
      </c>
      <c r="Y603" s="88">
        <v>1</v>
      </c>
      <c r="Z603" s="88">
        <v>1</v>
      </c>
      <c r="AA603" s="88">
        <v>1</v>
      </c>
      <c r="AB603" s="88">
        <v>1</v>
      </c>
      <c r="AC603" s="88">
        <v>1</v>
      </c>
      <c r="AD603" s="88">
        <v>1</v>
      </c>
      <c r="AE603" s="88">
        <v>1</v>
      </c>
      <c r="AF603" s="88">
        <v>1</v>
      </c>
      <c r="AG603" s="88">
        <v>1</v>
      </c>
      <c r="AH603" s="89">
        <v>1</v>
      </c>
      <c r="AI603" s="6"/>
    </row>
    <row r="604" spans="1:35" x14ac:dyDescent="0.25">
      <c r="A604" s="3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6"/>
    </row>
    <row r="605" spans="1:35" ht="15.75" thickBot="1" x14ac:dyDescent="0.3">
      <c r="A605" s="3"/>
      <c r="B605" s="5"/>
      <c r="C605" s="7">
        <v>32</v>
      </c>
      <c r="D605" s="7">
        <v>33</v>
      </c>
      <c r="E605" s="7">
        <v>34</v>
      </c>
      <c r="F605" s="7">
        <v>35</v>
      </c>
      <c r="G605" s="7">
        <v>36</v>
      </c>
      <c r="H605" s="7">
        <v>37</v>
      </c>
      <c r="I605" s="7">
        <v>38</v>
      </c>
      <c r="J605" s="7">
        <v>39</v>
      </c>
      <c r="K605" s="7">
        <v>40</v>
      </c>
      <c r="L605" s="7">
        <v>41</v>
      </c>
      <c r="M605" s="7">
        <v>42</v>
      </c>
      <c r="N605" s="7">
        <v>43</v>
      </c>
      <c r="O605" s="7">
        <v>44</v>
      </c>
      <c r="P605" s="7">
        <v>45</v>
      </c>
      <c r="Q605" s="7">
        <v>46</v>
      </c>
      <c r="R605" s="7">
        <v>47</v>
      </c>
      <c r="S605" s="7">
        <v>48</v>
      </c>
      <c r="T605" s="7">
        <v>49</v>
      </c>
      <c r="U605" s="7">
        <v>50</v>
      </c>
      <c r="V605" s="7">
        <v>51</v>
      </c>
      <c r="W605" s="7">
        <v>52</v>
      </c>
      <c r="X605" s="7">
        <v>53</v>
      </c>
      <c r="Y605" s="7">
        <v>54</v>
      </c>
      <c r="Z605" s="7">
        <v>55</v>
      </c>
      <c r="AA605" s="7">
        <v>56</v>
      </c>
      <c r="AB605" s="7">
        <v>57</v>
      </c>
      <c r="AC605" s="7">
        <v>58</v>
      </c>
      <c r="AD605" s="7">
        <v>59</v>
      </c>
      <c r="AE605" s="7">
        <v>60</v>
      </c>
      <c r="AF605" s="7">
        <v>61</v>
      </c>
      <c r="AG605" s="7">
        <v>62</v>
      </c>
      <c r="AH605" s="7">
        <v>63</v>
      </c>
      <c r="AI605" s="6"/>
    </row>
    <row r="606" spans="1:35" ht="15.75" thickBot="1" x14ac:dyDescent="0.3">
      <c r="A606" s="3"/>
      <c r="B606" s="5"/>
      <c r="C606" s="147" t="s">
        <v>13</v>
      </c>
      <c r="D606" s="148" t="s">
        <v>14</v>
      </c>
      <c r="E606" s="148" t="s">
        <v>15</v>
      </c>
      <c r="F606" s="148" t="s">
        <v>16</v>
      </c>
      <c r="G606" s="148" t="s">
        <v>17</v>
      </c>
      <c r="H606" s="148" t="s">
        <v>18</v>
      </c>
      <c r="I606" s="148" t="s">
        <v>19</v>
      </c>
      <c r="J606" s="148" t="s">
        <v>20</v>
      </c>
      <c r="K606" s="148" t="s">
        <v>21</v>
      </c>
      <c r="L606" s="148" t="s">
        <v>22</v>
      </c>
      <c r="M606" s="148" t="s">
        <v>23</v>
      </c>
      <c r="N606" s="148" t="s">
        <v>24</v>
      </c>
      <c r="O606" s="148" t="s">
        <v>25</v>
      </c>
      <c r="P606" s="148" t="s">
        <v>26</v>
      </c>
      <c r="Q606" s="148" t="s">
        <v>27</v>
      </c>
      <c r="R606" s="342" t="s">
        <v>30</v>
      </c>
      <c r="S606" s="343"/>
      <c r="T606" s="343"/>
      <c r="U606" s="343"/>
      <c r="V606" s="343"/>
      <c r="W606" s="343"/>
      <c r="X606" s="343"/>
      <c r="Y606" s="343"/>
      <c r="Z606" s="343"/>
      <c r="AA606" s="343"/>
      <c r="AB606" s="343"/>
      <c r="AC606" s="343"/>
      <c r="AD606" s="343"/>
      <c r="AE606" s="343"/>
      <c r="AF606" s="344"/>
      <c r="AG606" s="67" t="s">
        <v>28</v>
      </c>
      <c r="AH606" s="149" t="s">
        <v>29</v>
      </c>
      <c r="AI606" s="6"/>
    </row>
    <row r="607" spans="1:35" ht="15.75" thickBot="1" x14ac:dyDescent="0.3">
      <c r="A607" s="3"/>
      <c r="B607" s="5"/>
      <c r="C607" s="150">
        <v>0</v>
      </c>
      <c r="D607" s="151">
        <v>0</v>
      </c>
      <c r="E607" s="151">
        <v>0</v>
      </c>
      <c r="F607" s="151">
        <v>0</v>
      </c>
      <c r="G607" s="151">
        <v>0</v>
      </c>
      <c r="H607" s="151">
        <v>0</v>
      </c>
      <c r="I607" s="151">
        <v>0</v>
      </c>
      <c r="J607" s="151">
        <v>0</v>
      </c>
      <c r="K607" s="151">
        <v>0</v>
      </c>
      <c r="L607" s="151">
        <v>0</v>
      </c>
      <c r="M607" s="151">
        <v>0</v>
      </c>
      <c r="N607" s="151">
        <v>0</v>
      </c>
      <c r="O607" s="151">
        <v>1</v>
      </c>
      <c r="P607" s="151">
        <v>0</v>
      </c>
      <c r="Q607" s="151">
        <v>0</v>
      </c>
      <c r="R607" s="151">
        <v>0</v>
      </c>
      <c r="S607" s="151">
        <v>0</v>
      </c>
      <c r="T607" s="151">
        <v>0</v>
      </c>
      <c r="U607" s="151">
        <v>0</v>
      </c>
      <c r="V607" s="151">
        <v>0</v>
      </c>
      <c r="W607" s="151">
        <v>0</v>
      </c>
      <c r="X607" s="151">
        <v>0</v>
      </c>
      <c r="Y607" s="151">
        <v>0</v>
      </c>
      <c r="Z607" s="151">
        <v>1</v>
      </c>
      <c r="AA607" s="151">
        <v>1</v>
      </c>
      <c r="AB607" s="151">
        <v>0</v>
      </c>
      <c r="AC607" s="151">
        <v>1</v>
      </c>
      <c r="AD607" s="151">
        <v>0</v>
      </c>
      <c r="AE607" s="151">
        <v>0</v>
      </c>
      <c r="AF607" s="151">
        <v>0</v>
      </c>
      <c r="AG607" s="151">
        <v>0</v>
      </c>
      <c r="AH607" s="152">
        <v>0</v>
      </c>
      <c r="AI607" s="6"/>
    </row>
    <row r="608" spans="1:35" x14ac:dyDescent="0.25">
      <c r="A608" s="3"/>
      <c r="B608" s="4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6"/>
    </row>
    <row r="609" spans="1:35" x14ac:dyDescent="0.25">
      <c r="A609" s="3"/>
      <c r="B609" s="8" t="s">
        <v>43</v>
      </c>
      <c r="C609" s="9"/>
      <c r="D609" s="9"/>
      <c r="E609" s="9"/>
      <c r="F609" s="44" t="s">
        <v>44</v>
      </c>
      <c r="G609" s="44"/>
      <c r="H609" s="44"/>
      <c r="I609" s="9"/>
      <c r="J609" s="45" t="s">
        <v>45</v>
      </c>
      <c r="K609" s="45"/>
      <c r="L609" s="45"/>
      <c r="M609" s="45"/>
      <c r="N609" s="9"/>
      <c r="O609" s="46" t="s">
        <v>46</v>
      </c>
      <c r="P609" s="46"/>
      <c r="Q609" s="46"/>
      <c r="R609" s="46"/>
      <c r="S609" s="9"/>
      <c r="T609" s="1" t="s">
        <v>49</v>
      </c>
      <c r="U609" s="10" t="s">
        <v>48</v>
      </c>
      <c r="V609" s="5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6"/>
    </row>
    <row r="610" spans="1:35" ht="15" customHeight="1" x14ac:dyDescent="0.25">
      <c r="A610" s="3"/>
      <c r="B610" s="42" t="str">
        <f>"0x"&amp;DEC2HEX(Sheet3!$I$4,8)</f>
        <v>0x00400320</v>
      </c>
      <c r="C610" s="42"/>
      <c r="D610" s="42"/>
      <c r="E610" s="12"/>
      <c r="F610" s="319" t="str">
        <f>"0x"&amp;BIN2HEX(CONCATENATE(C603,D603,E603,F603,G603,H603,I603,J603),2)&amp;BIN2HEX(CONCATENATE(K603,L603,M603,N603,O603,P603,Q603,R603),2)&amp;BIN2HEX(CONCATENATE(S603,T603,U603,V603,W603,X603,Y603,Z603),2)&amp;BIN2HEX(CONCATENATE(AA603,AB603,AC603,AD603,AE603,AF603,AG603,AH603),2)</f>
        <v>0xFFFFFFFF</v>
      </c>
      <c r="G610" s="319"/>
      <c r="H610" s="319"/>
      <c r="I610" s="12"/>
      <c r="J610" s="319" t="str">
        <f>"0b"&amp;C607&amp;D607&amp;E607&amp;F607&amp;G607&amp;H607&amp;I607&amp;J607&amp;K607&amp;L607&amp;M607&amp;N607&amp;O607&amp;P607&amp;Q607</f>
        <v>0b000000000000100</v>
      </c>
      <c r="K610" s="319"/>
      <c r="L610" s="319"/>
      <c r="M610" s="319"/>
      <c r="N610" s="12"/>
      <c r="O610" s="319" t="str">
        <f>"0b"&amp;DEC2BIN(((AF607+AE607*2+AD607*4+AC607*8+AB607*16+AA607*32+Z607*64+Y607*128+X607*256+W607*512+V607*1024+U607*2048+T607*4096+S607*2^13+R607*2^14)/512),6)&amp;DEC2BIN(MOD((AF607+AE607*2+AD607*4+AC607*8+AB607*16+AA607*32+Z607*64+Y607*128+X607*256+W607*512+V607*1024+U607*2048+T607*4096+S607*2^13+R607*2^14),512),9)</f>
        <v>0b000000001101000</v>
      </c>
      <c r="P610" s="319"/>
      <c r="Q610" s="319"/>
      <c r="R610" s="319"/>
      <c r="S610" s="12"/>
      <c r="T610" s="13">
        <v>0</v>
      </c>
      <c r="U610" s="13">
        <f>AH607</f>
        <v>0</v>
      </c>
      <c r="V610" s="5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6"/>
    </row>
    <row r="611" spans="1:35" x14ac:dyDescent="0.25">
      <c r="A611" s="3"/>
      <c r="B611" s="42"/>
      <c r="C611" s="42"/>
      <c r="D611" s="42"/>
      <c r="E611" s="15"/>
      <c r="F611" s="43"/>
      <c r="G611" s="43"/>
      <c r="H611" s="43"/>
      <c r="I611" s="15"/>
      <c r="J611" s="42"/>
      <c r="K611" s="42"/>
      <c r="L611" s="42"/>
      <c r="M611" s="42"/>
      <c r="N611" s="15"/>
      <c r="O611" s="42"/>
      <c r="P611" s="42"/>
      <c r="Q611" s="42"/>
      <c r="R611" s="42"/>
      <c r="S611" s="15"/>
      <c r="T611" s="13"/>
      <c r="U611" s="15"/>
      <c r="V611" s="5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6"/>
    </row>
    <row r="612" spans="1:35" x14ac:dyDescent="0.25">
      <c r="A612" s="3"/>
      <c r="B612" s="42"/>
      <c r="C612" s="42"/>
      <c r="D612" s="42"/>
      <c r="E612" s="15"/>
      <c r="F612" s="43"/>
      <c r="G612" s="43"/>
      <c r="H612" s="43"/>
      <c r="I612" s="15"/>
      <c r="J612" s="42"/>
      <c r="K612" s="42"/>
      <c r="L612" s="42"/>
      <c r="M612" s="42"/>
      <c r="N612" s="15"/>
      <c r="O612" s="42"/>
      <c r="P612" s="42"/>
      <c r="Q612" s="42"/>
      <c r="R612" s="42"/>
      <c r="S612" s="15"/>
      <c r="T612" s="13"/>
      <c r="U612" s="15"/>
      <c r="V612" s="5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6"/>
    </row>
    <row r="613" spans="1:35" x14ac:dyDescent="0.25">
      <c r="A613" s="3"/>
      <c r="B613" s="5"/>
      <c r="C613" s="5"/>
      <c r="D613" s="5"/>
      <c r="E613" s="5"/>
      <c r="F613" s="17"/>
      <c r="G613" s="17"/>
      <c r="H613" s="17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6"/>
    </row>
    <row r="614" spans="1:35" x14ac:dyDescent="0.25">
      <c r="A614" s="3"/>
      <c r="B614" s="5" t="s">
        <v>47</v>
      </c>
      <c r="C614" s="18"/>
      <c r="D614" s="18"/>
      <c r="E614" s="18"/>
      <c r="F614" s="5"/>
      <c r="G614" s="5"/>
      <c r="H614" s="5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6"/>
    </row>
    <row r="615" spans="1:35" ht="15" customHeight="1" x14ac:dyDescent="0.25">
      <c r="A615" s="3"/>
      <c r="B615" s="42" t="str">
        <f>"0x"&amp;DEC2HEX(Sheet3!$I$4,8)</f>
        <v>0x00400320</v>
      </c>
      <c r="C615" s="42"/>
      <c r="D615" s="42"/>
      <c r="E615" s="16"/>
      <c r="F615" s="322" t="str">
        <f>F610&amp;BIN2HEX(MID(J610,3,8),2)&amp;BIN2HEX(RIGHT(J610,7)&amp;MID(O610,3,1),2)&amp;BIN2HEX(MID(O610,4,8),2)&amp;BIN2HEX(RIGHT(O610,6)&amp;T610&amp;U610,2)</f>
        <v>0xFFFFFFFF000801A0</v>
      </c>
      <c r="G615" s="322"/>
      <c r="H615" s="322"/>
      <c r="I615" s="322"/>
      <c r="J615" s="5"/>
      <c r="K615" s="5"/>
      <c r="L615" s="5"/>
      <c r="M615" s="5"/>
      <c r="N615" s="5"/>
      <c r="O615" s="5"/>
      <c r="P615" s="16"/>
      <c r="Q615" s="16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5"/>
      <c r="AH615" s="5"/>
      <c r="AI615" s="6"/>
    </row>
    <row r="616" spans="1:35" x14ac:dyDescent="0.25">
      <c r="A616" s="3"/>
      <c r="B616" s="37"/>
      <c r="C616" s="37"/>
      <c r="D616" s="37"/>
      <c r="E616" s="5"/>
      <c r="F616" s="38"/>
      <c r="G616" s="38"/>
      <c r="H616" s="38"/>
      <c r="I616" s="38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6"/>
    </row>
    <row r="617" spans="1:35" x14ac:dyDescent="0.25">
      <c r="A617" s="3"/>
      <c r="B617" s="37"/>
      <c r="C617" s="37"/>
      <c r="D617" s="37"/>
      <c r="E617" s="5"/>
      <c r="F617" s="38"/>
      <c r="G617" s="38"/>
      <c r="H617" s="38"/>
      <c r="I617" s="38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6"/>
    </row>
    <row r="618" spans="1:35" x14ac:dyDescent="0.25">
      <c r="A618" s="20"/>
      <c r="B618" s="21"/>
      <c r="C618" s="21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2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3"/>
    </row>
    <row r="619" spans="1:35" x14ac:dyDescent="0.25">
      <c r="A619" s="24"/>
      <c r="B619" s="28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6"/>
    </row>
    <row r="620" spans="1:35" x14ac:dyDescent="0.25">
      <c r="A620" s="3"/>
      <c r="B620" s="4" t="s">
        <v>159</v>
      </c>
      <c r="C620" s="5"/>
      <c r="D620" s="5"/>
      <c r="E620" s="5"/>
      <c r="F620" s="5"/>
      <c r="G620" s="5"/>
      <c r="H620" s="5"/>
      <c r="I620" s="5" t="str">
        <f>"0x"&amp;BIN2HEX(CONCATENATE(C625,D625,E625,F625,G625,H625,I625,J625),2)&amp;BIN2HEX(CONCATENATE(K625,L625,M625,N625,O625,P625,Q625,R625),2)&amp;BIN2HEX(CONCATENATE(S625,T625,U625,V625,W625,X625,Y625,Z625),2)&amp;BIN2HEX(CONCATENATE(AA625,AB625,AC625,AD625,AE625,AF625,AG625,AH625),2)&amp;"_"&amp;BIN2HEX(CONCATENATE(C629,D629,E629,F629,G629,H629,I629,J629),2)&amp;BIN2HEX(CONCATENATE(K629,L629,M629,N629,O629,P629,Q629,R629),2)&amp;BIN2HEX(CONCATENATE(S629,T629,U629,V629,W629,X629,Y629,Z629),2)&amp;BIN2HEX(CONCATENATE(AA629,AB629,AC629,AD629,AE629,AF629,AG629,AH629),2)</f>
        <v>0xFFFFFFFF_000801A4</v>
      </c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6"/>
    </row>
    <row r="621" spans="1:35" ht="15.75" thickBot="1" x14ac:dyDescent="0.3">
      <c r="A621" s="3"/>
      <c r="B621" s="5"/>
      <c r="C621" s="7">
        <v>0</v>
      </c>
      <c r="D621" s="7">
        <v>1</v>
      </c>
      <c r="E621" s="7">
        <v>2</v>
      </c>
      <c r="F621" s="7">
        <v>3</v>
      </c>
      <c r="G621" s="7">
        <v>4</v>
      </c>
      <c r="H621" s="7">
        <v>5</v>
      </c>
      <c r="I621" s="7">
        <v>6</v>
      </c>
      <c r="J621" s="7">
        <v>7</v>
      </c>
      <c r="K621" s="7">
        <v>8</v>
      </c>
      <c r="L621" s="7">
        <v>9</v>
      </c>
      <c r="M621" s="7">
        <v>10</v>
      </c>
      <c r="N621" s="7">
        <v>11</v>
      </c>
      <c r="O621" s="7">
        <v>12</v>
      </c>
      <c r="P621" s="7">
        <v>13</v>
      </c>
      <c r="Q621" s="7">
        <v>14</v>
      </c>
      <c r="R621" s="7">
        <v>15</v>
      </c>
      <c r="S621" s="7">
        <v>16</v>
      </c>
      <c r="T621" s="7">
        <v>17</v>
      </c>
      <c r="U621" s="7">
        <v>18</v>
      </c>
      <c r="V621" s="7">
        <v>19</v>
      </c>
      <c r="W621" s="7">
        <v>20</v>
      </c>
      <c r="X621" s="7">
        <v>21</v>
      </c>
      <c r="Y621" s="7">
        <v>22</v>
      </c>
      <c r="Z621" s="7">
        <v>23</v>
      </c>
      <c r="AA621" s="7">
        <v>24</v>
      </c>
      <c r="AB621" s="7">
        <v>25</v>
      </c>
      <c r="AC621" s="7">
        <v>26</v>
      </c>
      <c r="AD621" s="7">
        <v>27</v>
      </c>
      <c r="AE621" s="7">
        <v>28</v>
      </c>
      <c r="AF621" s="7">
        <v>29</v>
      </c>
      <c r="AG621" s="7">
        <v>30</v>
      </c>
      <c r="AH621" s="7">
        <v>31</v>
      </c>
      <c r="AI621" s="6"/>
    </row>
    <row r="622" spans="1:35" ht="15" customHeight="1" x14ac:dyDescent="0.25">
      <c r="A622" s="3"/>
      <c r="B622" s="5" t="s">
        <v>31</v>
      </c>
      <c r="C622" s="354" t="s">
        <v>146</v>
      </c>
      <c r="D622" s="331"/>
      <c r="E622" s="331"/>
      <c r="F622" s="331"/>
      <c r="G622" s="331"/>
      <c r="H622" s="331"/>
      <c r="I622" s="331"/>
      <c r="J622" s="331"/>
      <c r="K622" s="331"/>
      <c r="L622" s="331"/>
      <c r="M622" s="331"/>
      <c r="N622" s="331"/>
      <c r="O622" s="331"/>
      <c r="P622" s="331"/>
      <c r="Q622" s="331"/>
      <c r="R622" s="331"/>
      <c r="S622" s="331"/>
      <c r="T622" s="331"/>
      <c r="U622" s="331"/>
      <c r="V622" s="331"/>
      <c r="W622" s="331"/>
      <c r="X622" s="331"/>
      <c r="Y622" s="331"/>
      <c r="Z622" s="331"/>
      <c r="AA622" s="331"/>
      <c r="AB622" s="331"/>
      <c r="AC622" s="331"/>
      <c r="AD622" s="331"/>
      <c r="AE622" s="331"/>
      <c r="AF622" s="331"/>
      <c r="AG622" s="331"/>
      <c r="AH622" s="355"/>
      <c r="AI622" s="6"/>
    </row>
    <row r="623" spans="1:35" x14ac:dyDescent="0.25">
      <c r="A623" s="3"/>
      <c r="B623" s="5" t="s">
        <v>32</v>
      </c>
      <c r="C623" s="356"/>
      <c r="D623" s="334"/>
      <c r="E623" s="334"/>
      <c r="F623" s="334"/>
      <c r="G623" s="334"/>
      <c r="H623" s="334"/>
      <c r="I623" s="334"/>
      <c r="J623" s="334"/>
      <c r="K623" s="334"/>
      <c r="L623" s="334"/>
      <c r="M623" s="334"/>
      <c r="N623" s="334"/>
      <c r="O623" s="334"/>
      <c r="P623" s="334"/>
      <c r="Q623" s="334"/>
      <c r="R623" s="334"/>
      <c r="S623" s="334"/>
      <c r="T623" s="334"/>
      <c r="U623" s="334"/>
      <c r="V623" s="334"/>
      <c r="W623" s="334"/>
      <c r="X623" s="334"/>
      <c r="Y623" s="334"/>
      <c r="Z623" s="334"/>
      <c r="AA623" s="334"/>
      <c r="AB623" s="334"/>
      <c r="AC623" s="334"/>
      <c r="AD623" s="334"/>
      <c r="AE623" s="334"/>
      <c r="AF623" s="334"/>
      <c r="AG623" s="334"/>
      <c r="AH623" s="357"/>
      <c r="AI623" s="6"/>
    </row>
    <row r="624" spans="1:35" x14ac:dyDescent="0.25">
      <c r="A624" s="3"/>
      <c r="B624" s="5" t="s">
        <v>11</v>
      </c>
      <c r="C624" s="56">
        <v>1</v>
      </c>
      <c r="D624" s="57">
        <v>1</v>
      </c>
      <c r="E624" s="57">
        <v>1</v>
      </c>
      <c r="F624" s="57">
        <v>1</v>
      </c>
      <c r="G624" s="57">
        <v>1</v>
      </c>
      <c r="H624" s="57">
        <v>1</v>
      </c>
      <c r="I624" s="57">
        <v>1</v>
      </c>
      <c r="J624" s="57">
        <v>1</v>
      </c>
      <c r="K624" s="57">
        <v>1</v>
      </c>
      <c r="L624" s="57">
        <v>1</v>
      </c>
      <c r="M624" s="57">
        <v>1</v>
      </c>
      <c r="N624" s="57">
        <v>1</v>
      </c>
      <c r="O624" s="57">
        <v>1</v>
      </c>
      <c r="P624" s="57">
        <v>1</v>
      </c>
      <c r="Q624" s="57">
        <v>1</v>
      </c>
      <c r="R624" s="57">
        <v>1</v>
      </c>
      <c r="S624" s="57">
        <v>1</v>
      </c>
      <c r="T624" s="57">
        <v>1</v>
      </c>
      <c r="U624" s="57">
        <v>1</v>
      </c>
      <c r="V624" s="57">
        <v>1</v>
      </c>
      <c r="W624" s="57">
        <v>1</v>
      </c>
      <c r="X624" s="57">
        <v>1</v>
      </c>
      <c r="Y624" s="57">
        <v>1</v>
      </c>
      <c r="Z624" s="57">
        <v>1</v>
      </c>
      <c r="AA624" s="57">
        <v>1</v>
      </c>
      <c r="AB624" s="57">
        <v>1</v>
      </c>
      <c r="AC624" s="57">
        <v>1</v>
      </c>
      <c r="AD624" s="57">
        <v>1</v>
      </c>
      <c r="AE624" s="57">
        <v>1</v>
      </c>
      <c r="AF624" s="57">
        <v>1</v>
      </c>
      <c r="AG624" s="57">
        <v>1</v>
      </c>
      <c r="AH624" s="58">
        <v>1</v>
      </c>
      <c r="AI624" s="6"/>
    </row>
    <row r="625" spans="1:35" ht="15.75" thickBot="1" x14ac:dyDescent="0.3">
      <c r="A625" s="3"/>
      <c r="B625" s="5" t="s">
        <v>12</v>
      </c>
      <c r="C625" s="145">
        <v>1</v>
      </c>
      <c r="D625" s="88">
        <v>1</v>
      </c>
      <c r="E625" s="88">
        <v>1</v>
      </c>
      <c r="F625" s="88">
        <v>1</v>
      </c>
      <c r="G625" s="88">
        <v>1</v>
      </c>
      <c r="H625" s="88">
        <v>1</v>
      </c>
      <c r="I625" s="88">
        <v>1</v>
      </c>
      <c r="J625" s="88">
        <v>1</v>
      </c>
      <c r="K625" s="88">
        <v>1</v>
      </c>
      <c r="L625" s="88">
        <v>1</v>
      </c>
      <c r="M625" s="88">
        <v>1</v>
      </c>
      <c r="N625" s="88">
        <v>1</v>
      </c>
      <c r="O625" s="88">
        <v>1</v>
      </c>
      <c r="P625" s="88">
        <v>1</v>
      </c>
      <c r="Q625" s="88">
        <v>1</v>
      </c>
      <c r="R625" s="88">
        <v>1</v>
      </c>
      <c r="S625" s="88">
        <v>1</v>
      </c>
      <c r="T625" s="88">
        <v>1</v>
      </c>
      <c r="U625" s="88">
        <v>1</v>
      </c>
      <c r="V625" s="88">
        <v>1</v>
      </c>
      <c r="W625" s="88">
        <v>1</v>
      </c>
      <c r="X625" s="88">
        <v>1</v>
      </c>
      <c r="Y625" s="88">
        <v>1</v>
      </c>
      <c r="Z625" s="88">
        <v>1</v>
      </c>
      <c r="AA625" s="88">
        <v>1</v>
      </c>
      <c r="AB625" s="88">
        <v>1</v>
      </c>
      <c r="AC625" s="88">
        <v>1</v>
      </c>
      <c r="AD625" s="88">
        <v>1</v>
      </c>
      <c r="AE625" s="88">
        <v>1</v>
      </c>
      <c r="AF625" s="88">
        <v>1</v>
      </c>
      <c r="AG625" s="88">
        <v>1</v>
      </c>
      <c r="AH625" s="89">
        <v>1</v>
      </c>
      <c r="AI625" s="6"/>
    </row>
    <row r="626" spans="1:35" x14ac:dyDescent="0.25">
      <c r="A626" s="3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6"/>
    </row>
    <row r="627" spans="1:35" ht="15.75" thickBot="1" x14ac:dyDescent="0.3">
      <c r="A627" s="3"/>
      <c r="B627" s="5"/>
      <c r="C627" s="7">
        <v>32</v>
      </c>
      <c r="D627" s="7">
        <v>33</v>
      </c>
      <c r="E627" s="7">
        <v>34</v>
      </c>
      <c r="F627" s="7">
        <v>35</v>
      </c>
      <c r="G627" s="7">
        <v>36</v>
      </c>
      <c r="H627" s="7">
        <v>37</v>
      </c>
      <c r="I627" s="7">
        <v>38</v>
      </c>
      <c r="J627" s="7">
        <v>39</v>
      </c>
      <c r="K627" s="7">
        <v>40</v>
      </c>
      <c r="L627" s="7">
        <v>41</v>
      </c>
      <c r="M627" s="7">
        <v>42</v>
      </c>
      <c r="N627" s="7">
        <v>43</v>
      </c>
      <c r="O627" s="7">
        <v>44</v>
      </c>
      <c r="P627" s="7">
        <v>45</v>
      </c>
      <c r="Q627" s="7">
        <v>46</v>
      </c>
      <c r="R627" s="7">
        <v>47</v>
      </c>
      <c r="S627" s="7">
        <v>48</v>
      </c>
      <c r="T627" s="7">
        <v>49</v>
      </c>
      <c r="U627" s="7">
        <v>50</v>
      </c>
      <c r="V627" s="7">
        <v>51</v>
      </c>
      <c r="W627" s="7">
        <v>52</v>
      </c>
      <c r="X627" s="7">
        <v>53</v>
      </c>
      <c r="Y627" s="7">
        <v>54</v>
      </c>
      <c r="Z627" s="7">
        <v>55</v>
      </c>
      <c r="AA627" s="7">
        <v>56</v>
      </c>
      <c r="AB627" s="7">
        <v>57</v>
      </c>
      <c r="AC627" s="7">
        <v>58</v>
      </c>
      <c r="AD627" s="7">
        <v>59</v>
      </c>
      <c r="AE627" s="7">
        <v>60</v>
      </c>
      <c r="AF627" s="7">
        <v>61</v>
      </c>
      <c r="AG627" s="7">
        <v>62</v>
      </c>
      <c r="AH627" s="7">
        <v>63</v>
      </c>
      <c r="AI627" s="6"/>
    </row>
    <row r="628" spans="1:35" ht="15.75" thickBot="1" x14ac:dyDescent="0.3">
      <c r="A628" s="3"/>
      <c r="B628" s="5"/>
      <c r="C628" s="147" t="s">
        <v>13</v>
      </c>
      <c r="D628" s="148" t="s">
        <v>14</v>
      </c>
      <c r="E628" s="148" t="s">
        <v>15</v>
      </c>
      <c r="F628" s="148" t="s">
        <v>16</v>
      </c>
      <c r="G628" s="148" t="s">
        <v>17</v>
      </c>
      <c r="H628" s="148" t="s">
        <v>18</v>
      </c>
      <c r="I628" s="148" t="s">
        <v>19</v>
      </c>
      <c r="J628" s="148" t="s">
        <v>20</v>
      </c>
      <c r="K628" s="148" t="s">
        <v>21</v>
      </c>
      <c r="L628" s="148" t="s">
        <v>22</v>
      </c>
      <c r="M628" s="148" t="s">
        <v>23</v>
      </c>
      <c r="N628" s="148" t="s">
        <v>24</v>
      </c>
      <c r="O628" s="148" t="s">
        <v>25</v>
      </c>
      <c r="P628" s="148" t="s">
        <v>26</v>
      </c>
      <c r="Q628" s="148" t="s">
        <v>27</v>
      </c>
      <c r="R628" s="342" t="s">
        <v>30</v>
      </c>
      <c r="S628" s="343"/>
      <c r="T628" s="343"/>
      <c r="U628" s="343"/>
      <c r="V628" s="343"/>
      <c r="W628" s="343"/>
      <c r="X628" s="343"/>
      <c r="Y628" s="343"/>
      <c r="Z628" s="343"/>
      <c r="AA628" s="343"/>
      <c r="AB628" s="343"/>
      <c r="AC628" s="343"/>
      <c r="AD628" s="343"/>
      <c r="AE628" s="343"/>
      <c r="AF628" s="344"/>
      <c r="AG628" s="67" t="s">
        <v>28</v>
      </c>
      <c r="AH628" s="149" t="s">
        <v>29</v>
      </c>
      <c r="AI628" s="6"/>
    </row>
    <row r="629" spans="1:35" ht="15.75" thickBot="1" x14ac:dyDescent="0.3">
      <c r="A629" s="3"/>
      <c r="B629" s="5"/>
      <c r="C629" s="150">
        <v>0</v>
      </c>
      <c r="D629" s="151">
        <v>0</v>
      </c>
      <c r="E629" s="151">
        <v>0</v>
      </c>
      <c r="F629" s="151">
        <v>0</v>
      </c>
      <c r="G629" s="151">
        <v>0</v>
      </c>
      <c r="H629" s="151">
        <v>0</v>
      </c>
      <c r="I629" s="151">
        <v>0</v>
      </c>
      <c r="J629" s="151">
        <v>0</v>
      </c>
      <c r="K629" s="151">
        <v>0</v>
      </c>
      <c r="L629" s="151">
        <v>0</v>
      </c>
      <c r="M629" s="151">
        <v>0</v>
      </c>
      <c r="N629" s="151">
        <v>0</v>
      </c>
      <c r="O629" s="151">
        <v>1</v>
      </c>
      <c r="P629" s="151">
        <v>0</v>
      </c>
      <c r="Q629" s="151">
        <v>0</v>
      </c>
      <c r="R629" s="151">
        <v>0</v>
      </c>
      <c r="S629" s="151">
        <v>0</v>
      </c>
      <c r="T629" s="151">
        <v>0</v>
      </c>
      <c r="U629" s="151">
        <v>0</v>
      </c>
      <c r="V629" s="151">
        <v>0</v>
      </c>
      <c r="W629" s="151">
        <v>0</v>
      </c>
      <c r="X629" s="151">
        <v>0</v>
      </c>
      <c r="Y629" s="151">
        <v>0</v>
      </c>
      <c r="Z629" s="151">
        <v>1</v>
      </c>
      <c r="AA629" s="151">
        <v>1</v>
      </c>
      <c r="AB629" s="151">
        <v>0</v>
      </c>
      <c r="AC629" s="151">
        <v>1</v>
      </c>
      <c r="AD629" s="151">
        <v>0</v>
      </c>
      <c r="AE629" s="151">
        <v>0</v>
      </c>
      <c r="AF629" s="151">
        <v>1</v>
      </c>
      <c r="AG629" s="151">
        <v>0</v>
      </c>
      <c r="AH629" s="152">
        <v>0</v>
      </c>
      <c r="AI629" s="6"/>
    </row>
    <row r="630" spans="1:35" x14ac:dyDescent="0.25">
      <c r="A630" s="3"/>
      <c r="B630" s="4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6"/>
    </row>
    <row r="631" spans="1:35" x14ac:dyDescent="0.25">
      <c r="A631" s="3"/>
      <c r="B631" s="8" t="s">
        <v>43</v>
      </c>
      <c r="C631" s="9"/>
      <c r="D631" s="9"/>
      <c r="E631" s="9"/>
      <c r="F631" s="44" t="s">
        <v>44</v>
      </c>
      <c r="G631" s="44"/>
      <c r="H631" s="44"/>
      <c r="I631" s="9"/>
      <c r="J631" s="45" t="s">
        <v>45</v>
      </c>
      <c r="K631" s="45"/>
      <c r="L631" s="45"/>
      <c r="M631" s="45"/>
      <c r="N631" s="9"/>
      <c r="O631" s="46" t="s">
        <v>46</v>
      </c>
      <c r="P631" s="46"/>
      <c r="Q631" s="46"/>
      <c r="R631" s="46"/>
      <c r="S631" s="9"/>
      <c r="T631" s="1" t="s">
        <v>49</v>
      </c>
      <c r="U631" s="10" t="s">
        <v>48</v>
      </c>
      <c r="V631" s="5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6"/>
    </row>
    <row r="632" spans="1:35" ht="15" customHeight="1" x14ac:dyDescent="0.25">
      <c r="A632" s="3"/>
      <c r="B632" s="42" t="str">
        <f>"0x"&amp;DEC2HEX(Sheet3!$I$4,8)</f>
        <v>0x00400320</v>
      </c>
      <c r="C632" s="42"/>
      <c r="D632" s="42"/>
      <c r="E632" s="12"/>
      <c r="F632" s="319" t="str">
        <f>"0x"&amp;BIN2HEX(CONCATENATE(C625,D625,E625,F625,G625,H625,I625,J625),2)&amp;BIN2HEX(CONCATENATE(K625,L625,M625,N625,O625,P625,Q625,R625),2)&amp;BIN2HEX(CONCATENATE(S625,T625,U625,V625,W625,X625,Y625,Z625),2)&amp;BIN2HEX(CONCATENATE(AA625,AB625,AC625,AD625,AE625,AF625,AG625,AH625),2)</f>
        <v>0xFFFFFFFF</v>
      </c>
      <c r="G632" s="319"/>
      <c r="H632" s="319"/>
      <c r="I632" s="12"/>
      <c r="J632" s="319" t="str">
        <f>"0b"&amp;C629&amp;D629&amp;E629&amp;F629&amp;G629&amp;H629&amp;I629&amp;J629&amp;K629&amp;L629&amp;M629&amp;N629&amp;O629&amp;P629&amp;Q629</f>
        <v>0b000000000000100</v>
      </c>
      <c r="K632" s="319"/>
      <c r="L632" s="319"/>
      <c r="M632" s="319"/>
      <c r="N632" s="12"/>
      <c r="O632" s="319" t="str">
        <f>"0b"&amp;DEC2BIN(((AF629+AE629*2+AD629*4+AC629*8+AB629*16+AA629*32+Z629*64+Y629*128+X629*256+W629*512+V629*1024+U629*2048+T629*4096+S629*2^13+R629*2^14)/512),6)&amp;DEC2BIN(MOD((AF629+AE629*2+AD629*4+AC629*8+AB629*16+AA629*32+Z629*64+Y629*128+X629*256+W629*512+V629*1024+U629*2048+T629*4096+S629*2^13+R629*2^14),512),9)</f>
        <v>0b000000001101001</v>
      </c>
      <c r="P632" s="319"/>
      <c r="Q632" s="319"/>
      <c r="R632" s="319"/>
      <c r="S632" s="12"/>
      <c r="T632" s="13">
        <v>0</v>
      </c>
      <c r="U632" s="13">
        <f>AH629</f>
        <v>0</v>
      </c>
      <c r="V632" s="5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6"/>
    </row>
    <row r="633" spans="1:35" x14ac:dyDescent="0.25">
      <c r="A633" s="3"/>
      <c r="B633" s="42"/>
      <c r="C633" s="42"/>
      <c r="D633" s="42"/>
      <c r="E633" s="15"/>
      <c r="F633" s="43"/>
      <c r="G633" s="43"/>
      <c r="H633" s="43"/>
      <c r="I633" s="15"/>
      <c r="J633" s="42"/>
      <c r="K633" s="42"/>
      <c r="L633" s="42"/>
      <c r="M633" s="42"/>
      <c r="N633" s="15"/>
      <c r="O633" s="42"/>
      <c r="P633" s="42"/>
      <c r="Q633" s="42"/>
      <c r="R633" s="42"/>
      <c r="S633" s="15"/>
      <c r="T633" s="13"/>
      <c r="U633" s="15"/>
      <c r="V633" s="5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6"/>
    </row>
    <row r="634" spans="1:35" x14ac:dyDescent="0.25">
      <c r="A634" s="3"/>
      <c r="B634" s="42"/>
      <c r="C634" s="42"/>
      <c r="D634" s="42"/>
      <c r="E634" s="15"/>
      <c r="F634" s="43"/>
      <c r="G634" s="43"/>
      <c r="H634" s="43"/>
      <c r="I634" s="15"/>
      <c r="J634" s="42"/>
      <c r="K634" s="42"/>
      <c r="L634" s="42"/>
      <c r="M634" s="42"/>
      <c r="N634" s="15"/>
      <c r="O634" s="42"/>
      <c r="P634" s="42"/>
      <c r="Q634" s="42"/>
      <c r="R634" s="42"/>
      <c r="S634" s="15"/>
      <c r="T634" s="13"/>
      <c r="U634" s="15"/>
      <c r="V634" s="5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6"/>
    </row>
    <row r="635" spans="1:35" x14ac:dyDescent="0.25">
      <c r="A635" s="3"/>
      <c r="B635" s="5"/>
      <c r="C635" s="5"/>
      <c r="D635" s="5"/>
      <c r="E635" s="5"/>
      <c r="F635" s="17"/>
      <c r="G635" s="17"/>
      <c r="H635" s="17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6"/>
    </row>
    <row r="636" spans="1:35" x14ac:dyDescent="0.25">
      <c r="A636" s="3"/>
      <c r="B636" s="5" t="s">
        <v>47</v>
      </c>
      <c r="C636" s="18"/>
      <c r="D636" s="18"/>
      <c r="E636" s="18"/>
      <c r="F636" s="5"/>
      <c r="G636" s="5"/>
      <c r="H636" s="5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6"/>
    </row>
    <row r="637" spans="1:35" ht="15" customHeight="1" x14ac:dyDescent="0.25">
      <c r="A637" s="3"/>
      <c r="B637" s="42" t="str">
        <f>"0x"&amp;DEC2HEX(Sheet3!$I$4,8)</f>
        <v>0x00400320</v>
      </c>
      <c r="C637" s="42"/>
      <c r="D637" s="42"/>
      <c r="E637" s="16"/>
      <c r="F637" s="322" t="str">
        <f>F632&amp;BIN2HEX(MID(J632,3,8),2)&amp;BIN2HEX(RIGHT(J632,7)&amp;MID(O632,3,1),2)&amp;BIN2HEX(MID(O632,4,8),2)&amp;BIN2HEX(RIGHT(O632,6)&amp;T632&amp;U632,2)</f>
        <v>0xFFFFFFFF000801A4</v>
      </c>
      <c r="G637" s="322"/>
      <c r="H637" s="322"/>
      <c r="I637" s="322"/>
      <c r="J637" s="5"/>
      <c r="K637" s="5"/>
      <c r="L637" s="5"/>
      <c r="M637" s="5"/>
      <c r="N637" s="5"/>
      <c r="O637" s="5"/>
      <c r="P637" s="16"/>
      <c r="Q637" s="16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5"/>
      <c r="AH637" s="5"/>
      <c r="AI637" s="6"/>
    </row>
    <row r="638" spans="1:35" x14ac:dyDescent="0.25">
      <c r="A638" s="3"/>
      <c r="B638" s="37"/>
      <c r="C638" s="37"/>
      <c r="D638" s="37"/>
      <c r="E638" s="5"/>
      <c r="F638" s="38"/>
      <c r="G638" s="38"/>
      <c r="H638" s="38"/>
      <c r="I638" s="38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6"/>
    </row>
    <row r="639" spans="1:35" x14ac:dyDescent="0.25">
      <c r="A639" s="3"/>
      <c r="B639" s="37"/>
      <c r="C639" s="37"/>
      <c r="D639" s="37"/>
      <c r="E639" s="5"/>
      <c r="F639" s="38"/>
      <c r="G639" s="38"/>
      <c r="H639" s="38"/>
      <c r="I639" s="38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6"/>
    </row>
    <row r="640" spans="1:35" x14ac:dyDescent="0.25">
      <c r="A640" s="20"/>
      <c r="B640" s="21"/>
      <c r="C640" s="21"/>
      <c r="D640" s="21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2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1"/>
      <c r="AI640" s="23"/>
    </row>
    <row r="641" spans="1:35" x14ac:dyDescent="0.25">
      <c r="A641" s="24"/>
      <c r="B641" s="28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D641" s="25"/>
      <c r="AE641" s="25"/>
      <c r="AF641" s="25"/>
      <c r="AG641" s="25"/>
      <c r="AH641" s="25"/>
      <c r="AI641" s="26"/>
    </row>
    <row r="642" spans="1:35" x14ac:dyDescent="0.25">
      <c r="A642" s="3"/>
      <c r="B642" s="4" t="s">
        <v>160</v>
      </c>
      <c r="C642" s="5"/>
      <c r="D642" s="5"/>
      <c r="E642" s="5"/>
      <c r="F642" s="5"/>
      <c r="G642" s="5"/>
      <c r="H642" s="5"/>
      <c r="I642" s="5" t="str">
        <f>"0x"&amp;BIN2HEX(CONCATENATE(C647,D647,E647,F647,G647,H647,I647,J647),2)&amp;BIN2HEX(CONCATENATE(K647,L647,M647,N647,O647,P647,Q647,R647),2)&amp;BIN2HEX(CONCATENATE(S647,T647,U647,V647,W647,X647,Y647,Z647),2)&amp;BIN2HEX(CONCATENATE(AA647,AB647,AC647,AD647,AE647,AF647,AG647,AH647),2)&amp;"_"&amp;BIN2HEX(CONCATENATE(C651,D651,E651,F651,G651,H651,I651,J651),2)&amp;BIN2HEX(CONCATENATE(K651,L651,M651,N651,O651,P651,Q651,R651),2)&amp;BIN2HEX(CONCATENATE(S651,T651,U651,V651,W651,X651,Y651,Z651),2)&amp;BIN2HEX(CONCATENATE(AA651,AB651,AC651,AD651,AE651,AF651,AG651,AH651),2)</f>
        <v>0x00000000_00080600</v>
      </c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6"/>
    </row>
    <row r="643" spans="1:35" ht="15.75" thickBot="1" x14ac:dyDescent="0.3">
      <c r="A643" s="3"/>
      <c r="B643" s="5"/>
      <c r="C643" s="7">
        <v>0</v>
      </c>
      <c r="D643" s="7">
        <v>1</v>
      </c>
      <c r="E643" s="7">
        <v>2</v>
      </c>
      <c r="F643" s="7">
        <v>3</v>
      </c>
      <c r="G643" s="7">
        <v>4</v>
      </c>
      <c r="H643" s="7">
        <v>5</v>
      </c>
      <c r="I643" s="7">
        <v>6</v>
      </c>
      <c r="J643" s="7">
        <v>7</v>
      </c>
      <c r="K643" s="7">
        <v>8</v>
      </c>
      <c r="L643" s="7">
        <v>9</v>
      </c>
      <c r="M643" s="7">
        <v>10</v>
      </c>
      <c r="N643" s="7">
        <v>11</v>
      </c>
      <c r="O643" s="7">
        <v>12</v>
      </c>
      <c r="P643" s="7">
        <v>13</v>
      </c>
      <c r="Q643" s="7">
        <v>14</v>
      </c>
      <c r="R643" s="7">
        <v>15</v>
      </c>
      <c r="S643" s="7">
        <v>16</v>
      </c>
      <c r="T643" s="7">
        <v>17</v>
      </c>
      <c r="U643" s="7">
        <v>18</v>
      </c>
      <c r="V643" s="7">
        <v>19</v>
      </c>
      <c r="W643" s="7">
        <v>20</v>
      </c>
      <c r="X643" s="7">
        <v>21</v>
      </c>
      <c r="Y643" s="7">
        <v>22</v>
      </c>
      <c r="Z643" s="7">
        <v>23</v>
      </c>
      <c r="AA643" s="7">
        <v>24</v>
      </c>
      <c r="AB643" s="7">
        <v>25</v>
      </c>
      <c r="AC643" s="7">
        <v>26</v>
      </c>
      <c r="AD643" s="7">
        <v>27</v>
      </c>
      <c r="AE643" s="7">
        <v>28</v>
      </c>
      <c r="AF643" s="7">
        <v>29</v>
      </c>
      <c r="AG643" s="7">
        <v>30</v>
      </c>
      <c r="AH643" s="7">
        <v>31</v>
      </c>
      <c r="AI643" s="6"/>
    </row>
    <row r="644" spans="1:35" x14ac:dyDescent="0.25">
      <c r="A644" s="3"/>
      <c r="B644" s="5" t="s">
        <v>31</v>
      </c>
      <c r="C644" s="328" t="s">
        <v>161</v>
      </c>
      <c r="D644" s="330" t="s">
        <v>63</v>
      </c>
      <c r="E644" s="331"/>
      <c r="F644" s="331"/>
      <c r="G644" s="331"/>
      <c r="H644" s="331"/>
      <c r="I644" s="331"/>
      <c r="J644" s="332"/>
      <c r="K644" s="336">
        <v>0</v>
      </c>
      <c r="L644" s="337"/>
      <c r="M644" s="337"/>
      <c r="N644" s="337"/>
      <c r="O644" s="337"/>
      <c r="P644" s="337"/>
      <c r="Q644" s="337"/>
      <c r="R644" s="337"/>
      <c r="S644" s="337"/>
      <c r="T644" s="337"/>
      <c r="U644" s="337"/>
      <c r="V644" s="337"/>
      <c r="W644" s="337"/>
      <c r="X644" s="337"/>
      <c r="Y644" s="337"/>
      <c r="Z644" s="337"/>
      <c r="AA644" s="337"/>
      <c r="AB644" s="337"/>
      <c r="AC644" s="337"/>
      <c r="AD644" s="337"/>
      <c r="AE644" s="337"/>
      <c r="AF644" s="337"/>
      <c r="AG644" s="337"/>
      <c r="AH644" s="338"/>
      <c r="AI644" s="6"/>
    </row>
    <row r="645" spans="1:35" x14ac:dyDescent="0.25">
      <c r="A645" s="3"/>
      <c r="B645" s="5" t="s">
        <v>32</v>
      </c>
      <c r="C645" s="329"/>
      <c r="D645" s="333"/>
      <c r="E645" s="334"/>
      <c r="F645" s="334"/>
      <c r="G645" s="334"/>
      <c r="H645" s="334"/>
      <c r="I645" s="334"/>
      <c r="J645" s="335"/>
      <c r="K645" s="339"/>
      <c r="L645" s="340"/>
      <c r="M645" s="340"/>
      <c r="N645" s="340"/>
      <c r="O645" s="340"/>
      <c r="P645" s="340"/>
      <c r="Q645" s="340"/>
      <c r="R645" s="340"/>
      <c r="S645" s="340"/>
      <c r="T645" s="340"/>
      <c r="U645" s="340"/>
      <c r="V645" s="340"/>
      <c r="W645" s="340"/>
      <c r="X645" s="340"/>
      <c r="Y645" s="340"/>
      <c r="Z645" s="340"/>
      <c r="AA645" s="340"/>
      <c r="AB645" s="340"/>
      <c r="AC645" s="340"/>
      <c r="AD645" s="340"/>
      <c r="AE645" s="340"/>
      <c r="AF645" s="340"/>
      <c r="AG645" s="340"/>
      <c r="AH645" s="341"/>
      <c r="AI645" s="6"/>
    </row>
    <row r="646" spans="1:35" x14ac:dyDescent="0.25">
      <c r="A646" s="3"/>
      <c r="B646" s="5" t="s">
        <v>11</v>
      </c>
      <c r="C646" s="56">
        <v>0</v>
      </c>
      <c r="D646" s="57">
        <v>0</v>
      </c>
      <c r="E646" s="57">
        <v>0</v>
      </c>
      <c r="F646" s="57">
        <v>0</v>
      </c>
      <c r="G646" s="57">
        <v>0</v>
      </c>
      <c r="H646" s="57">
        <v>0</v>
      </c>
      <c r="I646" s="57">
        <v>0</v>
      </c>
      <c r="J646" s="57">
        <v>0</v>
      </c>
      <c r="K646" s="57">
        <v>0</v>
      </c>
      <c r="L646" s="57">
        <v>0</v>
      </c>
      <c r="M646" s="57">
        <v>0</v>
      </c>
      <c r="N646" s="57">
        <v>0</v>
      </c>
      <c r="O646" s="57">
        <v>0</v>
      </c>
      <c r="P646" s="57">
        <v>0</v>
      </c>
      <c r="Q646" s="57">
        <v>0</v>
      </c>
      <c r="R646" s="57">
        <v>0</v>
      </c>
      <c r="S646" s="57">
        <v>0</v>
      </c>
      <c r="T646" s="57">
        <v>0</v>
      </c>
      <c r="U646" s="57">
        <v>0</v>
      </c>
      <c r="V646" s="57">
        <v>0</v>
      </c>
      <c r="W646" s="57">
        <v>0</v>
      </c>
      <c r="X646" s="57">
        <v>0</v>
      </c>
      <c r="Y646" s="57">
        <v>0</v>
      </c>
      <c r="Z646" s="57">
        <v>0</v>
      </c>
      <c r="AA646" s="57">
        <v>0</v>
      </c>
      <c r="AB646" s="57">
        <v>0</v>
      </c>
      <c r="AC646" s="57">
        <v>0</v>
      </c>
      <c r="AD646" s="57">
        <v>0</v>
      </c>
      <c r="AE646" s="57">
        <v>0</v>
      </c>
      <c r="AF646" s="57">
        <v>0</v>
      </c>
      <c r="AG646" s="57">
        <v>0</v>
      </c>
      <c r="AH646" s="58">
        <v>0</v>
      </c>
      <c r="AI646" s="6"/>
    </row>
    <row r="647" spans="1:35" ht="15.75" thickBot="1" x14ac:dyDescent="0.3">
      <c r="A647" s="3"/>
      <c r="B647" s="5" t="s">
        <v>12</v>
      </c>
      <c r="C647" s="145">
        <v>0</v>
      </c>
      <c r="D647" s="88">
        <v>0</v>
      </c>
      <c r="E647" s="88">
        <v>0</v>
      </c>
      <c r="F647" s="88">
        <v>0</v>
      </c>
      <c r="G647" s="88">
        <v>0</v>
      </c>
      <c r="H647" s="88">
        <v>0</v>
      </c>
      <c r="I647" s="88">
        <v>0</v>
      </c>
      <c r="J647" s="88">
        <v>0</v>
      </c>
      <c r="K647" s="62">
        <v>0</v>
      </c>
      <c r="L647" s="62">
        <v>0</v>
      </c>
      <c r="M647" s="62">
        <v>0</v>
      </c>
      <c r="N647" s="62">
        <v>0</v>
      </c>
      <c r="O647" s="62">
        <v>0</v>
      </c>
      <c r="P647" s="62">
        <v>0</v>
      </c>
      <c r="Q647" s="62">
        <v>0</v>
      </c>
      <c r="R647" s="62">
        <v>0</v>
      </c>
      <c r="S647" s="62">
        <v>0</v>
      </c>
      <c r="T647" s="62">
        <v>0</v>
      </c>
      <c r="U647" s="62">
        <v>0</v>
      </c>
      <c r="V647" s="62">
        <v>0</v>
      </c>
      <c r="W647" s="62">
        <v>0</v>
      </c>
      <c r="X647" s="62">
        <v>0</v>
      </c>
      <c r="Y647" s="62">
        <v>0</v>
      </c>
      <c r="Z647" s="62">
        <v>0</v>
      </c>
      <c r="AA647" s="62">
        <v>0</v>
      </c>
      <c r="AB647" s="62">
        <v>0</v>
      </c>
      <c r="AC647" s="62">
        <v>0</v>
      </c>
      <c r="AD647" s="62">
        <v>0</v>
      </c>
      <c r="AE647" s="62">
        <v>0</v>
      </c>
      <c r="AF647" s="62">
        <v>0</v>
      </c>
      <c r="AG647" s="62">
        <v>0</v>
      </c>
      <c r="AH647" s="146">
        <v>0</v>
      </c>
      <c r="AI647" s="6"/>
    </row>
    <row r="648" spans="1:35" x14ac:dyDescent="0.25">
      <c r="A648" s="3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6"/>
    </row>
    <row r="649" spans="1:35" ht="15.75" thickBot="1" x14ac:dyDescent="0.3">
      <c r="A649" s="3"/>
      <c r="B649" s="5"/>
      <c r="C649" s="7">
        <v>32</v>
      </c>
      <c r="D649" s="7">
        <v>33</v>
      </c>
      <c r="E649" s="7">
        <v>34</v>
      </c>
      <c r="F649" s="7">
        <v>35</v>
      </c>
      <c r="G649" s="7">
        <v>36</v>
      </c>
      <c r="H649" s="7">
        <v>37</v>
      </c>
      <c r="I649" s="7">
        <v>38</v>
      </c>
      <c r="J649" s="7">
        <v>39</v>
      </c>
      <c r="K649" s="7">
        <v>40</v>
      </c>
      <c r="L649" s="7">
        <v>41</v>
      </c>
      <c r="M649" s="7">
        <v>42</v>
      </c>
      <c r="N649" s="7">
        <v>43</v>
      </c>
      <c r="O649" s="7">
        <v>44</v>
      </c>
      <c r="P649" s="7">
        <v>45</v>
      </c>
      <c r="Q649" s="7">
        <v>46</v>
      </c>
      <c r="R649" s="7">
        <v>47</v>
      </c>
      <c r="S649" s="7">
        <v>48</v>
      </c>
      <c r="T649" s="7">
        <v>49</v>
      </c>
      <c r="U649" s="7">
        <v>50</v>
      </c>
      <c r="V649" s="7">
        <v>51</v>
      </c>
      <c r="W649" s="7">
        <v>52</v>
      </c>
      <c r="X649" s="7">
        <v>53</v>
      </c>
      <c r="Y649" s="7">
        <v>54</v>
      </c>
      <c r="Z649" s="7">
        <v>55</v>
      </c>
      <c r="AA649" s="7">
        <v>56</v>
      </c>
      <c r="AB649" s="7">
        <v>57</v>
      </c>
      <c r="AC649" s="7">
        <v>58</v>
      </c>
      <c r="AD649" s="7">
        <v>59</v>
      </c>
      <c r="AE649" s="7">
        <v>60</v>
      </c>
      <c r="AF649" s="7">
        <v>61</v>
      </c>
      <c r="AG649" s="7">
        <v>62</v>
      </c>
      <c r="AH649" s="7">
        <v>63</v>
      </c>
      <c r="AI649" s="6"/>
    </row>
    <row r="650" spans="1:35" ht="15.75" thickBot="1" x14ac:dyDescent="0.3">
      <c r="A650" s="3"/>
      <c r="B650" s="5"/>
      <c r="C650" s="147" t="s">
        <v>13</v>
      </c>
      <c r="D650" s="148" t="s">
        <v>14</v>
      </c>
      <c r="E650" s="148" t="s">
        <v>15</v>
      </c>
      <c r="F650" s="148" t="s">
        <v>16</v>
      </c>
      <c r="G650" s="148" t="s">
        <v>17</v>
      </c>
      <c r="H650" s="148" t="s">
        <v>18</v>
      </c>
      <c r="I650" s="148" t="s">
        <v>19</v>
      </c>
      <c r="J650" s="148" t="s">
        <v>20</v>
      </c>
      <c r="K650" s="148" t="s">
        <v>21</v>
      </c>
      <c r="L650" s="148" t="s">
        <v>22</v>
      </c>
      <c r="M650" s="148" t="s">
        <v>23</v>
      </c>
      <c r="N650" s="148" t="s">
        <v>24</v>
      </c>
      <c r="O650" s="148" t="s">
        <v>25</v>
      </c>
      <c r="P650" s="148" t="s">
        <v>26</v>
      </c>
      <c r="Q650" s="148" t="s">
        <v>27</v>
      </c>
      <c r="R650" s="342" t="s">
        <v>30</v>
      </c>
      <c r="S650" s="343"/>
      <c r="T650" s="343"/>
      <c r="U650" s="343"/>
      <c r="V650" s="343"/>
      <c r="W650" s="343"/>
      <c r="X650" s="343"/>
      <c r="Y650" s="343"/>
      <c r="Z650" s="343"/>
      <c r="AA650" s="343"/>
      <c r="AB650" s="343"/>
      <c r="AC650" s="343"/>
      <c r="AD650" s="343"/>
      <c r="AE650" s="343"/>
      <c r="AF650" s="344"/>
      <c r="AG650" s="67" t="s">
        <v>28</v>
      </c>
      <c r="AH650" s="149" t="s">
        <v>29</v>
      </c>
      <c r="AI650" s="6"/>
    </row>
    <row r="651" spans="1:35" ht="15.75" thickBot="1" x14ac:dyDescent="0.3">
      <c r="A651" s="3"/>
      <c r="B651" s="5"/>
      <c r="C651" s="150">
        <v>0</v>
      </c>
      <c r="D651" s="151">
        <v>0</v>
      </c>
      <c r="E651" s="151">
        <v>0</v>
      </c>
      <c r="F651" s="151">
        <v>0</v>
      </c>
      <c r="G651" s="151">
        <v>0</v>
      </c>
      <c r="H651" s="151">
        <v>0</v>
      </c>
      <c r="I651" s="151">
        <v>0</v>
      </c>
      <c r="J651" s="151">
        <v>0</v>
      </c>
      <c r="K651" s="151">
        <v>0</v>
      </c>
      <c r="L651" s="151">
        <v>0</v>
      </c>
      <c r="M651" s="151">
        <v>0</v>
      </c>
      <c r="N651" s="151">
        <v>0</v>
      </c>
      <c r="O651" s="151">
        <v>1</v>
      </c>
      <c r="P651" s="151">
        <v>0</v>
      </c>
      <c r="Q651" s="151">
        <v>0</v>
      </c>
      <c r="R651" s="151">
        <v>0</v>
      </c>
      <c r="S651" s="151">
        <v>0</v>
      </c>
      <c r="T651" s="151">
        <v>0</v>
      </c>
      <c r="U651" s="151">
        <v>0</v>
      </c>
      <c r="V651" s="151">
        <v>0</v>
      </c>
      <c r="W651" s="151">
        <v>0</v>
      </c>
      <c r="X651" s="151">
        <v>1</v>
      </c>
      <c r="Y651" s="151">
        <v>1</v>
      </c>
      <c r="Z651" s="151">
        <v>0</v>
      </c>
      <c r="AA651" s="151">
        <v>0</v>
      </c>
      <c r="AB651" s="151">
        <v>0</v>
      </c>
      <c r="AC651" s="151">
        <v>0</v>
      </c>
      <c r="AD651" s="151">
        <v>0</v>
      </c>
      <c r="AE651" s="151">
        <v>0</v>
      </c>
      <c r="AF651" s="151">
        <v>0</v>
      </c>
      <c r="AG651" s="151">
        <v>0</v>
      </c>
      <c r="AH651" s="152">
        <v>0</v>
      </c>
      <c r="AI651" s="6"/>
    </row>
    <row r="652" spans="1:35" x14ac:dyDescent="0.25">
      <c r="A652" s="3"/>
      <c r="B652" s="4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6"/>
    </row>
    <row r="653" spans="1:35" x14ac:dyDescent="0.25">
      <c r="A653" s="3"/>
      <c r="B653" s="8" t="s">
        <v>43</v>
      </c>
      <c r="C653" s="9"/>
      <c r="D653" s="9"/>
      <c r="E653" s="9"/>
      <c r="F653" s="44" t="s">
        <v>44</v>
      </c>
      <c r="G653" s="44"/>
      <c r="H653" s="44"/>
      <c r="I653" s="9"/>
      <c r="J653" s="45" t="s">
        <v>45</v>
      </c>
      <c r="K653" s="45"/>
      <c r="L653" s="45"/>
      <c r="M653" s="45"/>
      <c r="N653" s="9"/>
      <c r="O653" s="46" t="s">
        <v>46</v>
      </c>
      <c r="P653" s="46"/>
      <c r="Q653" s="46"/>
      <c r="R653" s="46"/>
      <c r="S653" s="9"/>
      <c r="T653" s="1" t="s">
        <v>49</v>
      </c>
      <c r="U653" s="10" t="s">
        <v>48</v>
      </c>
      <c r="V653" s="5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6"/>
    </row>
    <row r="654" spans="1:35" ht="15" customHeight="1" x14ac:dyDescent="0.25">
      <c r="A654" s="3"/>
      <c r="B654" s="42" t="str">
        <f>"0x"&amp;DEC2HEX(Sheet3!$I$4,8)</f>
        <v>0x00400320</v>
      </c>
      <c r="C654" s="42"/>
      <c r="D654" s="42"/>
      <c r="E654" s="12"/>
      <c r="F654" s="319" t="str">
        <f>"0x"&amp;BIN2HEX(CONCATENATE(C647,D647,E647,F647,G647,H647,I647,J647),2)&amp;BIN2HEX(CONCATENATE(K647,L647,M647,N647,O647,P647,Q647,R647),2)&amp;BIN2HEX(CONCATENATE(S647,T647,U647,V647,W647,X647,Y647,Z647),2)&amp;BIN2HEX(CONCATENATE(AA647,AB647,AC647,AD647,AE647,AF647,AG647,AH647),2)</f>
        <v>0x00000000</v>
      </c>
      <c r="G654" s="319"/>
      <c r="H654" s="319"/>
      <c r="I654" s="12"/>
      <c r="J654" s="319" t="str">
        <f>"0b"&amp;C651&amp;D651&amp;E651&amp;F651&amp;G651&amp;H651&amp;I651&amp;J651&amp;K651&amp;L651&amp;M651&amp;N651&amp;O651&amp;P651&amp;Q651</f>
        <v>0b000000000000100</v>
      </c>
      <c r="K654" s="319"/>
      <c r="L654" s="319"/>
      <c r="M654" s="319"/>
      <c r="N654" s="12"/>
      <c r="O654" s="319" t="str">
        <f>"0b"&amp;DEC2BIN(((AF651+AE651*2+AD651*4+AC651*8+AB651*16+AA651*32+Z651*64+Y651*128+X651*256+W651*512+V651*1024+U651*2048+T651*4096+S651*2^13+R651*2^14)/512),6)&amp;DEC2BIN(MOD((AF651+AE651*2+AD651*4+AC651*8+AB651*16+AA651*32+Z651*64+Y651*128+X651*256+W651*512+V651*1024+U651*2048+T651*4096+S651*2^13+R651*2^14),512),9)</f>
        <v>0b000000110000000</v>
      </c>
      <c r="P654" s="319"/>
      <c r="Q654" s="319"/>
      <c r="R654" s="319"/>
      <c r="S654" s="12"/>
      <c r="T654" s="13">
        <v>0</v>
      </c>
      <c r="U654" s="13">
        <f>AH651</f>
        <v>0</v>
      </c>
      <c r="V654" s="5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6"/>
    </row>
    <row r="655" spans="1:35" x14ac:dyDescent="0.25">
      <c r="A655" s="3"/>
      <c r="B655" s="42"/>
      <c r="C655" s="42"/>
      <c r="D655" s="42"/>
      <c r="E655" s="15"/>
      <c r="F655" s="43"/>
      <c r="G655" s="43"/>
      <c r="H655" s="43"/>
      <c r="I655" s="15"/>
      <c r="J655" s="42"/>
      <c r="K655" s="42"/>
      <c r="L655" s="42"/>
      <c r="M655" s="42"/>
      <c r="N655" s="15"/>
      <c r="O655" s="42"/>
      <c r="P655" s="42"/>
      <c r="Q655" s="42"/>
      <c r="R655" s="42"/>
      <c r="S655" s="15"/>
      <c r="T655" s="13"/>
      <c r="U655" s="15"/>
      <c r="V655" s="5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6"/>
    </row>
    <row r="656" spans="1:35" x14ac:dyDescent="0.25">
      <c r="A656" s="3"/>
      <c r="B656" s="42"/>
      <c r="C656" s="42"/>
      <c r="D656" s="42"/>
      <c r="E656" s="15"/>
      <c r="F656" s="43"/>
      <c r="G656" s="43"/>
      <c r="H656" s="43"/>
      <c r="I656" s="15"/>
      <c r="J656" s="42"/>
      <c r="K656" s="42"/>
      <c r="L656" s="42"/>
      <c r="M656" s="42"/>
      <c r="N656" s="15"/>
      <c r="O656" s="42"/>
      <c r="P656" s="42"/>
      <c r="Q656" s="42"/>
      <c r="R656" s="42"/>
      <c r="S656" s="15"/>
      <c r="T656" s="13"/>
      <c r="U656" s="15"/>
      <c r="V656" s="5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6"/>
    </row>
    <row r="657" spans="1:35" x14ac:dyDescent="0.25">
      <c r="A657" s="3"/>
      <c r="B657" s="5"/>
      <c r="C657" s="5"/>
      <c r="D657" s="5"/>
      <c r="E657" s="5"/>
      <c r="F657" s="17"/>
      <c r="G657" s="17"/>
      <c r="H657" s="17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6"/>
    </row>
    <row r="658" spans="1:35" x14ac:dyDescent="0.25">
      <c r="A658" s="3"/>
      <c r="B658" s="5" t="s">
        <v>47</v>
      </c>
      <c r="C658" s="18"/>
      <c r="D658" s="18"/>
      <c r="E658" s="18"/>
      <c r="F658" s="5"/>
      <c r="G658" s="5"/>
      <c r="H658" s="5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6"/>
    </row>
    <row r="659" spans="1:35" ht="15" customHeight="1" x14ac:dyDescent="0.25">
      <c r="A659" s="3"/>
      <c r="B659" s="42" t="str">
        <f>"0x"&amp;DEC2HEX(Sheet3!$I$4,8)</f>
        <v>0x00400320</v>
      </c>
      <c r="C659" s="42"/>
      <c r="D659" s="42"/>
      <c r="E659" s="16"/>
      <c r="F659" s="322" t="str">
        <f>F654&amp;BIN2HEX(MID(J654,3,8),2)&amp;BIN2HEX(RIGHT(J654,7)&amp;MID(O654,3,1),2)&amp;BIN2HEX(MID(O654,4,8),2)&amp;BIN2HEX(RIGHT(O654,6)&amp;T654&amp;U654,2)</f>
        <v>0x0000000000080600</v>
      </c>
      <c r="G659" s="322"/>
      <c r="H659" s="322"/>
      <c r="I659" s="322"/>
      <c r="J659" s="5"/>
      <c r="K659" s="5"/>
      <c r="L659" s="5"/>
      <c r="M659" s="5"/>
      <c r="N659" s="5"/>
      <c r="O659" s="5"/>
      <c r="P659" s="16"/>
      <c r="Q659" s="16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5"/>
      <c r="AH659" s="5"/>
      <c r="AI659" s="6"/>
    </row>
    <row r="660" spans="1:35" x14ac:dyDescent="0.25">
      <c r="A660" s="3"/>
      <c r="B660" s="37"/>
      <c r="C660" s="37"/>
      <c r="D660" s="37"/>
      <c r="E660" s="5"/>
      <c r="F660" s="38"/>
      <c r="G660" s="38"/>
      <c r="H660" s="38"/>
      <c r="I660" s="38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6"/>
    </row>
    <row r="661" spans="1:35" x14ac:dyDescent="0.25">
      <c r="A661" s="3"/>
      <c r="B661" s="37"/>
      <c r="C661" s="37"/>
      <c r="D661" s="37"/>
      <c r="E661" s="5"/>
      <c r="F661" s="38"/>
      <c r="G661" s="38"/>
      <c r="H661" s="38"/>
      <c r="I661" s="38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6"/>
    </row>
    <row r="662" spans="1:35" x14ac:dyDescent="0.25">
      <c r="A662" s="20"/>
      <c r="B662" s="21"/>
      <c r="C662" s="21"/>
      <c r="D662" s="21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2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  <c r="AI662" s="23"/>
    </row>
    <row r="663" spans="1:35" x14ac:dyDescent="0.25">
      <c r="A663" s="24"/>
      <c r="B663" s="28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D663" s="25"/>
      <c r="AE663" s="25"/>
      <c r="AF663" s="25"/>
      <c r="AG663" s="25"/>
      <c r="AH663" s="25"/>
      <c r="AI663" s="26"/>
    </row>
    <row r="664" spans="1:35" x14ac:dyDescent="0.25">
      <c r="A664" s="3"/>
      <c r="B664" s="4" t="s">
        <v>162</v>
      </c>
      <c r="C664" s="5"/>
      <c r="D664" s="5"/>
      <c r="E664" s="5"/>
      <c r="F664" s="5"/>
      <c r="G664" s="5"/>
      <c r="H664" s="5"/>
      <c r="I664" s="5" t="str">
        <f>"0x"&amp;BIN2HEX(CONCATENATE(C669,D669,E669,F669,G669,H669,I669,J669),2)&amp;BIN2HEX(CONCATENATE(K669,L669,M669,N669,O669,P669,Q669,R669),2)&amp;BIN2HEX(CONCATENATE(S669,T669,U669,V669,W669,X669,Y669,Z669),2)&amp;BIN2HEX(CONCATENATE(AA669,AB669,AC669,AD669,AE669,AF669,AG669,AH669),2)&amp;"_"&amp;BIN2HEX(CONCATENATE(C673,D673,E673,F673,G673,H673,I673,J673),2)&amp;BIN2HEX(CONCATENATE(K673,L673,M673,N673,O673,P673,Q673,R673),2)&amp;BIN2HEX(CONCATENATE(S673,T673,U673,V673,W673,X673,Y673,Z673),2)&amp;BIN2HEX(CONCATENATE(AA673,AB673,AC673,AD673,AE673,AF673,AG673,AH673),2)</f>
        <v>0x00000000_00080604</v>
      </c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6"/>
    </row>
    <row r="665" spans="1:35" ht="15.75" thickBot="1" x14ac:dyDescent="0.3">
      <c r="A665" s="3"/>
      <c r="B665" s="5"/>
      <c r="C665" s="7">
        <v>0</v>
      </c>
      <c r="D665" s="7">
        <v>1</v>
      </c>
      <c r="E665" s="7">
        <v>2</v>
      </c>
      <c r="F665" s="7">
        <v>3</v>
      </c>
      <c r="G665" s="7">
        <v>4</v>
      </c>
      <c r="H665" s="7">
        <v>5</v>
      </c>
      <c r="I665" s="7">
        <v>6</v>
      </c>
      <c r="J665" s="7">
        <v>7</v>
      </c>
      <c r="K665" s="7">
        <v>8</v>
      </c>
      <c r="L665" s="7">
        <v>9</v>
      </c>
      <c r="M665" s="7">
        <v>10</v>
      </c>
      <c r="N665" s="7">
        <v>11</v>
      </c>
      <c r="O665" s="7">
        <v>12</v>
      </c>
      <c r="P665" s="7">
        <v>13</v>
      </c>
      <c r="Q665" s="7">
        <v>14</v>
      </c>
      <c r="R665" s="7">
        <v>15</v>
      </c>
      <c r="S665" s="7">
        <v>16</v>
      </c>
      <c r="T665" s="7">
        <v>17</v>
      </c>
      <c r="U665" s="7">
        <v>18</v>
      </c>
      <c r="V665" s="7">
        <v>19</v>
      </c>
      <c r="W665" s="7">
        <v>20</v>
      </c>
      <c r="X665" s="7">
        <v>21</v>
      </c>
      <c r="Y665" s="7">
        <v>22</v>
      </c>
      <c r="Z665" s="7">
        <v>23</v>
      </c>
      <c r="AA665" s="7">
        <v>24</v>
      </c>
      <c r="AB665" s="7">
        <v>25</v>
      </c>
      <c r="AC665" s="7">
        <v>26</v>
      </c>
      <c r="AD665" s="7">
        <v>27</v>
      </c>
      <c r="AE665" s="7">
        <v>28</v>
      </c>
      <c r="AF665" s="7">
        <v>29</v>
      </c>
      <c r="AG665" s="7">
        <v>30</v>
      </c>
      <c r="AH665" s="7">
        <v>31</v>
      </c>
      <c r="AI665" s="6"/>
    </row>
    <row r="666" spans="1:35" ht="15" customHeight="1" x14ac:dyDescent="0.25">
      <c r="A666" s="3"/>
      <c r="B666" s="5" t="s">
        <v>31</v>
      </c>
      <c r="C666" s="328" t="s">
        <v>161</v>
      </c>
      <c r="D666" s="330" t="s">
        <v>63</v>
      </c>
      <c r="E666" s="331"/>
      <c r="F666" s="331"/>
      <c r="G666" s="331"/>
      <c r="H666" s="331"/>
      <c r="I666" s="331"/>
      <c r="J666" s="332"/>
      <c r="K666" s="336">
        <v>0</v>
      </c>
      <c r="L666" s="337"/>
      <c r="M666" s="337"/>
      <c r="N666" s="337"/>
      <c r="O666" s="337"/>
      <c r="P666" s="337"/>
      <c r="Q666" s="337"/>
      <c r="R666" s="337"/>
      <c r="S666" s="337"/>
      <c r="T666" s="337"/>
      <c r="U666" s="337"/>
      <c r="V666" s="337"/>
      <c r="W666" s="337"/>
      <c r="X666" s="337"/>
      <c r="Y666" s="337"/>
      <c r="Z666" s="337"/>
      <c r="AA666" s="337"/>
      <c r="AB666" s="337"/>
      <c r="AC666" s="337"/>
      <c r="AD666" s="337"/>
      <c r="AE666" s="337"/>
      <c r="AF666" s="337"/>
      <c r="AG666" s="337"/>
      <c r="AH666" s="338"/>
      <c r="AI666" s="6"/>
    </row>
    <row r="667" spans="1:35" x14ac:dyDescent="0.25">
      <c r="A667" s="3"/>
      <c r="B667" s="5" t="s">
        <v>32</v>
      </c>
      <c r="C667" s="329"/>
      <c r="D667" s="333"/>
      <c r="E667" s="334"/>
      <c r="F667" s="334"/>
      <c r="G667" s="334"/>
      <c r="H667" s="334"/>
      <c r="I667" s="334"/>
      <c r="J667" s="335"/>
      <c r="K667" s="339"/>
      <c r="L667" s="340"/>
      <c r="M667" s="340"/>
      <c r="N667" s="340"/>
      <c r="O667" s="340"/>
      <c r="P667" s="340"/>
      <c r="Q667" s="340"/>
      <c r="R667" s="340"/>
      <c r="S667" s="340"/>
      <c r="T667" s="340"/>
      <c r="U667" s="340"/>
      <c r="V667" s="340"/>
      <c r="W667" s="340"/>
      <c r="X667" s="340"/>
      <c r="Y667" s="340"/>
      <c r="Z667" s="340"/>
      <c r="AA667" s="340"/>
      <c r="AB667" s="340"/>
      <c r="AC667" s="340"/>
      <c r="AD667" s="340"/>
      <c r="AE667" s="340"/>
      <c r="AF667" s="340"/>
      <c r="AG667" s="340"/>
      <c r="AH667" s="341"/>
      <c r="AI667" s="6"/>
    </row>
    <row r="668" spans="1:35" x14ac:dyDescent="0.25">
      <c r="A668" s="3"/>
      <c r="B668" s="5" t="s">
        <v>11</v>
      </c>
      <c r="C668" s="56">
        <v>0</v>
      </c>
      <c r="D668" s="57">
        <v>0</v>
      </c>
      <c r="E668" s="57">
        <v>0</v>
      </c>
      <c r="F668" s="57">
        <v>0</v>
      </c>
      <c r="G668" s="57">
        <v>0</v>
      </c>
      <c r="H668" s="57">
        <v>0</v>
      </c>
      <c r="I668" s="57">
        <v>0</v>
      </c>
      <c r="J668" s="57">
        <v>0</v>
      </c>
      <c r="K668" s="57">
        <v>0</v>
      </c>
      <c r="L668" s="57">
        <v>0</v>
      </c>
      <c r="M668" s="57">
        <v>0</v>
      </c>
      <c r="N668" s="57">
        <v>0</v>
      </c>
      <c r="O668" s="57">
        <v>0</v>
      </c>
      <c r="P668" s="57">
        <v>0</v>
      </c>
      <c r="Q668" s="57">
        <v>0</v>
      </c>
      <c r="R668" s="57">
        <v>0</v>
      </c>
      <c r="S668" s="57">
        <v>0</v>
      </c>
      <c r="T668" s="57">
        <v>0</v>
      </c>
      <c r="U668" s="57">
        <v>0</v>
      </c>
      <c r="V668" s="57">
        <v>0</v>
      </c>
      <c r="W668" s="57">
        <v>0</v>
      </c>
      <c r="X668" s="57">
        <v>0</v>
      </c>
      <c r="Y668" s="57">
        <v>0</v>
      </c>
      <c r="Z668" s="57">
        <v>0</v>
      </c>
      <c r="AA668" s="57">
        <v>0</v>
      </c>
      <c r="AB668" s="57">
        <v>0</v>
      </c>
      <c r="AC668" s="57">
        <v>0</v>
      </c>
      <c r="AD668" s="57">
        <v>0</v>
      </c>
      <c r="AE668" s="57">
        <v>0</v>
      </c>
      <c r="AF668" s="57">
        <v>0</v>
      </c>
      <c r="AG668" s="57">
        <v>0</v>
      </c>
      <c r="AH668" s="58">
        <v>0</v>
      </c>
      <c r="AI668" s="6"/>
    </row>
    <row r="669" spans="1:35" ht="15.75" thickBot="1" x14ac:dyDescent="0.3">
      <c r="A669" s="3"/>
      <c r="B669" s="5" t="s">
        <v>12</v>
      </c>
      <c r="C669" s="145">
        <v>0</v>
      </c>
      <c r="D669" s="88">
        <v>0</v>
      </c>
      <c r="E669" s="88">
        <v>0</v>
      </c>
      <c r="F669" s="88">
        <v>0</v>
      </c>
      <c r="G669" s="88">
        <v>0</v>
      </c>
      <c r="H669" s="88">
        <v>0</v>
      </c>
      <c r="I669" s="88">
        <v>0</v>
      </c>
      <c r="J669" s="88">
        <v>0</v>
      </c>
      <c r="K669" s="62">
        <v>0</v>
      </c>
      <c r="L669" s="62">
        <v>0</v>
      </c>
      <c r="M669" s="62">
        <v>0</v>
      </c>
      <c r="N669" s="62">
        <v>0</v>
      </c>
      <c r="O669" s="62">
        <v>0</v>
      </c>
      <c r="P669" s="62">
        <v>0</v>
      </c>
      <c r="Q669" s="62">
        <v>0</v>
      </c>
      <c r="R669" s="62">
        <v>0</v>
      </c>
      <c r="S669" s="62">
        <v>0</v>
      </c>
      <c r="T669" s="62">
        <v>0</v>
      </c>
      <c r="U669" s="62">
        <v>0</v>
      </c>
      <c r="V669" s="62">
        <v>0</v>
      </c>
      <c r="W669" s="62">
        <v>0</v>
      </c>
      <c r="X669" s="62">
        <v>0</v>
      </c>
      <c r="Y669" s="62">
        <v>0</v>
      </c>
      <c r="Z669" s="62">
        <v>0</v>
      </c>
      <c r="AA669" s="62">
        <v>0</v>
      </c>
      <c r="AB669" s="62">
        <v>0</v>
      </c>
      <c r="AC669" s="62">
        <v>0</v>
      </c>
      <c r="AD669" s="62">
        <v>0</v>
      </c>
      <c r="AE669" s="62">
        <v>0</v>
      </c>
      <c r="AF669" s="62">
        <v>0</v>
      </c>
      <c r="AG669" s="62">
        <v>0</v>
      </c>
      <c r="AH669" s="146">
        <v>0</v>
      </c>
      <c r="AI669" s="6"/>
    </row>
    <row r="670" spans="1:35" x14ac:dyDescent="0.25">
      <c r="A670" s="3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6"/>
    </row>
    <row r="671" spans="1:35" ht="15.75" thickBot="1" x14ac:dyDescent="0.3">
      <c r="A671" s="3"/>
      <c r="B671" s="5"/>
      <c r="C671" s="7">
        <v>32</v>
      </c>
      <c r="D671" s="7">
        <v>33</v>
      </c>
      <c r="E671" s="7">
        <v>34</v>
      </c>
      <c r="F671" s="7">
        <v>35</v>
      </c>
      <c r="G671" s="7">
        <v>36</v>
      </c>
      <c r="H671" s="7">
        <v>37</v>
      </c>
      <c r="I671" s="7">
        <v>38</v>
      </c>
      <c r="J671" s="7">
        <v>39</v>
      </c>
      <c r="K671" s="7">
        <v>40</v>
      </c>
      <c r="L671" s="7">
        <v>41</v>
      </c>
      <c r="M671" s="7">
        <v>42</v>
      </c>
      <c r="N671" s="7">
        <v>43</v>
      </c>
      <c r="O671" s="7">
        <v>44</v>
      </c>
      <c r="P671" s="7">
        <v>45</v>
      </c>
      <c r="Q671" s="7">
        <v>46</v>
      </c>
      <c r="R671" s="7">
        <v>47</v>
      </c>
      <c r="S671" s="7">
        <v>48</v>
      </c>
      <c r="T671" s="7">
        <v>49</v>
      </c>
      <c r="U671" s="7">
        <v>50</v>
      </c>
      <c r="V671" s="7">
        <v>51</v>
      </c>
      <c r="W671" s="7">
        <v>52</v>
      </c>
      <c r="X671" s="7">
        <v>53</v>
      </c>
      <c r="Y671" s="7">
        <v>54</v>
      </c>
      <c r="Z671" s="7">
        <v>55</v>
      </c>
      <c r="AA671" s="7">
        <v>56</v>
      </c>
      <c r="AB671" s="7">
        <v>57</v>
      </c>
      <c r="AC671" s="7">
        <v>58</v>
      </c>
      <c r="AD671" s="7">
        <v>59</v>
      </c>
      <c r="AE671" s="7">
        <v>60</v>
      </c>
      <c r="AF671" s="7">
        <v>61</v>
      </c>
      <c r="AG671" s="7">
        <v>62</v>
      </c>
      <c r="AH671" s="7">
        <v>63</v>
      </c>
      <c r="AI671" s="6"/>
    </row>
    <row r="672" spans="1:35" ht="15.75" thickBot="1" x14ac:dyDescent="0.3">
      <c r="A672" s="3"/>
      <c r="B672" s="5"/>
      <c r="C672" s="147" t="s">
        <v>13</v>
      </c>
      <c r="D672" s="148" t="s">
        <v>14</v>
      </c>
      <c r="E672" s="148" t="s">
        <v>15</v>
      </c>
      <c r="F672" s="148" t="s">
        <v>16</v>
      </c>
      <c r="G672" s="148" t="s">
        <v>17</v>
      </c>
      <c r="H672" s="148" t="s">
        <v>18</v>
      </c>
      <c r="I672" s="148" t="s">
        <v>19</v>
      </c>
      <c r="J672" s="148" t="s">
        <v>20</v>
      </c>
      <c r="K672" s="148" t="s">
        <v>21</v>
      </c>
      <c r="L672" s="148" t="s">
        <v>22</v>
      </c>
      <c r="M672" s="148" t="s">
        <v>23</v>
      </c>
      <c r="N672" s="148" t="s">
        <v>24</v>
      </c>
      <c r="O672" s="148" t="s">
        <v>25</v>
      </c>
      <c r="P672" s="148" t="s">
        <v>26</v>
      </c>
      <c r="Q672" s="148" t="s">
        <v>27</v>
      </c>
      <c r="R672" s="342" t="s">
        <v>30</v>
      </c>
      <c r="S672" s="343"/>
      <c r="T672" s="343"/>
      <c r="U672" s="343"/>
      <c r="V672" s="343"/>
      <c r="W672" s="343"/>
      <c r="X672" s="343"/>
      <c r="Y672" s="343"/>
      <c r="Z672" s="343"/>
      <c r="AA672" s="343"/>
      <c r="AB672" s="343"/>
      <c r="AC672" s="343"/>
      <c r="AD672" s="343"/>
      <c r="AE672" s="343"/>
      <c r="AF672" s="344"/>
      <c r="AG672" s="67" t="s">
        <v>28</v>
      </c>
      <c r="AH672" s="149" t="s">
        <v>29</v>
      </c>
      <c r="AI672" s="6"/>
    </row>
    <row r="673" spans="1:35" ht="15.75" thickBot="1" x14ac:dyDescent="0.3">
      <c r="A673" s="3"/>
      <c r="B673" s="5"/>
      <c r="C673" s="150">
        <v>0</v>
      </c>
      <c r="D673" s="151">
        <v>0</v>
      </c>
      <c r="E673" s="151">
        <v>0</v>
      </c>
      <c r="F673" s="151">
        <v>0</v>
      </c>
      <c r="G673" s="151">
        <v>0</v>
      </c>
      <c r="H673" s="151">
        <v>0</v>
      </c>
      <c r="I673" s="151">
        <v>0</v>
      </c>
      <c r="J673" s="151">
        <v>0</v>
      </c>
      <c r="K673" s="151">
        <v>0</v>
      </c>
      <c r="L673" s="151">
        <v>0</v>
      </c>
      <c r="M673" s="151">
        <v>0</v>
      </c>
      <c r="N673" s="151">
        <v>0</v>
      </c>
      <c r="O673" s="151">
        <v>1</v>
      </c>
      <c r="P673" s="151">
        <v>0</v>
      </c>
      <c r="Q673" s="151">
        <v>0</v>
      </c>
      <c r="R673" s="151">
        <v>0</v>
      </c>
      <c r="S673" s="151">
        <v>0</v>
      </c>
      <c r="T673" s="151">
        <v>0</v>
      </c>
      <c r="U673" s="151">
        <v>0</v>
      </c>
      <c r="V673" s="151">
        <v>0</v>
      </c>
      <c r="W673" s="151">
        <v>0</v>
      </c>
      <c r="X673" s="151">
        <v>1</v>
      </c>
      <c r="Y673" s="151">
        <v>1</v>
      </c>
      <c r="Z673" s="151">
        <v>0</v>
      </c>
      <c r="AA673" s="151">
        <v>0</v>
      </c>
      <c r="AB673" s="151">
        <v>0</v>
      </c>
      <c r="AC673" s="151">
        <v>0</v>
      </c>
      <c r="AD673" s="151">
        <v>0</v>
      </c>
      <c r="AE673" s="151">
        <v>0</v>
      </c>
      <c r="AF673" s="151">
        <v>1</v>
      </c>
      <c r="AG673" s="151">
        <v>0</v>
      </c>
      <c r="AH673" s="152">
        <v>0</v>
      </c>
      <c r="AI673" s="6"/>
    </row>
    <row r="674" spans="1:35" x14ac:dyDescent="0.25">
      <c r="A674" s="3"/>
      <c r="B674" s="4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6"/>
    </row>
    <row r="675" spans="1:35" x14ac:dyDescent="0.25">
      <c r="A675" s="3"/>
      <c r="B675" s="8" t="s">
        <v>43</v>
      </c>
      <c r="C675" s="9"/>
      <c r="D675" s="9"/>
      <c r="E675" s="9"/>
      <c r="F675" s="44" t="s">
        <v>44</v>
      </c>
      <c r="G675" s="44"/>
      <c r="H675" s="44"/>
      <c r="I675" s="9"/>
      <c r="J675" s="45" t="s">
        <v>45</v>
      </c>
      <c r="K675" s="45"/>
      <c r="L675" s="45"/>
      <c r="M675" s="45"/>
      <c r="N675" s="9"/>
      <c r="O675" s="46" t="s">
        <v>46</v>
      </c>
      <c r="P675" s="46"/>
      <c r="Q675" s="46"/>
      <c r="R675" s="46"/>
      <c r="S675" s="9"/>
      <c r="T675" s="1" t="s">
        <v>49</v>
      </c>
      <c r="U675" s="10" t="s">
        <v>48</v>
      </c>
      <c r="V675" s="5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6"/>
    </row>
    <row r="676" spans="1:35" ht="15" customHeight="1" x14ac:dyDescent="0.25">
      <c r="A676" s="3"/>
      <c r="B676" s="42" t="str">
        <f>"0x"&amp;DEC2HEX(Sheet3!$I$4,8)</f>
        <v>0x00400320</v>
      </c>
      <c r="C676" s="42"/>
      <c r="D676" s="42"/>
      <c r="E676" s="12"/>
      <c r="F676" s="319" t="str">
        <f>"0x"&amp;BIN2HEX(CONCATENATE(C669,D669,E669,F669,G669,H669,I669,J669),2)&amp;BIN2HEX(CONCATENATE(K669,L669,M669,N669,O669,P669,Q669,R669),2)&amp;BIN2HEX(CONCATENATE(S669,T669,U669,V669,W669,X669,Y669,Z669),2)&amp;BIN2HEX(CONCATENATE(AA669,AB669,AC669,AD669,AE669,AF669,AG669,AH669),2)</f>
        <v>0x00000000</v>
      </c>
      <c r="G676" s="319"/>
      <c r="H676" s="319"/>
      <c r="I676" s="12"/>
      <c r="J676" s="319" t="str">
        <f>"0b"&amp;C673&amp;D673&amp;E673&amp;F673&amp;G673&amp;H673&amp;I673&amp;J673&amp;K673&amp;L673&amp;M673&amp;N673&amp;O673&amp;P673&amp;Q673</f>
        <v>0b000000000000100</v>
      </c>
      <c r="K676" s="319"/>
      <c r="L676" s="319"/>
      <c r="M676" s="319"/>
      <c r="N676" s="12"/>
      <c r="O676" s="319" t="str">
        <f>"0b"&amp;DEC2BIN(((AF673+AE673*2+AD673*4+AC673*8+AB673*16+AA673*32+Z673*64+Y673*128+X673*256+W673*512+V673*1024+U673*2048+T673*4096+S673*2^13+R673*2^14)/512),6)&amp;DEC2BIN(MOD((AF673+AE673*2+AD673*4+AC673*8+AB673*16+AA673*32+Z673*64+Y673*128+X673*256+W673*512+V673*1024+U673*2048+T673*4096+S673*2^13+R673*2^14),512),9)</f>
        <v>0b000000110000001</v>
      </c>
      <c r="P676" s="319"/>
      <c r="Q676" s="319"/>
      <c r="R676" s="319"/>
      <c r="S676" s="12"/>
      <c r="T676" s="13">
        <v>0</v>
      </c>
      <c r="U676" s="13">
        <f>AH673</f>
        <v>0</v>
      </c>
      <c r="V676" s="5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6"/>
    </row>
    <row r="677" spans="1:35" x14ac:dyDescent="0.25">
      <c r="A677" s="3"/>
      <c r="B677" s="42"/>
      <c r="C677" s="42"/>
      <c r="D677" s="42"/>
      <c r="E677" s="15"/>
      <c r="F677" s="43"/>
      <c r="G677" s="43"/>
      <c r="H677" s="43"/>
      <c r="I677" s="15"/>
      <c r="J677" s="42"/>
      <c r="K677" s="42"/>
      <c r="L677" s="42"/>
      <c r="M677" s="42"/>
      <c r="N677" s="15"/>
      <c r="O677" s="42"/>
      <c r="P677" s="42"/>
      <c r="Q677" s="42"/>
      <c r="R677" s="42"/>
      <c r="S677" s="15"/>
      <c r="T677" s="13"/>
      <c r="U677" s="15"/>
      <c r="V677" s="5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6"/>
    </row>
    <row r="678" spans="1:35" x14ac:dyDescent="0.25">
      <c r="A678" s="3"/>
      <c r="B678" s="42"/>
      <c r="C678" s="42"/>
      <c r="D678" s="42"/>
      <c r="E678" s="15"/>
      <c r="F678" s="43"/>
      <c r="G678" s="43"/>
      <c r="H678" s="43"/>
      <c r="I678" s="15"/>
      <c r="J678" s="42"/>
      <c r="K678" s="42"/>
      <c r="L678" s="42"/>
      <c r="M678" s="42"/>
      <c r="N678" s="15"/>
      <c r="O678" s="42"/>
      <c r="P678" s="42"/>
      <c r="Q678" s="42"/>
      <c r="R678" s="42"/>
      <c r="S678" s="15"/>
      <c r="T678" s="13"/>
      <c r="U678" s="15"/>
      <c r="V678" s="5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6"/>
    </row>
    <row r="679" spans="1:35" x14ac:dyDescent="0.25">
      <c r="A679" s="3"/>
      <c r="B679" s="5"/>
      <c r="C679" s="5"/>
      <c r="D679" s="5"/>
      <c r="E679" s="5"/>
      <c r="F679" s="17"/>
      <c r="G679" s="17"/>
      <c r="H679" s="17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6"/>
    </row>
    <row r="680" spans="1:35" x14ac:dyDescent="0.25">
      <c r="A680" s="3"/>
      <c r="B680" s="5" t="s">
        <v>47</v>
      </c>
      <c r="C680" s="18"/>
      <c r="D680" s="18"/>
      <c r="E680" s="18"/>
      <c r="F680" s="5"/>
      <c r="G680" s="5"/>
      <c r="H680" s="5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6"/>
    </row>
    <row r="681" spans="1:35" ht="15" customHeight="1" x14ac:dyDescent="0.25">
      <c r="A681" s="3"/>
      <c r="B681" s="42" t="str">
        <f>"0x"&amp;DEC2HEX(Sheet3!$I$4,8)</f>
        <v>0x00400320</v>
      </c>
      <c r="C681" s="42"/>
      <c r="D681" s="42"/>
      <c r="E681" s="16"/>
      <c r="F681" s="322" t="str">
        <f>F676&amp;BIN2HEX(MID(J676,3,8),2)&amp;BIN2HEX(RIGHT(J676,7)&amp;MID(O676,3,1),2)&amp;BIN2HEX(MID(O676,4,8),2)&amp;BIN2HEX(RIGHT(O676,6)&amp;T676&amp;U676,2)</f>
        <v>0x0000000000080604</v>
      </c>
      <c r="G681" s="322"/>
      <c r="H681" s="322"/>
      <c r="I681" s="322"/>
      <c r="J681" s="5"/>
      <c r="K681" s="5"/>
      <c r="L681" s="5"/>
      <c r="M681" s="5"/>
      <c r="N681" s="5"/>
      <c r="O681" s="5"/>
      <c r="P681" s="16"/>
      <c r="Q681" s="16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5"/>
      <c r="AH681" s="5"/>
      <c r="AI681" s="6"/>
    </row>
    <row r="682" spans="1:35" x14ac:dyDescent="0.25">
      <c r="A682" s="3"/>
      <c r="B682" s="37"/>
      <c r="C682" s="37"/>
      <c r="D682" s="37"/>
      <c r="E682" s="5"/>
      <c r="F682" s="38"/>
      <c r="G682" s="38"/>
      <c r="H682" s="38"/>
      <c r="I682" s="38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6"/>
    </row>
    <row r="683" spans="1:35" x14ac:dyDescent="0.25">
      <c r="A683" s="3"/>
      <c r="B683" s="37"/>
      <c r="C683" s="37"/>
      <c r="D683" s="37"/>
      <c r="E683" s="5"/>
      <c r="F683" s="38"/>
      <c r="G683" s="38"/>
      <c r="H683" s="38"/>
      <c r="I683" s="38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6"/>
    </row>
    <row r="684" spans="1:35" x14ac:dyDescent="0.25">
      <c r="A684" s="20"/>
      <c r="B684" s="21"/>
      <c r="C684" s="21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2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  <c r="AI684" s="23"/>
    </row>
    <row r="685" spans="1:35" x14ac:dyDescent="0.25">
      <c r="A685" s="24"/>
      <c r="B685" s="28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6"/>
    </row>
    <row r="686" spans="1:35" x14ac:dyDescent="0.25">
      <c r="A686" s="3"/>
      <c r="B686" s="4" t="s">
        <v>163</v>
      </c>
      <c r="C686" s="5"/>
      <c r="D686" s="5"/>
      <c r="E686" s="5"/>
      <c r="F686" s="5"/>
      <c r="G686" s="5"/>
      <c r="H686" s="5"/>
      <c r="I686" s="5" t="str">
        <f>"0x"&amp;BIN2HEX(CONCATENATE(C691,D691,E691,F691,G691,H691,I691,J691),2)&amp;BIN2HEX(CONCATENATE(K691,L691,M691,N691,O691,P691,Q691,R691),2)&amp;BIN2HEX(CONCATENATE(S691,T691,U691,V691,W691,X691,Y691,Z691),2)&amp;BIN2HEX(CONCATENATE(AA691,AB691,AC691,AD691,AE691,AF691,AG691,AH691),2)&amp;"_"&amp;BIN2HEX(CONCATENATE(C695,D695,E695,F695,G695,H695,I695,J695),2)&amp;BIN2HEX(CONCATENATE(K695,L695,M695,N695,O695,P695,Q695,R695),2)&amp;BIN2HEX(CONCATENATE(S695,T695,U695,V695,W695,X695,Y695,Z695),2)&amp;BIN2HEX(CONCATENATE(AA695,AB695,AC695,AD695,AE695,AF695,AG695,AH695),2)</f>
        <v>0x00000000_00080608</v>
      </c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6"/>
    </row>
    <row r="687" spans="1:35" ht="15.75" thickBot="1" x14ac:dyDescent="0.3">
      <c r="A687" s="3"/>
      <c r="B687" s="5"/>
      <c r="C687" s="7">
        <v>0</v>
      </c>
      <c r="D687" s="7">
        <v>1</v>
      </c>
      <c r="E687" s="7">
        <v>2</v>
      </c>
      <c r="F687" s="7">
        <v>3</v>
      </c>
      <c r="G687" s="7">
        <v>4</v>
      </c>
      <c r="H687" s="7">
        <v>5</v>
      </c>
      <c r="I687" s="7">
        <v>6</v>
      </c>
      <c r="J687" s="7">
        <v>7</v>
      </c>
      <c r="K687" s="7">
        <v>8</v>
      </c>
      <c r="L687" s="7">
        <v>9</v>
      </c>
      <c r="M687" s="7">
        <v>10</v>
      </c>
      <c r="N687" s="7">
        <v>11</v>
      </c>
      <c r="O687" s="7">
        <v>12</v>
      </c>
      <c r="P687" s="7">
        <v>13</v>
      </c>
      <c r="Q687" s="7">
        <v>14</v>
      </c>
      <c r="R687" s="7">
        <v>15</v>
      </c>
      <c r="S687" s="7">
        <v>16</v>
      </c>
      <c r="T687" s="7">
        <v>17</v>
      </c>
      <c r="U687" s="7">
        <v>18</v>
      </c>
      <c r="V687" s="7">
        <v>19</v>
      </c>
      <c r="W687" s="7">
        <v>20</v>
      </c>
      <c r="X687" s="7">
        <v>21</v>
      </c>
      <c r="Y687" s="7">
        <v>22</v>
      </c>
      <c r="Z687" s="7">
        <v>23</v>
      </c>
      <c r="AA687" s="7">
        <v>24</v>
      </c>
      <c r="AB687" s="7">
        <v>25</v>
      </c>
      <c r="AC687" s="7">
        <v>26</v>
      </c>
      <c r="AD687" s="7">
        <v>27</v>
      </c>
      <c r="AE687" s="7">
        <v>28</v>
      </c>
      <c r="AF687" s="7">
        <v>29</v>
      </c>
      <c r="AG687" s="7">
        <v>30</v>
      </c>
      <c r="AH687" s="7">
        <v>31</v>
      </c>
      <c r="AI687" s="6"/>
    </row>
    <row r="688" spans="1:35" ht="15" customHeight="1" x14ac:dyDescent="0.25">
      <c r="A688" s="3"/>
      <c r="B688" s="5" t="s">
        <v>31</v>
      </c>
      <c r="C688" s="328" t="s">
        <v>161</v>
      </c>
      <c r="D688" s="330" t="s">
        <v>63</v>
      </c>
      <c r="E688" s="331"/>
      <c r="F688" s="331"/>
      <c r="G688" s="331"/>
      <c r="H688" s="331"/>
      <c r="I688" s="331"/>
      <c r="J688" s="332"/>
      <c r="K688" s="336">
        <v>0</v>
      </c>
      <c r="L688" s="337"/>
      <c r="M688" s="337"/>
      <c r="N688" s="337"/>
      <c r="O688" s="337"/>
      <c r="P688" s="337"/>
      <c r="Q688" s="337"/>
      <c r="R688" s="337"/>
      <c r="S688" s="337"/>
      <c r="T688" s="337"/>
      <c r="U688" s="337"/>
      <c r="V688" s="337"/>
      <c r="W688" s="337"/>
      <c r="X688" s="337"/>
      <c r="Y688" s="337"/>
      <c r="Z688" s="337"/>
      <c r="AA688" s="337"/>
      <c r="AB688" s="337"/>
      <c r="AC688" s="337"/>
      <c r="AD688" s="337"/>
      <c r="AE688" s="337"/>
      <c r="AF688" s="337"/>
      <c r="AG688" s="337"/>
      <c r="AH688" s="338"/>
      <c r="AI688" s="6"/>
    </row>
    <row r="689" spans="1:35" x14ac:dyDescent="0.25">
      <c r="A689" s="3"/>
      <c r="B689" s="5" t="s">
        <v>32</v>
      </c>
      <c r="C689" s="329"/>
      <c r="D689" s="333"/>
      <c r="E689" s="334"/>
      <c r="F689" s="334"/>
      <c r="G689" s="334"/>
      <c r="H689" s="334"/>
      <c r="I689" s="334"/>
      <c r="J689" s="335"/>
      <c r="K689" s="339"/>
      <c r="L689" s="340"/>
      <c r="M689" s="340"/>
      <c r="N689" s="340"/>
      <c r="O689" s="340"/>
      <c r="P689" s="340"/>
      <c r="Q689" s="340"/>
      <c r="R689" s="340"/>
      <c r="S689" s="340"/>
      <c r="T689" s="340"/>
      <c r="U689" s="340"/>
      <c r="V689" s="340"/>
      <c r="W689" s="340"/>
      <c r="X689" s="340"/>
      <c r="Y689" s="340"/>
      <c r="Z689" s="340"/>
      <c r="AA689" s="340"/>
      <c r="AB689" s="340"/>
      <c r="AC689" s="340"/>
      <c r="AD689" s="340"/>
      <c r="AE689" s="340"/>
      <c r="AF689" s="340"/>
      <c r="AG689" s="340"/>
      <c r="AH689" s="341"/>
      <c r="AI689" s="6"/>
    </row>
    <row r="690" spans="1:35" x14ac:dyDescent="0.25">
      <c r="A690" s="3"/>
      <c r="B690" s="5" t="s">
        <v>11</v>
      </c>
      <c r="C690" s="56">
        <v>0</v>
      </c>
      <c r="D690" s="57">
        <v>0</v>
      </c>
      <c r="E690" s="57">
        <v>0</v>
      </c>
      <c r="F690" s="57">
        <v>0</v>
      </c>
      <c r="G690" s="57">
        <v>0</v>
      </c>
      <c r="H690" s="57">
        <v>0</v>
      </c>
      <c r="I690" s="57">
        <v>0</v>
      </c>
      <c r="J690" s="57">
        <v>0</v>
      </c>
      <c r="K690" s="57">
        <v>0</v>
      </c>
      <c r="L690" s="57">
        <v>0</v>
      </c>
      <c r="M690" s="57">
        <v>0</v>
      </c>
      <c r="N690" s="57">
        <v>0</v>
      </c>
      <c r="O690" s="57">
        <v>0</v>
      </c>
      <c r="P690" s="57">
        <v>0</v>
      </c>
      <c r="Q690" s="57">
        <v>0</v>
      </c>
      <c r="R690" s="57">
        <v>0</v>
      </c>
      <c r="S690" s="57">
        <v>0</v>
      </c>
      <c r="T690" s="57">
        <v>0</v>
      </c>
      <c r="U690" s="57">
        <v>0</v>
      </c>
      <c r="V690" s="57">
        <v>0</v>
      </c>
      <c r="W690" s="57">
        <v>0</v>
      </c>
      <c r="X690" s="57">
        <v>0</v>
      </c>
      <c r="Y690" s="57">
        <v>0</v>
      </c>
      <c r="Z690" s="57">
        <v>0</v>
      </c>
      <c r="AA690" s="57">
        <v>0</v>
      </c>
      <c r="AB690" s="57">
        <v>0</v>
      </c>
      <c r="AC690" s="57">
        <v>0</v>
      </c>
      <c r="AD690" s="57">
        <v>0</v>
      </c>
      <c r="AE690" s="57">
        <v>0</v>
      </c>
      <c r="AF690" s="57">
        <v>0</v>
      </c>
      <c r="AG690" s="57">
        <v>0</v>
      </c>
      <c r="AH690" s="58">
        <v>0</v>
      </c>
      <c r="AI690" s="6"/>
    </row>
    <row r="691" spans="1:35" ht="15.75" thickBot="1" x14ac:dyDescent="0.3">
      <c r="A691" s="3"/>
      <c r="B691" s="5" t="s">
        <v>12</v>
      </c>
      <c r="C691" s="145">
        <v>0</v>
      </c>
      <c r="D691" s="88">
        <v>0</v>
      </c>
      <c r="E691" s="88">
        <v>0</v>
      </c>
      <c r="F691" s="88">
        <v>0</v>
      </c>
      <c r="G691" s="88">
        <v>0</v>
      </c>
      <c r="H691" s="88">
        <v>0</v>
      </c>
      <c r="I691" s="88">
        <v>0</v>
      </c>
      <c r="J691" s="88">
        <v>0</v>
      </c>
      <c r="K691" s="62">
        <v>0</v>
      </c>
      <c r="L691" s="62">
        <v>0</v>
      </c>
      <c r="M691" s="62">
        <v>0</v>
      </c>
      <c r="N691" s="62">
        <v>0</v>
      </c>
      <c r="O691" s="62">
        <v>0</v>
      </c>
      <c r="P691" s="62">
        <v>0</v>
      </c>
      <c r="Q691" s="62">
        <v>0</v>
      </c>
      <c r="R691" s="62">
        <v>0</v>
      </c>
      <c r="S691" s="62">
        <v>0</v>
      </c>
      <c r="T691" s="62">
        <v>0</v>
      </c>
      <c r="U691" s="62">
        <v>0</v>
      </c>
      <c r="V691" s="62">
        <v>0</v>
      </c>
      <c r="W691" s="62">
        <v>0</v>
      </c>
      <c r="X691" s="62">
        <v>0</v>
      </c>
      <c r="Y691" s="62">
        <v>0</v>
      </c>
      <c r="Z691" s="62">
        <v>0</v>
      </c>
      <c r="AA691" s="62">
        <v>0</v>
      </c>
      <c r="AB691" s="62">
        <v>0</v>
      </c>
      <c r="AC691" s="62">
        <v>0</v>
      </c>
      <c r="AD691" s="62">
        <v>0</v>
      </c>
      <c r="AE691" s="62">
        <v>0</v>
      </c>
      <c r="AF691" s="62">
        <v>0</v>
      </c>
      <c r="AG691" s="62">
        <v>0</v>
      </c>
      <c r="AH691" s="146">
        <v>0</v>
      </c>
      <c r="AI691" s="6"/>
    </row>
    <row r="692" spans="1:35" x14ac:dyDescent="0.25">
      <c r="A692" s="3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6"/>
    </row>
    <row r="693" spans="1:35" ht="15.75" thickBot="1" x14ac:dyDescent="0.3">
      <c r="A693" s="3"/>
      <c r="B693" s="5"/>
      <c r="C693" s="7">
        <v>32</v>
      </c>
      <c r="D693" s="7">
        <v>33</v>
      </c>
      <c r="E693" s="7">
        <v>34</v>
      </c>
      <c r="F693" s="7">
        <v>35</v>
      </c>
      <c r="G693" s="7">
        <v>36</v>
      </c>
      <c r="H693" s="7">
        <v>37</v>
      </c>
      <c r="I693" s="7">
        <v>38</v>
      </c>
      <c r="J693" s="7">
        <v>39</v>
      </c>
      <c r="K693" s="7">
        <v>40</v>
      </c>
      <c r="L693" s="7">
        <v>41</v>
      </c>
      <c r="M693" s="7">
        <v>42</v>
      </c>
      <c r="N693" s="7">
        <v>43</v>
      </c>
      <c r="O693" s="7">
        <v>44</v>
      </c>
      <c r="P693" s="7">
        <v>45</v>
      </c>
      <c r="Q693" s="7">
        <v>46</v>
      </c>
      <c r="R693" s="7">
        <v>47</v>
      </c>
      <c r="S693" s="7">
        <v>48</v>
      </c>
      <c r="T693" s="7">
        <v>49</v>
      </c>
      <c r="U693" s="7">
        <v>50</v>
      </c>
      <c r="V693" s="7">
        <v>51</v>
      </c>
      <c r="W693" s="7">
        <v>52</v>
      </c>
      <c r="X693" s="7">
        <v>53</v>
      </c>
      <c r="Y693" s="7">
        <v>54</v>
      </c>
      <c r="Z693" s="7">
        <v>55</v>
      </c>
      <c r="AA693" s="7">
        <v>56</v>
      </c>
      <c r="AB693" s="7">
        <v>57</v>
      </c>
      <c r="AC693" s="7">
        <v>58</v>
      </c>
      <c r="AD693" s="7">
        <v>59</v>
      </c>
      <c r="AE693" s="7">
        <v>60</v>
      </c>
      <c r="AF693" s="7">
        <v>61</v>
      </c>
      <c r="AG693" s="7">
        <v>62</v>
      </c>
      <c r="AH693" s="7">
        <v>63</v>
      </c>
      <c r="AI693" s="6"/>
    </row>
    <row r="694" spans="1:35" ht="15.75" thickBot="1" x14ac:dyDescent="0.3">
      <c r="A694" s="3"/>
      <c r="B694" s="5"/>
      <c r="C694" s="147" t="s">
        <v>13</v>
      </c>
      <c r="D694" s="148" t="s">
        <v>14</v>
      </c>
      <c r="E694" s="148" t="s">
        <v>15</v>
      </c>
      <c r="F694" s="148" t="s">
        <v>16</v>
      </c>
      <c r="G694" s="148" t="s">
        <v>17</v>
      </c>
      <c r="H694" s="148" t="s">
        <v>18</v>
      </c>
      <c r="I694" s="148" t="s">
        <v>19</v>
      </c>
      <c r="J694" s="148" t="s">
        <v>20</v>
      </c>
      <c r="K694" s="148" t="s">
        <v>21</v>
      </c>
      <c r="L694" s="148" t="s">
        <v>22</v>
      </c>
      <c r="M694" s="148" t="s">
        <v>23</v>
      </c>
      <c r="N694" s="148" t="s">
        <v>24</v>
      </c>
      <c r="O694" s="148" t="s">
        <v>25</v>
      </c>
      <c r="P694" s="148" t="s">
        <v>26</v>
      </c>
      <c r="Q694" s="148" t="s">
        <v>27</v>
      </c>
      <c r="R694" s="342" t="s">
        <v>30</v>
      </c>
      <c r="S694" s="343"/>
      <c r="T694" s="343"/>
      <c r="U694" s="343"/>
      <c r="V694" s="343"/>
      <c r="W694" s="343"/>
      <c r="X694" s="343"/>
      <c r="Y694" s="343"/>
      <c r="Z694" s="343"/>
      <c r="AA694" s="343"/>
      <c r="AB694" s="343"/>
      <c r="AC694" s="343"/>
      <c r="AD694" s="343"/>
      <c r="AE694" s="343"/>
      <c r="AF694" s="344"/>
      <c r="AG694" s="67" t="s">
        <v>28</v>
      </c>
      <c r="AH694" s="149" t="s">
        <v>29</v>
      </c>
      <c r="AI694" s="6"/>
    </row>
    <row r="695" spans="1:35" ht="15.75" thickBot="1" x14ac:dyDescent="0.3">
      <c r="A695" s="3"/>
      <c r="B695" s="5"/>
      <c r="C695" s="150">
        <v>0</v>
      </c>
      <c r="D695" s="151">
        <v>0</v>
      </c>
      <c r="E695" s="151">
        <v>0</v>
      </c>
      <c r="F695" s="151">
        <v>0</v>
      </c>
      <c r="G695" s="151">
        <v>0</v>
      </c>
      <c r="H695" s="151">
        <v>0</v>
      </c>
      <c r="I695" s="151">
        <v>0</v>
      </c>
      <c r="J695" s="151">
        <v>0</v>
      </c>
      <c r="K695" s="151">
        <v>0</v>
      </c>
      <c r="L695" s="151">
        <v>0</v>
      </c>
      <c r="M695" s="151">
        <v>0</v>
      </c>
      <c r="N695" s="151">
        <v>0</v>
      </c>
      <c r="O695" s="151">
        <v>1</v>
      </c>
      <c r="P695" s="151">
        <v>0</v>
      </c>
      <c r="Q695" s="151">
        <v>0</v>
      </c>
      <c r="R695" s="151">
        <v>0</v>
      </c>
      <c r="S695" s="151">
        <v>0</v>
      </c>
      <c r="T695" s="151">
        <v>0</v>
      </c>
      <c r="U695" s="151">
        <v>0</v>
      </c>
      <c r="V695" s="151">
        <v>0</v>
      </c>
      <c r="W695" s="151">
        <v>0</v>
      </c>
      <c r="X695" s="151">
        <v>1</v>
      </c>
      <c r="Y695" s="151">
        <v>1</v>
      </c>
      <c r="Z695" s="151">
        <v>0</v>
      </c>
      <c r="AA695" s="151">
        <v>0</v>
      </c>
      <c r="AB695" s="151">
        <v>0</v>
      </c>
      <c r="AC695" s="151">
        <v>0</v>
      </c>
      <c r="AD695" s="151">
        <v>0</v>
      </c>
      <c r="AE695" s="151">
        <v>1</v>
      </c>
      <c r="AF695" s="151">
        <v>0</v>
      </c>
      <c r="AG695" s="151">
        <v>0</v>
      </c>
      <c r="AH695" s="152">
        <v>0</v>
      </c>
      <c r="AI695" s="6"/>
    </row>
    <row r="696" spans="1:35" x14ac:dyDescent="0.25">
      <c r="A696" s="3"/>
      <c r="B696" s="4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6"/>
    </row>
    <row r="697" spans="1:35" x14ac:dyDescent="0.25">
      <c r="A697" s="3"/>
      <c r="B697" s="8" t="s">
        <v>43</v>
      </c>
      <c r="C697" s="9"/>
      <c r="D697" s="9"/>
      <c r="E697" s="9"/>
      <c r="F697" s="44" t="s">
        <v>44</v>
      </c>
      <c r="G697" s="44"/>
      <c r="H697" s="44"/>
      <c r="I697" s="9"/>
      <c r="J697" s="45" t="s">
        <v>45</v>
      </c>
      <c r="K697" s="45"/>
      <c r="L697" s="45"/>
      <c r="M697" s="45"/>
      <c r="N697" s="9"/>
      <c r="O697" s="46" t="s">
        <v>46</v>
      </c>
      <c r="P697" s="46"/>
      <c r="Q697" s="46"/>
      <c r="R697" s="46"/>
      <c r="S697" s="9"/>
      <c r="T697" s="1" t="s">
        <v>49</v>
      </c>
      <c r="U697" s="10" t="s">
        <v>48</v>
      </c>
      <c r="V697" s="5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6"/>
    </row>
    <row r="698" spans="1:35" ht="15" customHeight="1" x14ac:dyDescent="0.25">
      <c r="A698" s="3"/>
      <c r="B698" s="42" t="str">
        <f>"0x"&amp;DEC2HEX(Sheet3!$I$4,8)</f>
        <v>0x00400320</v>
      </c>
      <c r="C698" s="42"/>
      <c r="D698" s="42"/>
      <c r="E698" s="12"/>
      <c r="F698" s="319" t="str">
        <f>"0x"&amp;BIN2HEX(CONCATENATE(C691,D691,E691,F691,G691,H691,I691,J691),2)&amp;BIN2HEX(CONCATENATE(K691,L691,M691,N691,O691,P691,Q691,R691),2)&amp;BIN2HEX(CONCATENATE(S691,T691,U691,V691,W691,X691,Y691,Z691),2)&amp;BIN2HEX(CONCATENATE(AA691,AB691,AC691,AD691,AE691,AF691,AG691,AH691),2)</f>
        <v>0x00000000</v>
      </c>
      <c r="G698" s="319"/>
      <c r="H698" s="319"/>
      <c r="I698" s="12"/>
      <c r="J698" s="319" t="str">
        <f>"0b"&amp;C695&amp;D695&amp;E695&amp;F695&amp;G695&amp;H695&amp;I695&amp;J695&amp;K695&amp;L695&amp;M695&amp;N695&amp;O695&amp;P695&amp;Q695</f>
        <v>0b000000000000100</v>
      </c>
      <c r="K698" s="319"/>
      <c r="L698" s="319"/>
      <c r="M698" s="319"/>
      <c r="N698" s="12"/>
      <c r="O698" s="319" t="str">
        <f>"0b"&amp;DEC2BIN(((AF695+AE695*2+AD695*4+AC695*8+AB695*16+AA695*32+Z695*64+Y695*128+X695*256+W695*512+V695*1024+U695*2048+T695*4096+S695*2^13+R695*2^14)/512),6)&amp;DEC2BIN(MOD((AF695+AE695*2+AD695*4+AC695*8+AB695*16+AA695*32+Z695*64+Y695*128+X695*256+W695*512+V695*1024+U695*2048+T695*4096+S695*2^13+R695*2^14),512),9)</f>
        <v>0b000000110000010</v>
      </c>
      <c r="P698" s="319"/>
      <c r="Q698" s="319"/>
      <c r="R698" s="319"/>
      <c r="S698" s="12"/>
      <c r="T698" s="13">
        <v>0</v>
      </c>
      <c r="U698" s="13">
        <f>AH695</f>
        <v>0</v>
      </c>
      <c r="V698" s="5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6"/>
    </row>
    <row r="699" spans="1:35" x14ac:dyDescent="0.25">
      <c r="A699" s="3"/>
      <c r="B699" s="42"/>
      <c r="C699" s="42"/>
      <c r="D699" s="42"/>
      <c r="E699" s="15"/>
      <c r="F699" s="43"/>
      <c r="G699" s="43"/>
      <c r="H699" s="43"/>
      <c r="I699" s="15"/>
      <c r="J699" s="42"/>
      <c r="K699" s="42"/>
      <c r="L699" s="42"/>
      <c r="M699" s="42"/>
      <c r="N699" s="15"/>
      <c r="O699" s="42"/>
      <c r="P699" s="42"/>
      <c r="Q699" s="42"/>
      <c r="R699" s="42"/>
      <c r="S699" s="15"/>
      <c r="T699" s="13"/>
      <c r="U699" s="15"/>
      <c r="V699" s="5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6"/>
    </row>
    <row r="700" spans="1:35" x14ac:dyDescent="0.25">
      <c r="A700" s="3"/>
      <c r="B700" s="42"/>
      <c r="C700" s="42"/>
      <c r="D700" s="42"/>
      <c r="E700" s="15"/>
      <c r="F700" s="43"/>
      <c r="G700" s="43"/>
      <c r="H700" s="43"/>
      <c r="I700" s="15"/>
      <c r="J700" s="42"/>
      <c r="K700" s="42"/>
      <c r="L700" s="42"/>
      <c r="M700" s="42"/>
      <c r="N700" s="15"/>
      <c r="O700" s="42"/>
      <c r="P700" s="42"/>
      <c r="Q700" s="42"/>
      <c r="R700" s="42"/>
      <c r="S700" s="15"/>
      <c r="T700" s="13"/>
      <c r="U700" s="15"/>
      <c r="V700" s="5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6"/>
    </row>
    <row r="701" spans="1:35" x14ac:dyDescent="0.25">
      <c r="A701" s="3"/>
      <c r="B701" s="5"/>
      <c r="C701" s="5"/>
      <c r="D701" s="5"/>
      <c r="E701" s="5"/>
      <c r="F701" s="17"/>
      <c r="G701" s="17"/>
      <c r="H701" s="17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6"/>
    </row>
    <row r="702" spans="1:35" x14ac:dyDescent="0.25">
      <c r="A702" s="3"/>
      <c r="B702" s="5" t="s">
        <v>47</v>
      </c>
      <c r="C702" s="18"/>
      <c r="D702" s="18"/>
      <c r="E702" s="18"/>
      <c r="F702" s="5"/>
      <c r="G702" s="5"/>
      <c r="H702" s="5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6"/>
    </row>
    <row r="703" spans="1:35" ht="15" customHeight="1" x14ac:dyDescent="0.25">
      <c r="A703" s="3"/>
      <c r="B703" s="42" t="str">
        <f>"0x"&amp;DEC2HEX(Sheet3!$I$4,8)</f>
        <v>0x00400320</v>
      </c>
      <c r="C703" s="42"/>
      <c r="D703" s="42"/>
      <c r="E703" s="16"/>
      <c r="F703" s="322" t="str">
        <f>F698&amp;BIN2HEX(MID(J698,3,8),2)&amp;BIN2HEX(RIGHT(J698,7)&amp;MID(O698,3,1),2)&amp;BIN2HEX(MID(O698,4,8),2)&amp;BIN2HEX(RIGHT(O698,6)&amp;T698&amp;U698,2)</f>
        <v>0x0000000000080608</v>
      </c>
      <c r="G703" s="322"/>
      <c r="H703" s="322"/>
      <c r="I703" s="322"/>
      <c r="J703" s="5"/>
      <c r="K703" s="5"/>
      <c r="L703" s="5"/>
      <c r="M703" s="5"/>
      <c r="N703" s="5"/>
      <c r="O703" s="5"/>
      <c r="P703" s="16"/>
      <c r="Q703" s="16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5"/>
      <c r="AH703" s="5"/>
      <c r="AI703" s="6"/>
    </row>
    <row r="704" spans="1:35" x14ac:dyDescent="0.25">
      <c r="A704" s="3"/>
      <c r="B704" s="37"/>
      <c r="C704" s="37"/>
      <c r="D704" s="37"/>
      <c r="E704" s="5"/>
      <c r="F704" s="38"/>
      <c r="G704" s="38"/>
      <c r="H704" s="38"/>
      <c r="I704" s="38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6"/>
    </row>
    <row r="705" spans="1:35" x14ac:dyDescent="0.25">
      <c r="A705" s="3"/>
      <c r="B705" s="37"/>
      <c r="C705" s="37"/>
      <c r="D705" s="37"/>
      <c r="E705" s="5"/>
      <c r="F705" s="38"/>
      <c r="G705" s="38"/>
      <c r="H705" s="38"/>
      <c r="I705" s="38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6"/>
    </row>
    <row r="706" spans="1:35" x14ac:dyDescent="0.25">
      <c r="A706" s="20"/>
      <c r="B706" s="21"/>
      <c r="C706" s="21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2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1"/>
      <c r="AI706" s="23"/>
    </row>
    <row r="707" spans="1:35" x14ac:dyDescent="0.25">
      <c r="A707" s="24"/>
      <c r="B707" s="28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6"/>
    </row>
    <row r="708" spans="1:35" x14ac:dyDescent="0.25">
      <c r="A708" s="3"/>
      <c r="B708" s="4" t="s">
        <v>164</v>
      </c>
      <c r="C708" s="5"/>
      <c r="D708" s="5"/>
      <c r="E708" s="5"/>
      <c r="F708" s="5"/>
      <c r="G708" s="5"/>
      <c r="H708" s="5"/>
      <c r="I708" s="5" t="str">
        <f>"0x"&amp;BIN2HEX(CONCATENATE(C713,D713,E713,F713,G713,H713,I713,J713),2)&amp;BIN2HEX(CONCATENATE(K713,L713,M713,N713,O713,P713,Q713,R713),2)&amp;BIN2HEX(CONCATENATE(S713,T713,U713,V713,W713,X713,Y713,Z713),2)&amp;BIN2HEX(CONCATENATE(AA713,AB713,AC713,AD713,AE713,AF713,AG713,AH713),2)&amp;"_"&amp;BIN2HEX(CONCATENATE(C717,D717,E717,F717,G717,H717,I717,J717),2)&amp;BIN2HEX(CONCATENATE(K717,L717,M717,N717,O717,P717,Q717,R717),2)&amp;BIN2HEX(CONCATENATE(S717,T717,U717,V717,W717,X717,Y717,Z717),2)&amp;BIN2HEX(CONCATENATE(AA717,AB717,AC717,AD717,AE717,AF717,AG717,AH717),2)</f>
        <v>0x00000000_0008060C</v>
      </c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6"/>
    </row>
    <row r="709" spans="1:35" ht="15.75" thickBot="1" x14ac:dyDescent="0.3">
      <c r="A709" s="3"/>
      <c r="B709" s="5"/>
      <c r="C709" s="7">
        <v>0</v>
      </c>
      <c r="D709" s="7">
        <v>1</v>
      </c>
      <c r="E709" s="7">
        <v>2</v>
      </c>
      <c r="F709" s="7">
        <v>3</v>
      </c>
      <c r="G709" s="7">
        <v>4</v>
      </c>
      <c r="H709" s="7">
        <v>5</v>
      </c>
      <c r="I709" s="7">
        <v>6</v>
      </c>
      <c r="J709" s="7">
        <v>7</v>
      </c>
      <c r="K709" s="7">
        <v>8</v>
      </c>
      <c r="L709" s="7">
        <v>9</v>
      </c>
      <c r="M709" s="7">
        <v>10</v>
      </c>
      <c r="N709" s="7">
        <v>11</v>
      </c>
      <c r="O709" s="7">
        <v>12</v>
      </c>
      <c r="P709" s="7">
        <v>13</v>
      </c>
      <c r="Q709" s="7">
        <v>14</v>
      </c>
      <c r="R709" s="7">
        <v>15</v>
      </c>
      <c r="S709" s="7">
        <v>16</v>
      </c>
      <c r="T709" s="7">
        <v>17</v>
      </c>
      <c r="U709" s="7">
        <v>18</v>
      </c>
      <c r="V709" s="7">
        <v>19</v>
      </c>
      <c r="W709" s="7">
        <v>20</v>
      </c>
      <c r="X709" s="7">
        <v>21</v>
      </c>
      <c r="Y709" s="7">
        <v>22</v>
      </c>
      <c r="Z709" s="7">
        <v>23</v>
      </c>
      <c r="AA709" s="7">
        <v>24</v>
      </c>
      <c r="AB709" s="7">
        <v>25</v>
      </c>
      <c r="AC709" s="7">
        <v>26</v>
      </c>
      <c r="AD709" s="7">
        <v>27</v>
      </c>
      <c r="AE709" s="7">
        <v>28</v>
      </c>
      <c r="AF709" s="7">
        <v>29</v>
      </c>
      <c r="AG709" s="7">
        <v>30</v>
      </c>
      <c r="AH709" s="7">
        <v>31</v>
      </c>
      <c r="AI709" s="6"/>
    </row>
    <row r="710" spans="1:35" ht="15" customHeight="1" x14ac:dyDescent="0.25">
      <c r="A710" s="3"/>
      <c r="B710" s="5" t="s">
        <v>31</v>
      </c>
      <c r="C710" s="328" t="s">
        <v>161</v>
      </c>
      <c r="D710" s="330" t="s">
        <v>63</v>
      </c>
      <c r="E710" s="331"/>
      <c r="F710" s="331"/>
      <c r="G710" s="331"/>
      <c r="H710" s="331"/>
      <c r="I710" s="331"/>
      <c r="J710" s="332"/>
      <c r="K710" s="336">
        <v>0</v>
      </c>
      <c r="L710" s="337"/>
      <c r="M710" s="337"/>
      <c r="N710" s="337"/>
      <c r="O710" s="337"/>
      <c r="P710" s="337"/>
      <c r="Q710" s="337"/>
      <c r="R710" s="337"/>
      <c r="S710" s="337"/>
      <c r="T710" s="337"/>
      <c r="U710" s="337"/>
      <c r="V710" s="337"/>
      <c r="W710" s="337"/>
      <c r="X710" s="337"/>
      <c r="Y710" s="337"/>
      <c r="Z710" s="337"/>
      <c r="AA710" s="337"/>
      <c r="AB710" s="337"/>
      <c r="AC710" s="337"/>
      <c r="AD710" s="337"/>
      <c r="AE710" s="337"/>
      <c r="AF710" s="337"/>
      <c r="AG710" s="337"/>
      <c r="AH710" s="338"/>
      <c r="AI710" s="6"/>
    </row>
    <row r="711" spans="1:35" x14ac:dyDescent="0.25">
      <c r="A711" s="3"/>
      <c r="B711" s="5" t="s">
        <v>32</v>
      </c>
      <c r="C711" s="329"/>
      <c r="D711" s="333"/>
      <c r="E711" s="334"/>
      <c r="F711" s="334"/>
      <c r="G711" s="334"/>
      <c r="H711" s="334"/>
      <c r="I711" s="334"/>
      <c r="J711" s="335"/>
      <c r="K711" s="339"/>
      <c r="L711" s="340"/>
      <c r="M711" s="340"/>
      <c r="N711" s="340"/>
      <c r="O711" s="340"/>
      <c r="P711" s="340"/>
      <c r="Q711" s="340"/>
      <c r="R711" s="340"/>
      <c r="S711" s="340"/>
      <c r="T711" s="340"/>
      <c r="U711" s="340"/>
      <c r="V711" s="340"/>
      <c r="W711" s="340"/>
      <c r="X711" s="340"/>
      <c r="Y711" s="340"/>
      <c r="Z711" s="340"/>
      <c r="AA711" s="340"/>
      <c r="AB711" s="340"/>
      <c r="AC711" s="340"/>
      <c r="AD711" s="340"/>
      <c r="AE711" s="340"/>
      <c r="AF711" s="340"/>
      <c r="AG711" s="340"/>
      <c r="AH711" s="341"/>
      <c r="AI711" s="6"/>
    </row>
    <row r="712" spans="1:35" x14ac:dyDescent="0.25">
      <c r="A712" s="3"/>
      <c r="B712" s="5" t="s">
        <v>11</v>
      </c>
      <c r="C712" s="56">
        <v>0</v>
      </c>
      <c r="D712" s="57">
        <v>0</v>
      </c>
      <c r="E712" s="57">
        <v>0</v>
      </c>
      <c r="F712" s="57">
        <v>0</v>
      </c>
      <c r="G712" s="57">
        <v>0</v>
      </c>
      <c r="H712" s="57">
        <v>0</v>
      </c>
      <c r="I712" s="57">
        <v>0</v>
      </c>
      <c r="J712" s="57">
        <v>0</v>
      </c>
      <c r="K712" s="57">
        <v>0</v>
      </c>
      <c r="L712" s="57">
        <v>0</v>
      </c>
      <c r="M712" s="57">
        <v>0</v>
      </c>
      <c r="N712" s="57">
        <v>0</v>
      </c>
      <c r="O712" s="57">
        <v>0</v>
      </c>
      <c r="P712" s="57">
        <v>0</v>
      </c>
      <c r="Q712" s="57">
        <v>0</v>
      </c>
      <c r="R712" s="57">
        <v>0</v>
      </c>
      <c r="S712" s="57">
        <v>0</v>
      </c>
      <c r="T712" s="57">
        <v>0</v>
      </c>
      <c r="U712" s="57">
        <v>0</v>
      </c>
      <c r="V712" s="57">
        <v>0</v>
      </c>
      <c r="W712" s="57">
        <v>0</v>
      </c>
      <c r="X712" s="57">
        <v>0</v>
      </c>
      <c r="Y712" s="57">
        <v>0</v>
      </c>
      <c r="Z712" s="57">
        <v>0</v>
      </c>
      <c r="AA712" s="57">
        <v>0</v>
      </c>
      <c r="AB712" s="57">
        <v>0</v>
      </c>
      <c r="AC712" s="57">
        <v>0</v>
      </c>
      <c r="AD712" s="57">
        <v>0</v>
      </c>
      <c r="AE712" s="57">
        <v>0</v>
      </c>
      <c r="AF712" s="57">
        <v>0</v>
      </c>
      <c r="AG712" s="57">
        <v>0</v>
      </c>
      <c r="AH712" s="58">
        <v>0</v>
      </c>
      <c r="AI712" s="6"/>
    </row>
    <row r="713" spans="1:35" ht="15.75" thickBot="1" x14ac:dyDescent="0.3">
      <c r="A713" s="3"/>
      <c r="B713" s="5" t="s">
        <v>12</v>
      </c>
      <c r="C713" s="145">
        <v>0</v>
      </c>
      <c r="D713" s="88">
        <v>0</v>
      </c>
      <c r="E713" s="88">
        <v>0</v>
      </c>
      <c r="F713" s="88">
        <v>0</v>
      </c>
      <c r="G713" s="88">
        <v>0</v>
      </c>
      <c r="H713" s="88">
        <v>0</v>
      </c>
      <c r="I713" s="88">
        <v>0</v>
      </c>
      <c r="J713" s="88">
        <v>0</v>
      </c>
      <c r="K713" s="62">
        <v>0</v>
      </c>
      <c r="L713" s="62">
        <v>0</v>
      </c>
      <c r="M713" s="62">
        <v>0</v>
      </c>
      <c r="N713" s="62">
        <v>0</v>
      </c>
      <c r="O713" s="62">
        <v>0</v>
      </c>
      <c r="P713" s="62">
        <v>0</v>
      </c>
      <c r="Q713" s="62">
        <v>0</v>
      </c>
      <c r="R713" s="62">
        <v>0</v>
      </c>
      <c r="S713" s="62">
        <v>0</v>
      </c>
      <c r="T713" s="62">
        <v>0</v>
      </c>
      <c r="U713" s="62">
        <v>0</v>
      </c>
      <c r="V713" s="62">
        <v>0</v>
      </c>
      <c r="W713" s="62">
        <v>0</v>
      </c>
      <c r="X713" s="62">
        <v>0</v>
      </c>
      <c r="Y713" s="62">
        <v>0</v>
      </c>
      <c r="Z713" s="62">
        <v>0</v>
      </c>
      <c r="AA713" s="62">
        <v>0</v>
      </c>
      <c r="AB713" s="62">
        <v>0</v>
      </c>
      <c r="AC713" s="62">
        <v>0</v>
      </c>
      <c r="AD713" s="62">
        <v>0</v>
      </c>
      <c r="AE713" s="62">
        <v>0</v>
      </c>
      <c r="AF713" s="62">
        <v>0</v>
      </c>
      <c r="AG713" s="62">
        <v>0</v>
      </c>
      <c r="AH713" s="146">
        <v>0</v>
      </c>
      <c r="AI713" s="6"/>
    </row>
    <row r="714" spans="1:35" x14ac:dyDescent="0.25">
      <c r="A714" s="3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6"/>
    </row>
    <row r="715" spans="1:35" ht="15.75" thickBot="1" x14ac:dyDescent="0.3">
      <c r="A715" s="3"/>
      <c r="B715" s="5"/>
      <c r="C715" s="7">
        <v>32</v>
      </c>
      <c r="D715" s="7">
        <v>33</v>
      </c>
      <c r="E715" s="7">
        <v>34</v>
      </c>
      <c r="F715" s="7">
        <v>35</v>
      </c>
      <c r="G715" s="7">
        <v>36</v>
      </c>
      <c r="H715" s="7">
        <v>37</v>
      </c>
      <c r="I715" s="7">
        <v>38</v>
      </c>
      <c r="J715" s="7">
        <v>39</v>
      </c>
      <c r="K715" s="7">
        <v>40</v>
      </c>
      <c r="L715" s="7">
        <v>41</v>
      </c>
      <c r="M715" s="7">
        <v>42</v>
      </c>
      <c r="N715" s="7">
        <v>43</v>
      </c>
      <c r="O715" s="7">
        <v>44</v>
      </c>
      <c r="P715" s="7">
        <v>45</v>
      </c>
      <c r="Q715" s="7">
        <v>46</v>
      </c>
      <c r="R715" s="7">
        <v>47</v>
      </c>
      <c r="S715" s="7">
        <v>48</v>
      </c>
      <c r="T715" s="7">
        <v>49</v>
      </c>
      <c r="U715" s="7">
        <v>50</v>
      </c>
      <c r="V715" s="7">
        <v>51</v>
      </c>
      <c r="W715" s="7">
        <v>52</v>
      </c>
      <c r="X715" s="7">
        <v>53</v>
      </c>
      <c r="Y715" s="7">
        <v>54</v>
      </c>
      <c r="Z715" s="7">
        <v>55</v>
      </c>
      <c r="AA715" s="7">
        <v>56</v>
      </c>
      <c r="AB715" s="7">
        <v>57</v>
      </c>
      <c r="AC715" s="7">
        <v>58</v>
      </c>
      <c r="AD715" s="7">
        <v>59</v>
      </c>
      <c r="AE715" s="7">
        <v>60</v>
      </c>
      <c r="AF715" s="7">
        <v>61</v>
      </c>
      <c r="AG715" s="7">
        <v>62</v>
      </c>
      <c r="AH715" s="7">
        <v>63</v>
      </c>
      <c r="AI715" s="6"/>
    </row>
    <row r="716" spans="1:35" ht="15.75" thickBot="1" x14ac:dyDescent="0.3">
      <c r="A716" s="3"/>
      <c r="B716" s="5"/>
      <c r="C716" s="147" t="s">
        <v>13</v>
      </c>
      <c r="D716" s="148" t="s">
        <v>14</v>
      </c>
      <c r="E716" s="148" t="s">
        <v>15</v>
      </c>
      <c r="F716" s="148" t="s">
        <v>16</v>
      </c>
      <c r="G716" s="148" t="s">
        <v>17</v>
      </c>
      <c r="H716" s="148" t="s">
        <v>18</v>
      </c>
      <c r="I716" s="148" t="s">
        <v>19</v>
      </c>
      <c r="J716" s="148" t="s">
        <v>20</v>
      </c>
      <c r="K716" s="148" t="s">
        <v>21</v>
      </c>
      <c r="L716" s="148" t="s">
        <v>22</v>
      </c>
      <c r="M716" s="148" t="s">
        <v>23</v>
      </c>
      <c r="N716" s="148" t="s">
        <v>24</v>
      </c>
      <c r="O716" s="148" t="s">
        <v>25</v>
      </c>
      <c r="P716" s="148" t="s">
        <v>26</v>
      </c>
      <c r="Q716" s="148" t="s">
        <v>27</v>
      </c>
      <c r="R716" s="342" t="s">
        <v>30</v>
      </c>
      <c r="S716" s="343"/>
      <c r="T716" s="343"/>
      <c r="U716" s="343"/>
      <c r="V716" s="343"/>
      <c r="W716" s="343"/>
      <c r="X716" s="343"/>
      <c r="Y716" s="343"/>
      <c r="Z716" s="343"/>
      <c r="AA716" s="343"/>
      <c r="AB716" s="343"/>
      <c r="AC716" s="343"/>
      <c r="AD716" s="343"/>
      <c r="AE716" s="343"/>
      <c r="AF716" s="344"/>
      <c r="AG716" s="67" t="s">
        <v>28</v>
      </c>
      <c r="AH716" s="149" t="s">
        <v>29</v>
      </c>
      <c r="AI716" s="6"/>
    </row>
    <row r="717" spans="1:35" ht="15.75" thickBot="1" x14ac:dyDescent="0.3">
      <c r="A717" s="3"/>
      <c r="B717" s="5"/>
      <c r="C717" s="150">
        <v>0</v>
      </c>
      <c r="D717" s="151">
        <v>0</v>
      </c>
      <c r="E717" s="151">
        <v>0</v>
      </c>
      <c r="F717" s="151">
        <v>0</v>
      </c>
      <c r="G717" s="151">
        <v>0</v>
      </c>
      <c r="H717" s="151">
        <v>0</v>
      </c>
      <c r="I717" s="151">
        <v>0</v>
      </c>
      <c r="J717" s="151">
        <v>0</v>
      </c>
      <c r="K717" s="151">
        <v>0</v>
      </c>
      <c r="L717" s="151">
        <v>0</v>
      </c>
      <c r="M717" s="151">
        <v>0</v>
      </c>
      <c r="N717" s="151">
        <v>0</v>
      </c>
      <c r="O717" s="151">
        <v>1</v>
      </c>
      <c r="P717" s="151">
        <v>0</v>
      </c>
      <c r="Q717" s="151">
        <v>0</v>
      </c>
      <c r="R717" s="151">
        <v>0</v>
      </c>
      <c r="S717" s="151">
        <v>0</v>
      </c>
      <c r="T717" s="151">
        <v>0</v>
      </c>
      <c r="U717" s="151">
        <v>0</v>
      </c>
      <c r="V717" s="151">
        <v>0</v>
      </c>
      <c r="W717" s="151">
        <v>0</v>
      </c>
      <c r="X717" s="151">
        <v>1</v>
      </c>
      <c r="Y717" s="151">
        <v>1</v>
      </c>
      <c r="Z717" s="151">
        <v>0</v>
      </c>
      <c r="AA717" s="151">
        <v>0</v>
      </c>
      <c r="AB717" s="151">
        <v>0</v>
      </c>
      <c r="AC717" s="151">
        <v>0</v>
      </c>
      <c r="AD717" s="151">
        <v>0</v>
      </c>
      <c r="AE717" s="151">
        <v>1</v>
      </c>
      <c r="AF717" s="151">
        <v>1</v>
      </c>
      <c r="AG717" s="151">
        <v>0</v>
      </c>
      <c r="AH717" s="152">
        <v>0</v>
      </c>
      <c r="AI717" s="6"/>
    </row>
    <row r="718" spans="1:35" x14ac:dyDescent="0.25">
      <c r="A718" s="3"/>
      <c r="B718" s="4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6"/>
    </row>
    <row r="719" spans="1:35" x14ac:dyDescent="0.25">
      <c r="A719" s="3"/>
      <c r="B719" s="8" t="s">
        <v>43</v>
      </c>
      <c r="C719" s="9"/>
      <c r="D719" s="9"/>
      <c r="E719" s="9"/>
      <c r="F719" s="44" t="s">
        <v>44</v>
      </c>
      <c r="G719" s="44"/>
      <c r="H719" s="44"/>
      <c r="I719" s="9"/>
      <c r="J719" s="45" t="s">
        <v>45</v>
      </c>
      <c r="K719" s="45"/>
      <c r="L719" s="45"/>
      <c r="M719" s="45"/>
      <c r="N719" s="9"/>
      <c r="O719" s="46" t="s">
        <v>46</v>
      </c>
      <c r="P719" s="46"/>
      <c r="Q719" s="46"/>
      <c r="R719" s="46"/>
      <c r="S719" s="9"/>
      <c r="T719" s="1" t="s">
        <v>49</v>
      </c>
      <c r="U719" s="10" t="s">
        <v>48</v>
      </c>
      <c r="V719" s="5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6"/>
    </row>
    <row r="720" spans="1:35" ht="15" customHeight="1" x14ac:dyDescent="0.25">
      <c r="A720" s="3"/>
      <c r="B720" s="42" t="str">
        <f>"0x"&amp;DEC2HEX(Sheet3!$I$4,8)</f>
        <v>0x00400320</v>
      </c>
      <c r="C720" s="42"/>
      <c r="D720" s="42"/>
      <c r="E720" s="12"/>
      <c r="F720" s="319" t="str">
        <f>"0x"&amp;BIN2HEX(CONCATENATE(C713,D713,E713,F713,G713,H713,I713,J713),2)&amp;BIN2HEX(CONCATENATE(K713,L713,M713,N713,O713,P713,Q713,R713),2)&amp;BIN2HEX(CONCATENATE(S713,T713,U713,V713,W713,X713,Y713,Z713),2)&amp;BIN2HEX(CONCATENATE(AA713,AB713,AC713,AD713,AE713,AF713,AG713,AH713),2)</f>
        <v>0x00000000</v>
      </c>
      <c r="G720" s="319"/>
      <c r="H720" s="319"/>
      <c r="I720" s="12"/>
      <c r="J720" s="319" t="str">
        <f>"0b"&amp;C717&amp;D717&amp;E717&amp;F717&amp;G717&amp;H717&amp;I717&amp;J717&amp;K717&amp;L717&amp;M717&amp;N717&amp;O717&amp;P717&amp;Q717</f>
        <v>0b000000000000100</v>
      </c>
      <c r="K720" s="319"/>
      <c r="L720" s="319"/>
      <c r="M720" s="319"/>
      <c r="N720" s="12"/>
      <c r="O720" s="319" t="str">
        <f>"0b"&amp;DEC2BIN(((AF717+AE717*2+AD717*4+AC717*8+AB717*16+AA717*32+Z717*64+Y717*128+X717*256+W717*512+V717*1024+U717*2048+T717*4096+S717*2^13+R717*2^14)/512),6)&amp;DEC2BIN(MOD((AF717+AE717*2+AD717*4+AC717*8+AB717*16+AA717*32+Z717*64+Y717*128+X717*256+W717*512+V717*1024+U717*2048+T717*4096+S717*2^13+R717*2^14),512),9)</f>
        <v>0b000000110000011</v>
      </c>
      <c r="P720" s="319"/>
      <c r="Q720" s="319"/>
      <c r="R720" s="319"/>
      <c r="S720" s="12"/>
      <c r="T720" s="13">
        <v>0</v>
      </c>
      <c r="U720" s="13">
        <f>AH717</f>
        <v>0</v>
      </c>
      <c r="V720" s="5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6"/>
    </row>
    <row r="721" spans="1:35" x14ac:dyDescent="0.25">
      <c r="A721" s="3"/>
      <c r="B721" s="42"/>
      <c r="C721" s="42"/>
      <c r="D721" s="42"/>
      <c r="E721" s="15"/>
      <c r="F721" s="43"/>
      <c r="G721" s="43"/>
      <c r="H721" s="43"/>
      <c r="I721" s="15"/>
      <c r="J721" s="42"/>
      <c r="K721" s="42"/>
      <c r="L721" s="42"/>
      <c r="M721" s="42"/>
      <c r="N721" s="15"/>
      <c r="O721" s="42"/>
      <c r="P721" s="42"/>
      <c r="Q721" s="42"/>
      <c r="R721" s="42"/>
      <c r="S721" s="15"/>
      <c r="T721" s="13"/>
      <c r="U721" s="15"/>
      <c r="V721" s="5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6"/>
    </row>
    <row r="722" spans="1:35" x14ac:dyDescent="0.25">
      <c r="A722" s="3"/>
      <c r="B722" s="42"/>
      <c r="C722" s="42"/>
      <c r="D722" s="42"/>
      <c r="E722" s="15"/>
      <c r="F722" s="43"/>
      <c r="G722" s="43"/>
      <c r="H722" s="43"/>
      <c r="I722" s="15"/>
      <c r="J722" s="42"/>
      <c r="K722" s="42"/>
      <c r="L722" s="42"/>
      <c r="M722" s="42"/>
      <c r="N722" s="15"/>
      <c r="O722" s="42"/>
      <c r="P722" s="42"/>
      <c r="Q722" s="42"/>
      <c r="R722" s="42"/>
      <c r="S722" s="15"/>
      <c r="T722" s="13"/>
      <c r="U722" s="15"/>
      <c r="V722" s="5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6"/>
    </row>
    <row r="723" spans="1:35" x14ac:dyDescent="0.25">
      <c r="A723" s="3"/>
      <c r="B723" s="5"/>
      <c r="C723" s="5"/>
      <c r="D723" s="5"/>
      <c r="E723" s="5"/>
      <c r="F723" s="17"/>
      <c r="G723" s="17"/>
      <c r="H723" s="17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6"/>
    </row>
    <row r="724" spans="1:35" x14ac:dyDescent="0.25">
      <c r="A724" s="3"/>
      <c r="B724" s="5" t="s">
        <v>47</v>
      </c>
      <c r="C724" s="18"/>
      <c r="D724" s="18"/>
      <c r="E724" s="18"/>
      <c r="F724" s="5"/>
      <c r="G724" s="5"/>
      <c r="H724" s="5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6"/>
    </row>
    <row r="725" spans="1:35" ht="15" customHeight="1" x14ac:dyDescent="0.25">
      <c r="A725" s="3"/>
      <c r="B725" s="42" t="str">
        <f>"0x"&amp;DEC2HEX(Sheet3!$I$4,8)</f>
        <v>0x00400320</v>
      </c>
      <c r="C725" s="42"/>
      <c r="D725" s="42"/>
      <c r="E725" s="16"/>
      <c r="F725" s="322" t="str">
        <f>F720&amp;BIN2HEX(MID(J720,3,8),2)&amp;BIN2HEX(RIGHT(J720,7)&amp;MID(O720,3,1),2)&amp;BIN2HEX(MID(O720,4,8),2)&amp;BIN2HEX(RIGHT(O720,6)&amp;T720&amp;U720,2)</f>
        <v>0x000000000008060C</v>
      </c>
      <c r="G725" s="322"/>
      <c r="H725" s="322"/>
      <c r="I725" s="322"/>
      <c r="J725" s="5"/>
      <c r="K725" s="5"/>
      <c r="L725" s="5"/>
      <c r="M725" s="5"/>
      <c r="N725" s="5"/>
      <c r="O725" s="5"/>
      <c r="P725" s="16"/>
      <c r="Q725" s="16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5"/>
      <c r="AH725" s="5"/>
      <c r="AI725" s="6"/>
    </row>
    <row r="726" spans="1:35" x14ac:dyDescent="0.25">
      <c r="A726" s="3"/>
      <c r="B726" s="37"/>
      <c r="C726" s="37"/>
      <c r="D726" s="37"/>
      <c r="E726" s="5"/>
      <c r="F726" s="38"/>
      <c r="G726" s="38"/>
      <c r="H726" s="38"/>
      <c r="I726" s="38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6"/>
    </row>
    <row r="727" spans="1:35" x14ac:dyDescent="0.25">
      <c r="A727" s="3"/>
      <c r="B727" s="37"/>
      <c r="C727" s="37"/>
      <c r="D727" s="37"/>
      <c r="E727" s="5"/>
      <c r="F727" s="38"/>
      <c r="G727" s="38"/>
      <c r="H727" s="38"/>
      <c r="I727" s="38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6"/>
    </row>
    <row r="728" spans="1:35" x14ac:dyDescent="0.25">
      <c r="A728" s="20"/>
      <c r="B728" s="21"/>
      <c r="C728" s="21"/>
      <c r="D728" s="21"/>
      <c r="E728" s="21"/>
      <c r="F728" s="21"/>
      <c r="G728" s="21"/>
      <c r="H728" s="21"/>
      <c r="I728" s="21"/>
      <c r="J728" s="21"/>
      <c r="K728" s="21"/>
      <c r="L728" s="21"/>
      <c r="M728" s="21"/>
      <c r="N728" s="21"/>
      <c r="O728" s="22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  <c r="AE728" s="21"/>
      <c r="AF728" s="21"/>
      <c r="AG728" s="21"/>
      <c r="AH728" s="21"/>
      <c r="AI728" s="23"/>
    </row>
    <row r="729" spans="1:35" x14ac:dyDescent="0.25">
      <c r="A729" s="24"/>
      <c r="B729" s="28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  <c r="AD729" s="25"/>
      <c r="AE729" s="25"/>
      <c r="AF729" s="25"/>
      <c r="AG729" s="25"/>
      <c r="AH729" s="25"/>
      <c r="AI729" s="26"/>
    </row>
    <row r="730" spans="1:35" x14ac:dyDescent="0.25">
      <c r="A730" s="3"/>
      <c r="B730" s="4" t="s">
        <v>165</v>
      </c>
      <c r="C730" s="5"/>
      <c r="D730" s="5"/>
      <c r="E730" s="5"/>
      <c r="F730" s="5"/>
      <c r="G730" s="5"/>
      <c r="H730" s="5"/>
      <c r="I730" s="5" t="str">
        <f>"0x"&amp;BIN2HEX(CONCATENATE(C735,D735,E735,F735,G735,H735,I735,J735),2)&amp;BIN2HEX(CONCATENATE(K735,L735,M735,N735,O735,P735,Q735,R735),2)&amp;BIN2HEX(CONCATENATE(S735,T735,U735,V735,W735,X735,Y735,Z735),2)&amp;BIN2HEX(CONCATENATE(AA735,AB735,AC735,AD735,AE735,AF735,AG735,AH735),2)&amp;"_"&amp;BIN2HEX(CONCATENATE(C739,D739,E739,F739,G739,H739,I739,J739),2)&amp;BIN2HEX(CONCATENATE(K739,L739,M739,N739,O739,P739,Q739,R739),2)&amp;BIN2HEX(CONCATENATE(S739,T739,U739,V739,W739,X739,Y739,Z739),2)&amp;BIN2HEX(CONCATENATE(AA739,AB739,AC739,AD739,AE739,AF739,AG739,AH739),2)</f>
        <v>0x00000000_00080610</v>
      </c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6"/>
    </row>
    <row r="731" spans="1:35" ht="15.75" thickBot="1" x14ac:dyDescent="0.3">
      <c r="A731" s="3"/>
      <c r="B731" s="5"/>
      <c r="C731" s="7">
        <v>0</v>
      </c>
      <c r="D731" s="7">
        <v>1</v>
      </c>
      <c r="E731" s="7">
        <v>2</v>
      </c>
      <c r="F731" s="7">
        <v>3</v>
      </c>
      <c r="G731" s="7">
        <v>4</v>
      </c>
      <c r="H731" s="7">
        <v>5</v>
      </c>
      <c r="I731" s="7">
        <v>6</v>
      </c>
      <c r="J731" s="7">
        <v>7</v>
      </c>
      <c r="K731" s="7">
        <v>8</v>
      </c>
      <c r="L731" s="7">
        <v>9</v>
      </c>
      <c r="M731" s="7">
        <v>10</v>
      </c>
      <c r="N731" s="7">
        <v>11</v>
      </c>
      <c r="O731" s="7">
        <v>12</v>
      </c>
      <c r="P731" s="7">
        <v>13</v>
      </c>
      <c r="Q731" s="7">
        <v>14</v>
      </c>
      <c r="R731" s="7">
        <v>15</v>
      </c>
      <c r="S731" s="7">
        <v>16</v>
      </c>
      <c r="T731" s="7">
        <v>17</v>
      </c>
      <c r="U731" s="7">
        <v>18</v>
      </c>
      <c r="V731" s="7">
        <v>19</v>
      </c>
      <c r="W731" s="7">
        <v>20</v>
      </c>
      <c r="X731" s="7">
        <v>21</v>
      </c>
      <c r="Y731" s="7">
        <v>22</v>
      </c>
      <c r="Z731" s="7">
        <v>23</v>
      </c>
      <c r="AA731" s="7">
        <v>24</v>
      </c>
      <c r="AB731" s="7">
        <v>25</v>
      </c>
      <c r="AC731" s="7">
        <v>26</v>
      </c>
      <c r="AD731" s="7">
        <v>27</v>
      </c>
      <c r="AE731" s="7">
        <v>28</v>
      </c>
      <c r="AF731" s="7">
        <v>29</v>
      </c>
      <c r="AG731" s="7">
        <v>30</v>
      </c>
      <c r="AH731" s="7">
        <v>31</v>
      </c>
      <c r="AI731" s="6"/>
    </row>
    <row r="732" spans="1:35" ht="15" customHeight="1" x14ac:dyDescent="0.25">
      <c r="A732" s="3"/>
      <c r="B732" s="5" t="s">
        <v>31</v>
      </c>
      <c r="C732" s="328" t="s">
        <v>161</v>
      </c>
      <c r="D732" s="330" t="s">
        <v>63</v>
      </c>
      <c r="E732" s="331"/>
      <c r="F732" s="331"/>
      <c r="G732" s="331"/>
      <c r="H732" s="331"/>
      <c r="I732" s="331"/>
      <c r="J732" s="332"/>
      <c r="K732" s="336">
        <v>0</v>
      </c>
      <c r="L732" s="337"/>
      <c r="M732" s="337"/>
      <c r="N732" s="337"/>
      <c r="O732" s="337"/>
      <c r="P732" s="337"/>
      <c r="Q732" s="337"/>
      <c r="R732" s="337"/>
      <c r="S732" s="337"/>
      <c r="T732" s="337"/>
      <c r="U732" s="337"/>
      <c r="V732" s="337"/>
      <c r="W732" s="337"/>
      <c r="X732" s="337"/>
      <c r="Y732" s="337"/>
      <c r="Z732" s="337"/>
      <c r="AA732" s="337"/>
      <c r="AB732" s="337"/>
      <c r="AC732" s="337"/>
      <c r="AD732" s="337"/>
      <c r="AE732" s="337"/>
      <c r="AF732" s="337"/>
      <c r="AG732" s="337"/>
      <c r="AH732" s="338"/>
      <c r="AI732" s="6"/>
    </row>
    <row r="733" spans="1:35" x14ac:dyDescent="0.25">
      <c r="A733" s="3"/>
      <c r="B733" s="5" t="s">
        <v>32</v>
      </c>
      <c r="C733" s="329"/>
      <c r="D733" s="333"/>
      <c r="E733" s="334"/>
      <c r="F733" s="334"/>
      <c r="G733" s="334"/>
      <c r="H733" s="334"/>
      <c r="I733" s="334"/>
      <c r="J733" s="335"/>
      <c r="K733" s="339"/>
      <c r="L733" s="340"/>
      <c r="M733" s="340"/>
      <c r="N733" s="340"/>
      <c r="O733" s="340"/>
      <c r="P733" s="340"/>
      <c r="Q733" s="340"/>
      <c r="R733" s="340"/>
      <c r="S733" s="340"/>
      <c r="T733" s="340"/>
      <c r="U733" s="340"/>
      <c r="V733" s="340"/>
      <c r="W733" s="340"/>
      <c r="X733" s="340"/>
      <c r="Y733" s="340"/>
      <c r="Z733" s="340"/>
      <c r="AA733" s="340"/>
      <c r="AB733" s="340"/>
      <c r="AC733" s="340"/>
      <c r="AD733" s="340"/>
      <c r="AE733" s="340"/>
      <c r="AF733" s="340"/>
      <c r="AG733" s="340"/>
      <c r="AH733" s="341"/>
      <c r="AI733" s="6"/>
    </row>
    <row r="734" spans="1:35" x14ac:dyDescent="0.25">
      <c r="A734" s="3"/>
      <c r="B734" s="5" t="s">
        <v>11</v>
      </c>
      <c r="C734" s="56">
        <v>0</v>
      </c>
      <c r="D734" s="57">
        <v>0</v>
      </c>
      <c r="E734" s="57">
        <v>0</v>
      </c>
      <c r="F734" s="57">
        <v>0</v>
      </c>
      <c r="G734" s="57">
        <v>0</v>
      </c>
      <c r="H734" s="57">
        <v>0</v>
      </c>
      <c r="I734" s="57">
        <v>0</v>
      </c>
      <c r="J734" s="57">
        <v>0</v>
      </c>
      <c r="K734" s="57">
        <v>0</v>
      </c>
      <c r="L734" s="57">
        <v>0</v>
      </c>
      <c r="M734" s="57">
        <v>0</v>
      </c>
      <c r="N734" s="57">
        <v>0</v>
      </c>
      <c r="O734" s="57">
        <v>0</v>
      </c>
      <c r="P734" s="57">
        <v>0</v>
      </c>
      <c r="Q734" s="57">
        <v>0</v>
      </c>
      <c r="R734" s="57">
        <v>0</v>
      </c>
      <c r="S734" s="57">
        <v>0</v>
      </c>
      <c r="T734" s="57">
        <v>0</v>
      </c>
      <c r="U734" s="57">
        <v>0</v>
      </c>
      <c r="V734" s="57">
        <v>0</v>
      </c>
      <c r="W734" s="57">
        <v>0</v>
      </c>
      <c r="X734" s="57">
        <v>0</v>
      </c>
      <c r="Y734" s="57">
        <v>0</v>
      </c>
      <c r="Z734" s="57">
        <v>0</v>
      </c>
      <c r="AA734" s="57">
        <v>0</v>
      </c>
      <c r="AB734" s="57">
        <v>0</v>
      </c>
      <c r="AC734" s="57">
        <v>0</v>
      </c>
      <c r="AD734" s="57">
        <v>0</v>
      </c>
      <c r="AE734" s="57">
        <v>0</v>
      </c>
      <c r="AF734" s="57">
        <v>0</v>
      </c>
      <c r="AG734" s="57">
        <v>0</v>
      </c>
      <c r="AH734" s="58">
        <v>0</v>
      </c>
      <c r="AI734" s="6"/>
    </row>
    <row r="735" spans="1:35" ht="15.75" thickBot="1" x14ac:dyDescent="0.3">
      <c r="A735" s="3"/>
      <c r="B735" s="5" t="s">
        <v>12</v>
      </c>
      <c r="C735" s="145">
        <v>0</v>
      </c>
      <c r="D735" s="88">
        <v>0</v>
      </c>
      <c r="E735" s="88">
        <v>0</v>
      </c>
      <c r="F735" s="88">
        <v>0</v>
      </c>
      <c r="G735" s="88">
        <v>0</v>
      </c>
      <c r="H735" s="88">
        <v>0</v>
      </c>
      <c r="I735" s="88">
        <v>0</v>
      </c>
      <c r="J735" s="88">
        <v>0</v>
      </c>
      <c r="K735" s="62">
        <v>0</v>
      </c>
      <c r="L735" s="62">
        <v>0</v>
      </c>
      <c r="M735" s="62">
        <v>0</v>
      </c>
      <c r="N735" s="62">
        <v>0</v>
      </c>
      <c r="O735" s="62">
        <v>0</v>
      </c>
      <c r="P735" s="62">
        <v>0</v>
      </c>
      <c r="Q735" s="62">
        <v>0</v>
      </c>
      <c r="R735" s="62">
        <v>0</v>
      </c>
      <c r="S735" s="62">
        <v>0</v>
      </c>
      <c r="T735" s="62">
        <v>0</v>
      </c>
      <c r="U735" s="62">
        <v>0</v>
      </c>
      <c r="V735" s="62">
        <v>0</v>
      </c>
      <c r="W735" s="62">
        <v>0</v>
      </c>
      <c r="X735" s="62">
        <v>0</v>
      </c>
      <c r="Y735" s="62">
        <v>0</v>
      </c>
      <c r="Z735" s="62">
        <v>0</v>
      </c>
      <c r="AA735" s="62">
        <v>0</v>
      </c>
      <c r="AB735" s="62">
        <v>0</v>
      </c>
      <c r="AC735" s="62">
        <v>0</v>
      </c>
      <c r="AD735" s="62">
        <v>0</v>
      </c>
      <c r="AE735" s="62">
        <v>0</v>
      </c>
      <c r="AF735" s="62">
        <v>0</v>
      </c>
      <c r="AG735" s="62">
        <v>0</v>
      </c>
      <c r="AH735" s="146">
        <v>0</v>
      </c>
      <c r="AI735" s="6"/>
    </row>
    <row r="736" spans="1:35" x14ac:dyDescent="0.25">
      <c r="A736" s="3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6"/>
    </row>
    <row r="737" spans="1:35" ht="15.75" thickBot="1" x14ac:dyDescent="0.3">
      <c r="A737" s="3"/>
      <c r="B737" s="5"/>
      <c r="C737" s="7">
        <v>32</v>
      </c>
      <c r="D737" s="7">
        <v>33</v>
      </c>
      <c r="E737" s="7">
        <v>34</v>
      </c>
      <c r="F737" s="7">
        <v>35</v>
      </c>
      <c r="G737" s="7">
        <v>36</v>
      </c>
      <c r="H737" s="7">
        <v>37</v>
      </c>
      <c r="I737" s="7">
        <v>38</v>
      </c>
      <c r="J737" s="7">
        <v>39</v>
      </c>
      <c r="K737" s="7">
        <v>40</v>
      </c>
      <c r="L737" s="7">
        <v>41</v>
      </c>
      <c r="M737" s="7">
        <v>42</v>
      </c>
      <c r="N737" s="7">
        <v>43</v>
      </c>
      <c r="O737" s="7">
        <v>44</v>
      </c>
      <c r="P737" s="7">
        <v>45</v>
      </c>
      <c r="Q737" s="7">
        <v>46</v>
      </c>
      <c r="R737" s="7">
        <v>47</v>
      </c>
      <c r="S737" s="7">
        <v>48</v>
      </c>
      <c r="T737" s="7">
        <v>49</v>
      </c>
      <c r="U737" s="7">
        <v>50</v>
      </c>
      <c r="V737" s="7">
        <v>51</v>
      </c>
      <c r="W737" s="7">
        <v>52</v>
      </c>
      <c r="X737" s="7">
        <v>53</v>
      </c>
      <c r="Y737" s="7">
        <v>54</v>
      </c>
      <c r="Z737" s="7">
        <v>55</v>
      </c>
      <c r="AA737" s="7">
        <v>56</v>
      </c>
      <c r="AB737" s="7">
        <v>57</v>
      </c>
      <c r="AC737" s="7">
        <v>58</v>
      </c>
      <c r="AD737" s="7">
        <v>59</v>
      </c>
      <c r="AE737" s="7">
        <v>60</v>
      </c>
      <c r="AF737" s="7">
        <v>61</v>
      </c>
      <c r="AG737" s="7">
        <v>62</v>
      </c>
      <c r="AH737" s="7">
        <v>63</v>
      </c>
      <c r="AI737" s="6"/>
    </row>
    <row r="738" spans="1:35" ht="15.75" thickBot="1" x14ac:dyDescent="0.3">
      <c r="A738" s="3"/>
      <c r="B738" s="5"/>
      <c r="C738" s="147" t="s">
        <v>13</v>
      </c>
      <c r="D738" s="148" t="s">
        <v>14</v>
      </c>
      <c r="E738" s="148" t="s">
        <v>15</v>
      </c>
      <c r="F738" s="148" t="s">
        <v>16</v>
      </c>
      <c r="G738" s="148" t="s">
        <v>17</v>
      </c>
      <c r="H738" s="148" t="s">
        <v>18</v>
      </c>
      <c r="I738" s="148" t="s">
        <v>19</v>
      </c>
      <c r="J738" s="148" t="s">
        <v>20</v>
      </c>
      <c r="K738" s="148" t="s">
        <v>21</v>
      </c>
      <c r="L738" s="148" t="s">
        <v>22</v>
      </c>
      <c r="M738" s="148" t="s">
        <v>23</v>
      </c>
      <c r="N738" s="148" t="s">
        <v>24</v>
      </c>
      <c r="O738" s="148" t="s">
        <v>25</v>
      </c>
      <c r="P738" s="148" t="s">
        <v>26</v>
      </c>
      <c r="Q738" s="148" t="s">
        <v>27</v>
      </c>
      <c r="R738" s="342" t="s">
        <v>30</v>
      </c>
      <c r="S738" s="343"/>
      <c r="T738" s="343"/>
      <c r="U738" s="343"/>
      <c r="V738" s="343"/>
      <c r="W738" s="343"/>
      <c r="X738" s="343"/>
      <c r="Y738" s="343"/>
      <c r="Z738" s="343"/>
      <c r="AA738" s="343"/>
      <c r="AB738" s="343"/>
      <c r="AC738" s="343"/>
      <c r="AD738" s="343"/>
      <c r="AE738" s="343"/>
      <c r="AF738" s="344"/>
      <c r="AG738" s="67" t="s">
        <v>28</v>
      </c>
      <c r="AH738" s="149" t="s">
        <v>29</v>
      </c>
      <c r="AI738" s="6"/>
    </row>
    <row r="739" spans="1:35" ht="15.75" thickBot="1" x14ac:dyDescent="0.3">
      <c r="A739" s="3"/>
      <c r="B739" s="5"/>
      <c r="C739" s="150">
        <v>0</v>
      </c>
      <c r="D739" s="151">
        <v>0</v>
      </c>
      <c r="E739" s="151">
        <v>0</v>
      </c>
      <c r="F739" s="151">
        <v>0</v>
      </c>
      <c r="G739" s="151">
        <v>0</v>
      </c>
      <c r="H739" s="151">
        <v>0</v>
      </c>
      <c r="I739" s="151">
        <v>0</v>
      </c>
      <c r="J739" s="151">
        <v>0</v>
      </c>
      <c r="K739" s="151">
        <v>0</v>
      </c>
      <c r="L739" s="151">
        <v>0</v>
      </c>
      <c r="M739" s="151">
        <v>0</v>
      </c>
      <c r="N739" s="151">
        <v>0</v>
      </c>
      <c r="O739" s="151">
        <v>1</v>
      </c>
      <c r="P739" s="151">
        <v>0</v>
      </c>
      <c r="Q739" s="151">
        <v>0</v>
      </c>
      <c r="R739" s="151">
        <v>0</v>
      </c>
      <c r="S739" s="151">
        <v>0</v>
      </c>
      <c r="T739" s="151">
        <v>0</v>
      </c>
      <c r="U739" s="151">
        <v>0</v>
      </c>
      <c r="V739" s="151">
        <v>0</v>
      </c>
      <c r="W739" s="151">
        <v>0</v>
      </c>
      <c r="X739" s="151">
        <v>1</v>
      </c>
      <c r="Y739" s="151">
        <v>1</v>
      </c>
      <c r="Z739" s="151">
        <v>0</v>
      </c>
      <c r="AA739" s="151">
        <v>0</v>
      </c>
      <c r="AB739" s="151">
        <v>0</v>
      </c>
      <c r="AC739" s="151">
        <v>0</v>
      </c>
      <c r="AD739" s="151">
        <v>1</v>
      </c>
      <c r="AE739" s="151">
        <v>0</v>
      </c>
      <c r="AF739" s="151">
        <v>0</v>
      </c>
      <c r="AG739" s="151">
        <v>0</v>
      </c>
      <c r="AH739" s="152">
        <v>0</v>
      </c>
      <c r="AI739" s="6"/>
    </row>
    <row r="740" spans="1:35" x14ac:dyDescent="0.25">
      <c r="A740" s="3"/>
      <c r="B740" s="4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6"/>
    </row>
    <row r="741" spans="1:35" x14ac:dyDescent="0.25">
      <c r="A741" s="3"/>
      <c r="B741" s="8" t="s">
        <v>43</v>
      </c>
      <c r="C741" s="9"/>
      <c r="D741" s="9"/>
      <c r="E741" s="9"/>
      <c r="F741" s="44" t="s">
        <v>44</v>
      </c>
      <c r="G741" s="44"/>
      <c r="H741" s="44"/>
      <c r="I741" s="9"/>
      <c r="J741" s="45" t="s">
        <v>45</v>
      </c>
      <c r="K741" s="45"/>
      <c r="L741" s="45"/>
      <c r="M741" s="45"/>
      <c r="N741" s="9"/>
      <c r="O741" s="46" t="s">
        <v>46</v>
      </c>
      <c r="P741" s="46"/>
      <c r="Q741" s="46"/>
      <c r="R741" s="46"/>
      <c r="S741" s="9"/>
      <c r="T741" s="1" t="s">
        <v>49</v>
      </c>
      <c r="U741" s="10" t="s">
        <v>48</v>
      </c>
      <c r="V741" s="5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  <c r="AI741" s="6"/>
    </row>
    <row r="742" spans="1:35" ht="15" customHeight="1" x14ac:dyDescent="0.25">
      <c r="A742" s="3"/>
      <c r="B742" s="42" t="str">
        <f>"0x"&amp;DEC2HEX(Sheet3!$I$4,8)</f>
        <v>0x00400320</v>
      </c>
      <c r="C742" s="42"/>
      <c r="D742" s="42"/>
      <c r="E742" s="12"/>
      <c r="F742" s="319" t="str">
        <f>"0x"&amp;BIN2HEX(CONCATENATE(C735,D735,E735,F735,G735,H735,I735,J735),2)&amp;BIN2HEX(CONCATENATE(K735,L735,M735,N735,O735,P735,Q735,R735),2)&amp;BIN2HEX(CONCATENATE(S735,T735,U735,V735,W735,X735,Y735,Z735),2)&amp;BIN2HEX(CONCATENATE(AA735,AB735,AC735,AD735,AE735,AF735,AG735,AH735),2)</f>
        <v>0x00000000</v>
      </c>
      <c r="G742" s="319"/>
      <c r="H742" s="319"/>
      <c r="I742" s="12"/>
      <c r="J742" s="319" t="str">
        <f>"0b"&amp;C739&amp;D739&amp;E739&amp;F739&amp;G739&amp;H739&amp;I739&amp;J739&amp;K739&amp;L739&amp;M739&amp;N739&amp;O739&amp;P739&amp;Q739</f>
        <v>0b000000000000100</v>
      </c>
      <c r="K742" s="319"/>
      <c r="L742" s="319"/>
      <c r="M742" s="319"/>
      <c r="N742" s="12"/>
      <c r="O742" s="319" t="str">
        <f>"0b"&amp;DEC2BIN(((AF739+AE739*2+AD739*4+AC739*8+AB739*16+AA739*32+Z739*64+Y739*128+X739*256+W739*512+V739*1024+U739*2048+T739*4096+S739*2^13+R739*2^14)/512),6)&amp;DEC2BIN(MOD((AF739+AE739*2+AD739*4+AC739*8+AB739*16+AA739*32+Z739*64+Y739*128+X739*256+W739*512+V739*1024+U739*2048+T739*4096+S739*2^13+R739*2^14),512),9)</f>
        <v>0b000000110000100</v>
      </c>
      <c r="P742" s="319"/>
      <c r="Q742" s="319"/>
      <c r="R742" s="319"/>
      <c r="S742" s="12"/>
      <c r="T742" s="13">
        <v>0</v>
      </c>
      <c r="U742" s="13">
        <f>AH739</f>
        <v>0</v>
      </c>
      <c r="V742" s="5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6"/>
    </row>
    <row r="743" spans="1:35" x14ac:dyDescent="0.25">
      <c r="A743" s="3"/>
      <c r="B743" s="42"/>
      <c r="C743" s="42"/>
      <c r="D743" s="42"/>
      <c r="E743" s="15"/>
      <c r="F743" s="43"/>
      <c r="G743" s="43"/>
      <c r="H743" s="43"/>
      <c r="I743" s="15"/>
      <c r="J743" s="42"/>
      <c r="K743" s="42"/>
      <c r="L743" s="42"/>
      <c r="M743" s="42"/>
      <c r="N743" s="15"/>
      <c r="O743" s="42"/>
      <c r="P743" s="42"/>
      <c r="Q743" s="42"/>
      <c r="R743" s="42"/>
      <c r="S743" s="15"/>
      <c r="T743" s="13"/>
      <c r="U743" s="15"/>
      <c r="V743" s="5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6"/>
    </row>
    <row r="744" spans="1:35" x14ac:dyDescent="0.25">
      <c r="A744" s="3"/>
      <c r="B744" s="42"/>
      <c r="C744" s="42"/>
      <c r="D744" s="42"/>
      <c r="E744" s="15"/>
      <c r="F744" s="43"/>
      <c r="G744" s="43"/>
      <c r="H744" s="43"/>
      <c r="I744" s="15"/>
      <c r="J744" s="42"/>
      <c r="K744" s="42"/>
      <c r="L744" s="42"/>
      <c r="M744" s="42"/>
      <c r="N744" s="15"/>
      <c r="O744" s="42"/>
      <c r="P744" s="42"/>
      <c r="Q744" s="42"/>
      <c r="R744" s="42"/>
      <c r="S744" s="15"/>
      <c r="T744" s="13"/>
      <c r="U744" s="15"/>
      <c r="V744" s="5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6"/>
    </row>
    <row r="745" spans="1:35" x14ac:dyDescent="0.25">
      <c r="A745" s="3"/>
      <c r="B745" s="5"/>
      <c r="C745" s="5"/>
      <c r="D745" s="5"/>
      <c r="E745" s="5"/>
      <c r="F745" s="17"/>
      <c r="G745" s="17"/>
      <c r="H745" s="17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6"/>
    </row>
    <row r="746" spans="1:35" x14ac:dyDescent="0.25">
      <c r="A746" s="3"/>
      <c r="B746" s="5" t="s">
        <v>47</v>
      </c>
      <c r="C746" s="18"/>
      <c r="D746" s="18"/>
      <c r="E746" s="18"/>
      <c r="F746" s="5"/>
      <c r="G746" s="5"/>
      <c r="H746" s="5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6"/>
    </row>
    <row r="747" spans="1:35" ht="15" customHeight="1" x14ac:dyDescent="0.25">
      <c r="A747" s="3"/>
      <c r="B747" s="42" t="str">
        <f>"0x"&amp;DEC2HEX(Sheet3!$I$4,8)</f>
        <v>0x00400320</v>
      </c>
      <c r="C747" s="42"/>
      <c r="D747" s="42"/>
      <c r="E747" s="16"/>
      <c r="F747" s="322" t="str">
        <f>F742&amp;BIN2HEX(MID(J742,3,8),2)&amp;BIN2HEX(RIGHT(J742,7)&amp;MID(O742,3,1),2)&amp;BIN2HEX(MID(O742,4,8),2)&amp;BIN2HEX(RIGHT(O742,6)&amp;T742&amp;U742,2)</f>
        <v>0x0000000000080610</v>
      </c>
      <c r="G747" s="322"/>
      <c r="H747" s="322"/>
      <c r="I747" s="322"/>
      <c r="J747" s="5"/>
      <c r="K747" s="5"/>
      <c r="L747" s="5"/>
      <c r="M747" s="5"/>
      <c r="N747" s="5"/>
      <c r="O747" s="5"/>
      <c r="P747" s="16"/>
      <c r="Q747" s="16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5"/>
      <c r="AH747" s="5"/>
      <c r="AI747" s="6"/>
    </row>
    <row r="748" spans="1:35" x14ac:dyDescent="0.25">
      <c r="A748" s="3"/>
      <c r="B748" s="37"/>
      <c r="C748" s="37"/>
      <c r="D748" s="37"/>
      <c r="E748" s="5"/>
      <c r="F748" s="38"/>
      <c r="G748" s="38"/>
      <c r="H748" s="38"/>
      <c r="I748" s="38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6"/>
    </row>
    <row r="749" spans="1:35" x14ac:dyDescent="0.25">
      <c r="A749" s="3"/>
      <c r="B749" s="37"/>
      <c r="C749" s="37"/>
      <c r="D749" s="37"/>
      <c r="E749" s="5"/>
      <c r="F749" s="38"/>
      <c r="G749" s="38"/>
      <c r="H749" s="38"/>
      <c r="I749" s="38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6"/>
    </row>
    <row r="750" spans="1:35" x14ac:dyDescent="0.25">
      <c r="A750" s="20"/>
      <c r="B750" s="21"/>
      <c r="C750" s="21"/>
      <c r="D750" s="21"/>
      <c r="E750" s="21"/>
      <c r="F750" s="21"/>
      <c r="G750" s="21"/>
      <c r="H750" s="21"/>
      <c r="I750" s="21"/>
      <c r="J750" s="21"/>
      <c r="K750" s="21"/>
      <c r="L750" s="21"/>
      <c r="M750" s="21"/>
      <c r="N750" s="21"/>
      <c r="O750" s="22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  <c r="AE750" s="21"/>
      <c r="AF750" s="21"/>
      <c r="AG750" s="21"/>
      <c r="AH750" s="21"/>
      <c r="AI750" s="23"/>
    </row>
    <row r="751" spans="1:35" x14ac:dyDescent="0.25">
      <c r="A751" s="24"/>
      <c r="B751" s="28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  <c r="AD751" s="25"/>
      <c r="AE751" s="25"/>
      <c r="AF751" s="25"/>
      <c r="AG751" s="25"/>
      <c r="AH751" s="25"/>
      <c r="AI751" s="26"/>
    </row>
    <row r="752" spans="1:35" x14ac:dyDescent="0.25">
      <c r="A752" s="3"/>
      <c r="B752" s="4" t="s">
        <v>166</v>
      </c>
      <c r="C752" s="5"/>
      <c r="D752" s="5"/>
      <c r="E752" s="5"/>
      <c r="F752" s="5"/>
      <c r="G752" s="5"/>
      <c r="H752" s="5"/>
      <c r="I752" s="5" t="str">
        <f>"0x"&amp;BIN2HEX(CONCATENATE(C757,D757,E757,F757,G757,H757,I757,J757),2)&amp;BIN2HEX(CONCATENATE(K757,L757,M757,N757,O757,P757,Q757,R757),2)&amp;BIN2HEX(CONCATENATE(S757,T757,U757,V757,W757,X757,Y757,Z757),2)&amp;BIN2HEX(CONCATENATE(AA757,AB757,AC757,AD757,AE757,AF757,AG757,AH757),2)&amp;"_"&amp;BIN2HEX(CONCATENATE(C761,D761,E761,F761,G761,H761,I761,J761),2)&amp;BIN2HEX(CONCATENATE(K761,L761,M761,N761,O761,P761,Q761,R761),2)&amp;BIN2HEX(CONCATENATE(S761,T761,U761,V761,W761,X761,Y761,Z761),2)&amp;BIN2HEX(CONCATENATE(AA761,AB761,AC761,AD761,AE761,AF761,AG761,AH761),2)</f>
        <v>0x00000000_00080614</v>
      </c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6"/>
    </row>
    <row r="753" spans="1:35" ht="15.75" thickBot="1" x14ac:dyDescent="0.3">
      <c r="A753" s="3"/>
      <c r="B753" s="5"/>
      <c r="C753" s="7">
        <v>0</v>
      </c>
      <c r="D753" s="7">
        <v>1</v>
      </c>
      <c r="E753" s="7">
        <v>2</v>
      </c>
      <c r="F753" s="7">
        <v>3</v>
      </c>
      <c r="G753" s="7">
        <v>4</v>
      </c>
      <c r="H753" s="7">
        <v>5</v>
      </c>
      <c r="I753" s="7">
        <v>6</v>
      </c>
      <c r="J753" s="7">
        <v>7</v>
      </c>
      <c r="K753" s="7">
        <v>8</v>
      </c>
      <c r="L753" s="7">
        <v>9</v>
      </c>
      <c r="M753" s="7">
        <v>10</v>
      </c>
      <c r="N753" s="7">
        <v>11</v>
      </c>
      <c r="O753" s="7">
        <v>12</v>
      </c>
      <c r="P753" s="7">
        <v>13</v>
      </c>
      <c r="Q753" s="7">
        <v>14</v>
      </c>
      <c r="R753" s="7">
        <v>15</v>
      </c>
      <c r="S753" s="7">
        <v>16</v>
      </c>
      <c r="T753" s="7">
        <v>17</v>
      </c>
      <c r="U753" s="7">
        <v>18</v>
      </c>
      <c r="V753" s="7">
        <v>19</v>
      </c>
      <c r="W753" s="7">
        <v>20</v>
      </c>
      <c r="X753" s="7">
        <v>21</v>
      </c>
      <c r="Y753" s="7">
        <v>22</v>
      </c>
      <c r="Z753" s="7">
        <v>23</v>
      </c>
      <c r="AA753" s="7">
        <v>24</v>
      </c>
      <c r="AB753" s="7">
        <v>25</v>
      </c>
      <c r="AC753" s="7">
        <v>26</v>
      </c>
      <c r="AD753" s="7">
        <v>27</v>
      </c>
      <c r="AE753" s="7">
        <v>28</v>
      </c>
      <c r="AF753" s="7">
        <v>29</v>
      </c>
      <c r="AG753" s="7">
        <v>30</v>
      </c>
      <c r="AH753" s="7">
        <v>31</v>
      </c>
      <c r="AI753" s="6"/>
    </row>
    <row r="754" spans="1:35" ht="15" customHeight="1" x14ac:dyDescent="0.25">
      <c r="A754" s="3"/>
      <c r="B754" s="5" t="s">
        <v>31</v>
      </c>
      <c r="C754" s="328" t="s">
        <v>161</v>
      </c>
      <c r="D754" s="330" t="s">
        <v>63</v>
      </c>
      <c r="E754" s="331"/>
      <c r="F754" s="331"/>
      <c r="G754" s="331"/>
      <c r="H754" s="331"/>
      <c r="I754" s="331"/>
      <c r="J754" s="332"/>
      <c r="K754" s="336">
        <v>0</v>
      </c>
      <c r="L754" s="337"/>
      <c r="M754" s="337"/>
      <c r="N754" s="337"/>
      <c r="O754" s="337"/>
      <c r="P754" s="337"/>
      <c r="Q754" s="337"/>
      <c r="R754" s="337"/>
      <c r="S754" s="337"/>
      <c r="T754" s="337"/>
      <c r="U754" s="337"/>
      <c r="V754" s="337"/>
      <c r="W754" s="337"/>
      <c r="X754" s="337"/>
      <c r="Y754" s="337"/>
      <c r="Z754" s="337"/>
      <c r="AA754" s="337"/>
      <c r="AB754" s="337"/>
      <c r="AC754" s="337"/>
      <c r="AD754" s="337"/>
      <c r="AE754" s="337"/>
      <c r="AF754" s="337"/>
      <c r="AG754" s="337"/>
      <c r="AH754" s="338"/>
      <c r="AI754" s="6"/>
    </row>
    <row r="755" spans="1:35" x14ac:dyDescent="0.25">
      <c r="A755" s="3"/>
      <c r="B755" s="5" t="s">
        <v>32</v>
      </c>
      <c r="C755" s="329"/>
      <c r="D755" s="333"/>
      <c r="E755" s="334"/>
      <c r="F755" s="334"/>
      <c r="G755" s="334"/>
      <c r="H755" s="334"/>
      <c r="I755" s="334"/>
      <c r="J755" s="335"/>
      <c r="K755" s="339"/>
      <c r="L755" s="340"/>
      <c r="M755" s="340"/>
      <c r="N755" s="340"/>
      <c r="O755" s="340"/>
      <c r="P755" s="340"/>
      <c r="Q755" s="340"/>
      <c r="R755" s="340"/>
      <c r="S755" s="340"/>
      <c r="T755" s="340"/>
      <c r="U755" s="340"/>
      <c r="V755" s="340"/>
      <c r="W755" s="340"/>
      <c r="X755" s="340"/>
      <c r="Y755" s="340"/>
      <c r="Z755" s="340"/>
      <c r="AA755" s="340"/>
      <c r="AB755" s="340"/>
      <c r="AC755" s="340"/>
      <c r="AD755" s="340"/>
      <c r="AE755" s="340"/>
      <c r="AF755" s="340"/>
      <c r="AG755" s="340"/>
      <c r="AH755" s="341"/>
      <c r="AI755" s="6"/>
    </row>
    <row r="756" spans="1:35" x14ac:dyDescent="0.25">
      <c r="A756" s="3"/>
      <c r="B756" s="5" t="s">
        <v>11</v>
      </c>
      <c r="C756" s="56">
        <v>0</v>
      </c>
      <c r="D756" s="57">
        <v>0</v>
      </c>
      <c r="E756" s="57">
        <v>0</v>
      </c>
      <c r="F756" s="57">
        <v>0</v>
      </c>
      <c r="G756" s="57">
        <v>0</v>
      </c>
      <c r="H756" s="57">
        <v>0</v>
      </c>
      <c r="I756" s="57">
        <v>0</v>
      </c>
      <c r="J756" s="57">
        <v>0</v>
      </c>
      <c r="K756" s="57">
        <v>0</v>
      </c>
      <c r="L756" s="57">
        <v>0</v>
      </c>
      <c r="M756" s="57">
        <v>0</v>
      </c>
      <c r="N756" s="57">
        <v>0</v>
      </c>
      <c r="O756" s="57">
        <v>0</v>
      </c>
      <c r="P756" s="57">
        <v>0</v>
      </c>
      <c r="Q756" s="57">
        <v>0</v>
      </c>
      <c r="R756" s="57">
        <v>0</v>
      </c>
      <c r="S756" s="57">
        <v>0</v>
      </c>
      <c r="T756" s="57">
        <v>0</v>
      </c>
      <c r="U756" s="57">
        <v>0</v>
      </c>
      <c r="V756" s="57">
        <v>0</v>
      </c>
      <c r="W756" s="57">
        <v>0</v>
      </c>
      <c r="X756" s="57">
        <v>0</v>
      </c>
      <c r="Y756" s="57">
        <v>0</v>
      </c>
      <c r="Z756" s="57">
        <v>0</v>
      </c>
      <c r="AA756" s="57">
        <v>0</v>
      </c>
      <c r="AB756" s="57">
        <v>0</v>
      </c>
      <c r="AC756" s="57">
        <v>0</v>
      </c>
      <c r="AD756" s="57">
        <v>0</v>
      </c>
      <c r="AE756" s="57">
        <v>0</v>
      </c>
      <c r="AF756" s="57">
        <v>0</v>
      </c>
      <c r="AG756" s="57">
        <v>0</v>
      </c>
      <c r="AH756" s="58">
        <v>0</v>
      </c>
      <c r="AI756" s="6"/>
    </row>
    <row r="757" spans="1:35" ht="15.75" thickBot="1" x14ac:dyDescent="0.3">
      <c r="A757" s="3"/>
      <c r="B757" s="5" t="s">
        <v>12</v>
      </c>
      <c r="C757" s="145">
        <v>0</v>
      </c>
      <c r="D757" s="88">
        <v>0</v>
      </c>
      <c r="E757" s="88">
        <v>0</v>
      </c>
      <c r="F757" s="88">
        <v>0</v>
      </c>
      <c r="G757" s="88">
        <v>0</v>
      </c>
      <c r="H757" s="88">
        <v>0</v>
      </c>
      <c r="I757" s="88">
        <v>0</v>
      </c>
      <c r="J757" s="88">
        <v>0</v>
      </c>
      <c r="K757" s="62">
        <v>0</v>
      </c>
      <c r="L757" s="62">
        <v>0</v>
      </c>
      <c r="M757" s="62">
        <v>0</v>
      </c>
      <c r="N757" s="62">
        <v>0</v>
      </c>
      <c r="O757" s="62">
        <v>0</v>
      </c>
      <c r="P757" s="62">
        <v>0</v>
      </c>
      <c r="Q757" s="62">
        <v>0</v>
      </c>
      <c r="R757" s="62">
        <v>0</v>
      </c>
      <c r="S757" s="62">
        <v>0</v>
      </c>
      <c r="T757" s="62">
        <v>0</v>
      </c>
      <c r="U757" s="62">
        <v>0</v>
      </c>
      <c r="V757" s="62">
        <v>0</v>
      </c>
      <c r="W757" s="62">
        <v>0</v>
      </c>
      <c r="X757" s="62">
        <v>0</v>
      </c>
      <c r="Y757" s="62">
        <v>0</v>
      </c>
      <c r="Z757" s="62">
        <v>0</v>
      </c>
      <c r="AA757" s="62">
        <v>0</v>
      </c>
      <c r="AB757" s="62">
        <v>0</v>
      </c>
      <c r="AC757" s="62">
        <v>0</v>
      </c>
      <c r="AD757" s="62">
        <v>0</v>
      </c>
      <c r="AE757" s="62">
        <v>0</v>
      </c>
      <c r="AF757" s="62">
        <v>0</v>
      </c>
      <c r="AG757" s="62">
        <v>0</v>
      </c>
      <c r="AH757" s="146">
        <v>0</v>
      </c>
      <c r="AI757" s="6"/>
    </row>
    <row r="758" spans="1:35" x14ac:dyDescent="0.25">
      <c r="A758" s="3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6"/>
    </row>
    <row r="759" spans="1:35" ht="15.75" thickBot="1" x14ac:dyDescent="0.3">
      <c r="A759" s="3"/>
      <c r="B759" s="5"/>
      <c r="C759" s="7">
        <v>32</v>
      </c>
      <c r="D759" s="7">
        <v>33</v>
      </c>
      <c r="E759" s="7">
        <v>34</v>
      </c>
      <c r="F759" s="7">
        <v>35</v>
      </c>
      <c r="G759" s="7">
        <v>36</v>
      </c>
      <c r="H759" s="7">
        <v>37</v>
      </c>
      <c r="I759" s="7">
        <v>38</v>
      </c>
      <c r="J759" s="7">
        <v>39</v>
      </c>
      <c r="K759" s="7">
        <v>40</v>
      </c>
      <c r="L759" s="7">
        <v>41</v>
      </c>
      <c r="M759" s="7">
        <v>42</v>
      </c>
      <c r="N759" s="7">
        <v>43</v>
      </c>
      <c r="O759" s="7">
        <v>44</v>
      </c>
      <c r="P759" s="7">
        <v>45</v>
      </c>
      <c r="Q759" s="7">
        <v>46</v>
      </c>
      <c r="R759" s="7">
        <v>47</v>
      </c>
      <c r="S759" s="7">
        <v>48</v>
      </c>
      <c r="T759" s="7">
        <v>49</v>
      </c>
      <c r="U759" s="7">
        <v>50</v>
      </c>
      <c r="V759" s="7">
        <v>51</v>
      </c>
      <c r="W759" s="7">
        <v>52</v>
      </c>
      <c r="X759" s="7">
        <v>53</v>
      </c>
      <c r="Y759" s="7">
        <v>54</v>
      </c>
      <c r="Z759" s="7">
        <v>55</v>
      </c>
      <c r="AA759" s="7">
        <v>56</v>
      </c>
      <c r="AB759" s="7">
        <v>57</v>
      </c>
      <c r="AC759" s="7">
        <v>58</v>
      </c>
      <c r="AD759" s="7">
        <v>59</v>
      </c>
      <c r="AE759" s="7">
        <v>60</v>
      </c>
      <c r="AF759" s="7">
        <v>61</v>
      </c>
      <c r="AG759" s="7">
        <v>62</v>
      </c>
      <c r="AH759" s="7">
        <v>63</v>
      </c>
      <c r="AI759" s="6"/>
    </row>
    <row r="760" spans="1:35" ht="15.75" thickBot="1" x14ac:dyDescent="0.3">
      <c r="A760" s="3"/>
      <c r="B760" s="5"/>
      <c r="C760" s="147" t="s">
        <v>13</v>
      </c>
      <c r="D760" s="148" t="s">
        <v>14</v>
      </c>
      <c r="E760" s="148" t="s">
        <v>15</v>
      </c>
      <c r="F760" s="148" t="s">
        <v>16</v>
      </c>
      <c r="G760" s="148" t="s">
        <v>17</v>
      </c>
      <c r="H760" s="148" t="s">
        <v>18</v>
      </c>
      <c r="I760" s="148" t="s">
        <v>19</v>
      </c>
      <c r="J760" s="148" t="s">
        <v>20</v>
      </c>
      <c r="K760" s="148" t="s">
        <v>21</v>
      </c>
      <c r="L760" s="148" t="s">
        <v>22</v>
      </c>
      <c r="M760" s="148" t="s">
        <v>23</v>
      </c>
      <c r="N760" s="148" t="s">
        <v>24</v>
      </c>
      <c r="O760" s="148" t="s">
        <v>25</v>
      </c>
      <c r="P760" s="148" t="s">
        <v>26</v>
      </c>
      <c r="Q760" s="148" t="s">
        <v>27</v>
      </c>
      <c r="R760" s="342" t="s">
        <v>30</v>
      </c>
      <c r="S760" s="343"/>
      <c r="T760" s="343"/>
      <c r="U760" s="343"/>
      <c r="V760" s="343"/>
      <c r="W760" s="343"/>
      <c r="X760" s="343"/>
      <c r="Y760" s="343"/>
      <c r="Z760" s="343"/>
      <c r="AA760" s="343"/>
      <c r="AB760" s="343"/>
      <c r="AC760" s="343"/>
      <c r="AD760" s="343"/>
      <c r="AE760" s="343"/>
      <c r="AF760" s="344"/>
      <c r="AG760" s="67" t="s">
        <v>28</v>
      </c>
      <c r="AH760" s="149" t="s">
        <v>29</v>
      </c>
      <c r="AI760" s="6"/>
    </row>
    <row r="761" spans="1:35" ht="15.75" thickBot="1" x14ac:dyDescent="0.3">
      <c r="A761" s="3"/>
      <c r="B761" s="5"/>
      <c r="C761" s="150">
        <v>0</v>
      </c>
      <c r="D761" s="151">
        <v>0</v>
      </c>
      <c r="E761" s="151">
        <v>0</v>
      </c>
      <c r="F761" s="151">
        <v>0</v>
      </c>
      <c r="G761" s="151">
        <v>0</v>
      </c>
      <c r="H761" s="151">
        <v>0</v>
      </c>
      <c r="I761" s="151">
        <v>0</v>
      </c>
      <c r="J761" s="151">
        <v>0</v>
      </c>
      <c r="K761" s="151">
        <v>0</v>
      </c>
      <c r="L761" s="151">
        <v>0</v>
      </c>
      <c r="M761" s="151">
        <v>0</v>
      </c>
      <c r="N761" s="151">
        <v>0</v>
      </c>
      <c r="O761" s="151">
        <v>1</v>
      </c>
      <c r="P761" s="151">
        <v>0</v>
      </c>
      <c r="Q761" s="151">
        <v>0</v>
      </c>
      <c r="R761" s="151">
        <v>0</v>
      </c>
      <c r="S761" s="151">
        <v>0</v>
      </c>
      <c r="T761" s="151">
        <v>0</v>
      </c>
      <c r="U761" s="151">
        <v>0</v>
      </c>
      <c r="V761" s="151">
        <v>0</v>
      </c>
      <c r="W761" s="151">
        <v>0</v>
      </c>
      <c r="X761" s="151">
        <v>1</v>
      </c>
      <c r="Y761" s="151">
        <v>1</v>
      </c>
      <c r="Z761" s="151">
        <v>0</v>
      </c>
      <c r="AA761" s="151">
        <v>0</v>
      </c>
      <c r="AB761" s="151">
        <v>0</v>
      </c>
      <c r="AC761" s="151">
        <v>0</v>
      </c>
      <c r="AD761" s="151">
        <v>1</v>
      </c>
      <c r="AE761" s="151">
        <v>0</v>
      </c>
      <c r="AF761" s="151">
        <v>1</v>
      </c>
      <c r="AG761" s="151">
        <v>0</v>
      </c>
      <c r="AH761" s="152">
        <v>0</v>
      </c>
      <c r="AI761" s="6"/>
    </row>
    <row r="762" spans="1:35" x14ac:dyDescent="0.25">
      <c r="A762" s="3"/>
      <c r="B762" s="4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6"/>
    </row>
    <row r="763" spans="1:35" x14ac:dyDescent="0.25">
      <c r="A763" s="3"/>
      <c r="B763" s="8" t="s">
        <v>43</v>
      </c>
      <c r="C763" s="9"/>
      <c r="D763" s="9"/>
      <c r="E763" s="9"/>
      <c r="F763" s="44" t="s">
        <v>44</v>
      </c>
      <c r="G763" s="44"/>
      <c r="H763" s="44"/>
      <c r="I763" s="9"/>
      <c r="J763" s="45" t="s">
        <v>45</v>
      </c>
      <c r="K763" s="45"/>
      <c r="L763" s="45"/>
      <c r="M763" s="45"/>
      <c r="N763" s="9"/>
      <c r="O763" s="46" t="s">
        <v>46</v>
      </c>
      <c r="P763" s="46"/>
      <c r="Q763" s="46"/>
      <c r="R763" s="46"/>
      <c r="S763" s="9"/>
      <c r="T763" s="1" t="s">
        <v>49</v>
      </c>
      <c r="U763" s="10" t="s">
        <v>48</v>
      </c>
      <c r="V763" s="5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  <c r="AI763" s="6"/>
    </row>
    <row r="764" spans="1:35" ht="15" customHeight="1" x14ac:dyDescent="0.25">
      <c r="A764" s="3"/>
      <c r="B764" s="42" t="str">
        <f>"0x"&amp;DEC2HEX(Sheet3!$I$4,8)</f>
        <v>0x00400320</v>
      </c>
      <c r="C764" s="42"/>
      <c r="D764" s="42"/>
      <c r="E764" s="12"/>
      <c r="F764" s="319" t="str">
        <f>"0x"&amp;BIN2HEX(CONCATENATE(C757,D757,E757,F757,G757,H757,I757,J757),2)&amp;BIN2HEX(CONCATENATE(K757,L757,M757,N757,O757,P757,Q757,R757),2)&amp;BIN2HEX(CONCATENATE(S757,T757,U757,V757,W757,X757,Y757,Z757),2)&amp;BIN2HEX(CONCATENATE(AA757,AB757,AC757,AD757,AE757,AF757,AG757,AH757),2)</f>
        <v>0x00000000</v>
      </c>
      <c r="G764" s="319"/>
      <c r="H764" s="319"/>
      <c r="I764" s="12"/>
      <c r="J764" s="319" t="str">
        <f>"0b"&amp;C761&amp;D761&amp;E761&amp;F761&amp;G761&amp;H761&amp;I761&amp;J761&amp;K761&amp;L761&amp;M761&amp;N761&amp;O761&amp;P761&amp;Q761</f>
        <v>0b000000000000100</v>
      </c>
      <c r="K764" s="319"/>
      <c r="L764" s="319"/>
      <c r="M764" s="319"/>
      <c r="N764" s="12"/>
      <c r="O764" s="319" t="str">
        <f>"0b"&amp;DEC2BIN(((AF761+AE761*2+AD761*4+AC761*8+AB761*16+AA761*32+Z761*64+Y761*128+X761*256+W761*512+V761*1024+U761*2048+T761*4096+S761*2^13+R761*2^14)/512),6)&amp;DEC2BIN(MOD((AF761+AE761*2+AD761*4+AC761*8+AB761*16+AA761*32+Z761*64+Y761*128+X761*256+W761*512+V761*1024+U761*2048+T761*4096+S761*2^13+R761*2^14),512),9)</f>
        <v>0b000000110000101</v>
      </c>
      <c r="P764" s="319"/>
      <c r="Q764" s="319"/>
      <c r="R764" s="319"/>
      <c r="S764" s="12"/>
      <c r="T764" s="13">
        <v>0</v>
      </c>
      <c r="U764" s="13">
        <f>AH761</f>
        <v>0</v>
      </c>
      <c r="V764" s="5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6"/>
    </row>
    <row r="765" spans="1:35" x14ac:dyDescent="0.25">
      <c r="A765" s="3"/>
      <c r="B765" s="42"/>
      <c r="C765" s="42"/>
      <c r="D765" s="42"/>
      <c r="E765" s="15"/>
      <c r="F765" s="43"/>
      <c r="G765" s="43"/>
      <c r="H765" s="43"/>
      <c r="I765" s="15"/>
      <c r="J765" s="42"/>
      <c r="K765" s="42"/>
      <c r="L765" s="42"/>
      <c r="M765" s="42"/>
      <c r="N765" s="15"/>
      <c r="O765" s="42"/>
      <c r="P765" s="42"/>
      <c r="Q765" s="42"/>
      <c r="R765" s="42"/>
      <c r="S765" s="15"/>
      <c r="T765" s="13"/>
      <c r="U765" s="15"/>
      <c r="V765" s="5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6"/>
    </row>
    <row r="766" spans="1:35" x14ac:dyDescent="0.25">
      <c r="A766" s="3"/>
      <c r="B766" s="42"/>
      <c r="C766" s="42"/>
      <c r="D766" s="42"/>
      <c r="E766" s="15"/>
      <c r="F766" s="43"/>
      <c r="G766" s="43"/>
      <c r="H766" s="43"/>
      <c r="I766" s="15"/>
      <c r="J766" s="42"/>
      <c r="K766" s="42"/>
      <c r="L766" s="42"/>
      <c r="M766" s="42"/>
      <c r="N766" s="15"/>
      <c r="O766" s="42"/>
      <c r="P766" s="42"/>
      <c r="Q766" s="42"/>
      <c r="R766" s="42"/>
      <c r="S766" s="15"/>
      <c r="T766" s="13"/>
      <c r="U766" s="15"/>
      <c r="V766" s="5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6"/>
    </row>
    <row r="767" spans="1:35" x14ac:dyDescent="0.25">
      <c r="A767" s="3"/>
      <c r="B767" s="5"/>
      <c r="C767" s="5"/>
      <c r="D767" s="5"/>
      <c r="E767" s="5"/>
      <c r="F767" s="17"/>
      <c r="G767" s="17"/>
      <c r="H767" s="17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6"/>
    </row>
    <row r="768" spans="1:35" x14ac:dyDescent="0.25">
      <c r="A768" s="3"/>
      <c r="B768" s="5" t="s">
        <v>47</v>
      </c>
      <c r="C768" s="18"/>
      <c r="D768" s="18"/>
      <c r="E768" s="18"/>
      <c r="F768" s="5"/>
      <c r="G768" s="5"/>
      <c r="H768" s="5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6"/>
    </row>
    <row r="769" spans="1:35" ht="15" customHeight="1" x14ac:dyDescent="0.25">
      <c r="A769" s="3"/>
      <c r="B769" s="42" t="str">
        <f>"0x"&amp;DEC2HEX(Sheet3!$I$4,8)</f>
        <v>0x00400320</v>
      </c>
      <c r="C769" s="42"/>
      <c r="D769" s="42"/>
      <c r="E769" s="16"/>
      <c r="F769" s="322" t="str">
        <f>F764&amp;BIN2HEX(MID(J764,3,8),2)&amp;BIN2HEX(RIGHT(J764,7)&amp;MID(O764,3,1),2)&amp;BIN2HEX(MID(O764,4,8),2)&amp;BIN2HEX(RIGHT(O764,6)&amp;T764&amp;U764,2)</f>
        <v>0x0000000000080614</v>
      </c>
      <c r="G769" s="322"/>
      <c r="H769" s="322"/>
      <c r="I769" s="322"/>
      <c r="J769" s="5"/>
      <c r="K769" s="5"/>
      <c r="L769" s="5"/>
      <c r="M769" s="5"/>
      <c r="N769" s="5"/>
      <c r="O769" s="5"/>
      <c r="P769" s="16"/>
      <c r="Q769" s="16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5"/>
      <c r="AH769" s="5"/>
      <c r="AI769" s="6"/>
    </row>
    <row r="770" spans="1:35" x14ac:dyDescent="0.25">
      <c r="A770" s="3"/>
      <c r="B770" s="37"/>
      <c r="C770" s="37"/>
      <c r="D770" s="37"/>
      <c r="E770" s="5"/>
      <c r="F770" s="38"/>
      <c r="G770" s="38"/>
      <c r="H770" s="38"/>
      <c r="I770" s="38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6"/>
    </row>
    <row r="771" spans="1:35" x14ac:dyDescent="0.25">
      <c r="A771" s="3"/>
      <c r="B771" s="37"/>
      <c r="C771" s="37"/>
      <c r="D771" s="37"/>
      <c r="E771" s="5"/>
      <c r="F771" s="38"/>
      <c r="G771" s="38"/>
      <c r="H771" s="38"/>
      <c r="I771" s="38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6"/>
    </row>
    <row r="772" spans="1:35" x14ac:dyDescent="0.25">
      <c r="A772" s="20"/>
      <c r="B772" s="21"/>
      <c r="C772" s="21"/>
      <c r="D772" s="21"/>
      <c r="E772" s="21"/>
      <c r="F772" s="21"/>
      <c r="G772" s="21"/>
      <c r="H772" s="21"/>
      <c r="I772" s="21"/>
      <c r="J772" s="21"/>
      <c r="K772" s="21"/>
      <c r="L772" s="21"/>
      <c r="M772" s="21"/>
      <c r="N772" s="21"/>
      <c r="O772" s="22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  <c r="AF772" s="21"/>
      <c r="AG772" s="21"/>
      <c r="AH772" s="21"/>
      <c r="AI772" s="23"/>
    </row>
    <row r="773" spans="1:35" x14ac:dyDescent="0.25">
      <c r="A773" s="24"/>
      <c r="B773" s="28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6"/>
    </row>
    <row r="774" spans="1:35" x14ac:dyDescent="0.25">
      <c r="A774" s="3"/>
      <c r="B774" s="4" t="s">
        <v>167</v>
      </c>
      <c r="C774" s="5"/>
      <c r="D774" s="5"/>
      <c r="E774" s="5"/>
      <c r="F774" s="5"/>
      <c r="G774" s="5"/>
      <c r="H774" s="5"/>
      <c r="I774" s="5" t="str">
        <f>"0x"&amp;BIN2HEX(CONCATENATE(C779,D779,E779,F779,G779,H779,I779,J779),2)&amp;BIN2HEX(CONCATENATE(K779,L779,M779,N779,O779,P779,Q779,R779),2)&amp;BIN2HEX(CONCATENATE(S779,T779,U779,V779,W779,X779,Y779,Z779),2)&amp;BIN2HEX(CONCATENATE(AA779,AB779,AC779,AD779,AE779,AF779,AG779,AH779),2)&amp;"_"&amp;BIN2HEX(CONCATENATE(C783,D783,E783,F783,G783,H783,I783,J783),2)&amp;BIN2HEX(CONCATENATE(K783,L783,M783,N783,O783,P783,Q783,R783),2)&amp;BIN2HEX(CONCATENATE(S783,T783,U783,V783,W783,X783,Y783,Z783),2)&amp;BIN2HEX(CONCATENATE(AA783,AB783,AC783,AD783,AE783,AF783,AG783,AH783),2)</f>
        <v>0x00000000_00080618</v>
      </c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6"/>
    </row>
    <row r="775" spans="1:35" ht="15.75" thickBot="1" x14ac:dyDescent="0.3">
      <c r="A775" s="3"/>
      <c r="B775" s="5"/>
      <c r="C775" s="7">
        <v>0</v>
      </c>
      <c r="D775" s="7">
        <v>1</v>
      </c>
      <c r="E775" s="7">
        <v>2</v>
      </c>
      <c r="F775" s="7">
        <v>3</v>
      </c>
      <c r="G775" s="7">
        <v>4</v>
      </c>
      <c r="H775" s="7">
        <v>5</v>
      </c>
      <c r="I775" s="7">
        <v>6</v>
      </c>
      <c r="J775" s="7">
        <v>7</v>
      </c>
      <c r="K775" s="7">
        <v>8</v>
      </c>
      <c r="L775" s="7">
        <v>9</v>
      </c>
      <c r="M775" s="7">
        <v>10</v>
      </c>
      <c r="N775" s="7">
        <v>11</v>
      </c>
      <c r="O775" s="7">
        <v>12</v>
      </c>
      <c r="P775" s="7">
        <v>13</v>
      </c>
      <c r="Q775" s="7">
        <v>14</v>
      </c>
      <c r="R775" s="7">
        <v>15</v>
      </c>
      <c r="S775" s="7">
        <v>16</v>
      </c>
      <c r="T775" s="7">
        <v>17</v>
      </c>
      <c r="U775" s="7">
        <v>18</v>
      </c>
      <c r="V775" s="7">
        <v>19</v>
      </c>
      <c r="W775" s="7">
        <v>20</v>
      </c>
      <c r="X775" s="7">
        <v>21</v>
      </c>
      <c r="Y775" s="7">
        <v>22</v>
      </c>
      <c r="Z775" s="7">
        <v>23</v>
      </c>
      <c r="AA775" s="7">
        <v>24</v>
      </c>
      <c r="AB775" s="7">
        <v>25</v>
      </c>
      <c r="AC775" s="7">
        <v>26</v>
      </c>
      <c r="AD775" s="7">
        <v>27</v>
      </c>
      <c r="AE775" s="7">
        <v>28</v>
      </c>
      <c r="AF775" s="7">
        <v>29</v>
      </c>
      <c r="AG775" s="7">
        <v>30</v>
      </c>
      <c r="AH775" s="7">
        <v>31</v>
      </c>
      <c r="AI775" s="6"/>
    </row>
    <row r="776" spans="1:35" ht="15" customHeight="1" x14ac:dyDescent="0.25">
      <c r="A776" s="3"/>
      <c r="B776" s="5" t="s">
        <v>31</v>
      </c>
      <c r="C776" s="328" t="s">
        <v>161</v>
      </c>
      <c r="D776" s="330" t="s">
        <v>63</v>
      </c>
      <c r="E776" s="331"/>
      <c r="F776" s="331"/>
      <c r="G776" s="331"/>
      <c r="H776" s="331"/>
      <c r="I776" s="331"/>
      <c r="J776" s="332"/>
      <c r="K776" s="336">
        <v>0</v>
      </c>
      <c r="L776" s="337"/>
      <c r="M776" s="337"/>
      <c r="N776" s="337"/>
      <c r="O776" s="337"/>
      <c r="P776" s="337"/>
      <c r="Q776" s="337"/>
      <c r="R776" s="337"/>
      <c r="S776" s="337"/>
      <c r="T776" s="337"/>
      <c r="U776" s="337"/>
      <c r="V776" s="337"/>
      <c r="W776" s="337"/>
      <c r="X776" s="337"/>
      <c r="Y776" s="337"/>
      <c r="Z776" s="337"/>
      <c r="AA776" s="337"/>
      <c r="AB776" s="337"/>
      <c r="AC776" s="337"/>
      <c r="AD776" s="337"/>
      <c r="AE776" s="337"/>
      <c r="AF776" s="337"/>
      <c r="AG776" s="337"/>
      <c r="AH776" s="338"/>
      <c r="AI776" s="6"/>
    </row>
    <row r="777" spans="1:35" x14ac:dyDescent="0.25">
      <c r="A777" s="3"/>
      <c r="B777" s="5" t="s">
        <v>32</v>
      </c>
      <c r="C777" s="329"/>
      <c r="D777" s="333"/>
      <c r="E777" s="334"/>
      <c r="F777" s="334"/>
      <c r="G777" s="334"/>
      <c r="H777" s="334"/>
      <c r="I777" s="334"/>
      <c r="J777" s="335"/>
      <c r="K777" s="339"/>
      <c r="L777" s="340"/>
      <c r="M777" s="340"/>
      <c r="N777" s="340"/>
      <c r="O777" s="340"/>
      <c r="P777" s="340"/>
      <c r="Q777" s="340"/>
      <c r="R777" s="340"/>
      <c r="S777" s="340"/>
      <c r="T777" s="340"/>
      <c r="U777" s="340"/>
      <c r="V777" s="340"/>
      <c r="W777" s="340"/>
      <c r="X777" s="340"/>
      <c r="Y777" s="340"/>
      <c r="Z777" s="340"/>
      <c r="AA777" s="340"/>
      <c r="AB777" s="340"/>
      <c r="AC777" s="340"/>
      <c r="AD777" s="340"/>
      <c r="AE777" s="340"/>
      <c r="AF777" s="340"/>
      <c r="AG777" s="340"/>
      <c r="AH777" s="341"/>
      <c r="AI777" s="6"/>
    </row>
    <row r="778" spans="1:35" x14ac:dyDescent="0.25">
      <c r="A778" s="3"/>
      <c r="B778" s="5" t="s">
        <v>11</v>
      </c>
      <c r="C778" s="56">
        <v>0</v>
      </c>
      <c r="D778" s="57">
        <v>0</v>
      </c>
      <c r="E778" s="57">
        <v>0</v>
      </c>
      <c r="F778" s="57">
        <v>0</v>
      </c>
      <c r="G778" s="57">
        <v>0</v>
      </c>
      <c r="H778" s="57">
        <v>0</v>
      </c>
      <c r="I778" s="57">
        <v>0</v>
      </c>
      <c r="J778" s="57">
        <v>0</v>
      </c>
      <c r="K778" s="57">
        <v>0</v>
      </c>
      <c r="L778" s="57">
        <v>0</v>
      </c>
      <c r="M778" s="57">
        <v>0</v>
      </c>
      <c r="N778" s="57">
        <v>0</v>
      </c>
      <c r="O778" s="57">
        <v>0</v>
      </c>
      <c r="P778" s="57">
        <v>0</v>
      </c>
      <c r="Q778" s="57">
        <v>0</v>
      </c>
      <c r="R778" s="57">
        <v>0</v>
      </c>
      <c r="S778" s="57">
        <v>0</v>
      </c>
      <c r="T778" s="57">
        <v>0</v>
      </c>
      <c r="U778" s="57">
        <v>0</v>
      </c>
      <c r="V778" s="57">
        <v>0</v>
      </c>
      <c r="W778" s="57">
        <v>0</v>
      </c>
      <c r="X778" s="57">
        <v>0</v>
      </c>
      <c r="Y778" s="57">
        <v>0</v>
      </c>
      <c r="Z778" s="57">
        <v>0</v>
      </c>
      <c r="AA778" s="57">
        <v>0</v>
      </c>
      <c r="AB778" s="57">
        <v>0</v>
      </c>
      <c r="AC778" s="57">
        <v>0</v>
      </c>
      <c r="AD778" s="57">
        <v>0</v>
      </c>
      <c r="AE778" s="57">
        <v>0</v>
      </c>
      <c r="AF778" s="57">
        <v>0</v>
      </c>
      <c r="AG778" s="57">
        <v>0</v>
      </c>
      <c r="AH778" s="58">
        <v>0</v>
      </c>
      <c r="AI778" s="6"/>
    </row>
    <row r="779" spans="1:35" ht="15.75" thickBot="1" x14ac:dyDescent="0.3">
      <c r="A779" s="3"/>
      <c r="B779" s="5" t="s">
        <v>12</v>
      </c>
      <c r="C779" s="145">
        <v>0</v>
      </c>
      <c r="D779" s="88">
        <v>0</v>
      </c>
      <c r="E779" s="88">
        <v>0</v>
      </c>
      <c r="F779" s="88">
        <v>0</v>
      </c>
      <c r="G779" s="88">
        <v>0</v>
      </c>
      <c r="H779" s="88">
        <v>0</v>
      </c>
      <c r="I779" s="88">
        <v>0</v>
      </c>
      <c r="J779" s="88">
        <v>0</v>
      </c>
      <c r="K779" s="62">
        <v>0</v>
      </c>
      <c r="L779" s="62">
        <v>0</v>
      </c>
      <c r="M779" s="62">
        <v>0</v>
      </c>
      <c r="N779" s="62">
        <v>0</v>
      </c>
      <c r="O779" s="62">
        <v>0</v>
      </c>
      <c r="P779" s="62">
        <v>0</v>
      </c>
      <c r="Q779" s="62">
        <v>0</v>
      </c>
      <c r="R779" s="62">
        <v>0</v>
      </c>
      <c r="S779" s="62">
        <v>0</v>
      </c>
      <c r="T779" s="62">
        <v>0</v>
      </c>
      <c r="U779" s="62">
        <v>0</v>
      </c>
      <c r="V779" s="62">
        <v>0</v>
      </c>
      <c r="W779" s="62">
        <v>0</v>
      </c>
      <c r="X779" s="62">
        <v>0</v>
      </c>
      <c r="Y779" s="62">
        <v>0</v>
      </c>
      <c r="Z779" s="62">
        <v>0</v>
      </c>
      <c r="AA779" s="62">
        <v>0</v>
      </c>
      <c r="AB779" s="62">
        <v>0</v>
      </c>
      <c r="AC779" s="62">
        <v>0</v>
      </c>
      <c r="AD779" s="62">
        <v>0</v>
      </c>
      <c r="AE779" s="62">
        <v>0</v>
      </c>
      <c r="AF779" s="62">
        <v>0</v>
      </c>
      <c r="AG779" s="62">
        <v>0</v>
      </c>
      <c r="AH779" s="146">
        <v>0</v>
      </c>
      <c r="AI779" s="6"/>
    </row>
    <row r="780" spans="1:35" x14ac:dyDescent="0.25">
      <c r="A780" s="3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6"/>
    </row>
    <row r="781" spans="1:35" ht="15.75" thickBot="1" x14ac:dyDescent="0.3">
      <c r="A781" s="3"/>
      <c r="B781" s="5"/>
      <c r="C781" s="7">
        <v>32</v>
      </c>
      <c r="D781" s="7">
        <v>33</v>
      </c>
      <c r="E781" s="7">
        <v>34</v>
      </c>
      <c r="F781" s="7">
        <v>35</v>
      </c>
      <c r="G781" s="7">
        <v>36</v>
      </c>
      <c r="H781" s="7">
        <v>37</v>
      </c>
      <c r="I781" s="7">
        <v>38</v>
      </c>
      <c r="J781" s="7">
        <v>39</v>
      </c>
      <c r="K781" s="7">
        <v>40</v>
      </c>
      <c r="L781" s="7">
        <v>41</v>
      </c>
      <c r="M781" s="7">
        <v>42</v>
      </c>
      <c r="N781" s="7">
        <v>43</v>
      </c>
      <c r="O781" s="7">
        <v>44</v>
      </c>
      <c r="P781" s="7">
        <v>45</v>
      </c>
      <c r="Q781" s="7">
        <v>46</v>
      </c>
      <c r="R781" s="7">
        <v>47</v>
      </c>
      <c r="S781" s="7">
        <v>48</v>
      </c>
      <c r="T781" s="7">
        <v>49</v>
      </c>
      <c r="U781" s="7">
        <v>50</v>
      </c>
      <c r="V781" s="7">
        <v>51</v>
      </c>
      <c r="W781" s="7">
        <v>52</v>
      </c>
      <c r="X781" s="7">
        <v>53</v>
      </c>
      <c r="Y781" s="7">
        <v>54</v>
      </c>
      <c r="Z781" s="7">
        <v>55</v>
      </c>
      <c r="AA781" s="7">
        <v>56</v>
      </c>
      <c r="AB781" s="7">
        <v>57</v>
      </c>
      <c r="AC781" s="7">
        <v>58</v>
      </c>
      <c r="AD781" s="7">
        <v>59</v>
      </c>
      <c r="AE781" s="7">
        <v>60</v>
      </c>
      <c r="AF781" s="7">
        <v>61</v>
      </c>
      <c r="AG781" s="7">
        <v>62</v>
      </c>
      <c r="AH781" s="7">
        <v>63</v>
      </c>
      <c r="AI781" s="6"/>
    </row>
    <row r="782" spans="1:35" ht="15.75" thickBot="1" x14ac:dyDescent="0.3">
      <c r="A782" s="3"/>
      <c r="B782" s="5"/>
      <c r="C782" s="147" t="s">
        <v>13</v>
      </c>
      <c r="D782" s="148" t="s">
        <v>14</v>
      </c>
      <c r="E782" s="148" t="s">
        <v>15</v>
      </c>
      <c r="F782" s="148" t="s">
        <v>16</v>
      </c>
      <c r="G782" s="148" t="s">
        <v>17</v>
      </c>
      <c r="H782" s="148" t="s">
        <v>18</v>
      </c>
      <c r="I782" s="148" t="s">
        <v>19</v>
      </c>
      <c r="J782" s="148" t="s">
        <v>20</v>
      </c>
      <c r="K782" s="148" t="s">
        <v>21</v>
      </c>
      <c r="L782" s="148" t="s">
        <v>22</v>
      </c>
      <c r="M782" s="148" t="s">
        <v>23</v>
      </c>
      <c r="N782" s="148" t="s">
        <v>24</v>
      </c>
      <c r="O782" s="148" t="s">
        <v>25</v>
      </c>
      <c r="P782" s="148" t="s">
        <v>26</v>
      </c>
      <c r="Q782" s="148" t="s">
        <v>27</v>
      </c>
      <c r="R782" s="342" t="s">
        <v>30</v>
      </c>
      <c r="S782" s="343"/>
      <c r="T782" s="343"/>
      <c r="U782" s="343"/>
      <c r="V782" s="343"/>
      <c r="W782" s="343"/>
      <c r="X782" s="343"/>
      <c r="Y782" s="343"/>
      <c r="Z782" s="343"/>
      <c r="AA782" s="343"/>
      <c r="AB782" s="343"/>
      <c r="AC782" s="343"/>
      <c r="AD782" s="343"/>
      <c r="AE782" s="343"/>
      <c r="AF782" s="344"/>
      <c r="AG782" s="67" t="s">
        <v>28</v>
      </c>
      <c r="AH782" s="149" t="s">
        <v>29</v>
      </c>
      <c r="AI782" s="6"/>
    </row>
    <row r="783" spans="1:35" ht="15.75" thickBot="1" x14ac:dyDescent="0.3">
      <c r="A783" s="3"/>
      <c r="B783" s="5"/>
      <c r="C783" s="150">
        <v>0</v>
      </c>
      <c r="D783" s="151">
        <v>0</v>
      </c>
      <c r="E783" s="151">
        <v>0</v>
      </c>
      <c r="F783" s="151">
        <v>0</v>
      </c>
      <c r="G783" s="151">
        <v>0</v>
      </c>
      <c r="H783" s="151">
        <v>0</v>
      </c>
      <c r="I783" s="151">
        <v>0</v>
      </c>
      <c r="J783" s="151">
        <v>0</v>
      </c>
      <c r="K783" s="151">
        <v>0</v>
      </c>
      <c r="L783" s="151">
        <v>0</v>
      </c>
      <c r="M783" s="151">
        <v>0</v>
      </c>
      <c r="N783" s="151">
        <v>0</v>
      </c>
      <c r="O783" s="151">
        <v>1</v>
      </c>
      <c r="P783" s="151">
        <v>0</v>
      </c>
      <c r="Q783" s="151">
        <v>0</v>
      </c>
      <c r="R783" s="151">
        <v>0</v>
      </c>
      <c r="S783" s="151">
        <v>0</v>
      </c>
      <c r="T783" s="151">
        <v>0</v>
      </c>
      <c r="U783" s="151">
        <v>0</v>
      </c>
      <c r="V783" s="151">
        <v>0</v>
      </c>
      <c r="W783" s="151">
        <v>0</v>
      </c>
      <c r="X783" s="151">
        <v>1</v>
      </c>
      <c r="Y783" s="151">
        <v>1</v>
      </c>
      <c r="Z783" s="151">
        <v>0</v>
      </c>
      <c r="AA783" s="151">
        <v>0</v>
      </c>
      <c r="AB783" s="151">
        <v>0</v>
      </c>
      <c r="AC783" s="151">
        <v>0</v>
      </c>
      <c r="AD783" s="151">
        <v>1</v>
      </c>
      <c r="AE783" s="151">
        <v>1</v>
      </c>
      <c r="AF783" s="151">
        <v>0</v>
      </c>
      <c r="AG783" s="151">
        <v>0</v>
      </c>
      <c r="AH783" s="152">
        <v>0</v>
      </c>
      <c r="AI783" s="6"/>
    </row>
    <row r="784" spans="1:35" x14ac:dyDescent="0.25">
      <c r="A784" s="3"/>
      <c r="B784" s="4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6"/>
    </row>
    <row r="785" spans="1:35" x14ac:dyDescent="0.25">
      <c r="A785" s="3"/>
      <c r="B785" s="8" t="s">
        <v>43</v>
      </c>
      <c r="C785" s="9"/>
      <c r="D785" s="9"/>
      <c r="E785" s="9"/>
      <c r="F785" s="44" t="s">
        <v>44</v>
      </c>
      <c r="G785" s="44"/>
      <c r="H785" s="44"/>
      <c r="I785" s="9"/>
      <c r="J785" s="45" t="s">
        <v>45</v>
      </c>
      <c r="K785" s="45"/>
      <c r="L785" s="45"/>
      <c r="M785" s="45"/>
      <c r="N785" s="9"/>
      <c r="O785" s="46" t="s">
        <v>46</v>
      </c>
      <c r="P785" s="46"/>
      <c r="Q785" s="46"/>
      <c r="R785" s="46"/>
      <c r="S785" s="9"/>
      <c r="T785" s="1" t="s">
        <v>49</v>
      </c>
      <c r="U785" s="10" t="s">
        <v>48</v>
      </c>
      <c r="V785" s="5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  <c r="AI785" s="6"/>
    </row>
    <row r="786" spans="1:35" ht="15" customHeight="1" x14ac:dyDescent="0.25">
      <c r="A786" s="3"/>
      <c r="B786" s="42" t="str">
        <f>"0x"&amp;DEC2HEX(Sheet3!$I$4,8)</f>
        <v>0x00400320</v>
      </c>
      <c r="C786" s="42"/>
      <c r="D786" s="42"/>
      <c r="E786" s="12"/>
      <c r="F786" s="319" t="str">
        <f>"0x"&amp;BIN2HEX(CONCATENATE(C779,D779,E779,F779,G779,H779,I779,J779),2)&amp;BIN2HEX(CONCATENATE(K779,L779,M779,N779,O779,P779,Q779,R779),2)&amp;BIN2HEX(CONCATENATE(S779,T779,U779,V779,W779,X779,Y779,Z779),2)&amp;BIN2HEX(CONCATENATE(AA779,AB779,AC779,AD779,AE779,AF779,AG779,AH779),2)</f>
        <v>0x00000000</v>
      </c>
      <c r="G786" s="319"/>
      <c r="H786" s="319"/>
      <c r="I786" s="12"/>
      <c r="J786" s="319" t="str">
        <f>"0b"&amp;C783&amp;D783&amp;E783&amp;F783&amp;G783&amp;H783&amp;I783&amp;J783&amp;K783&amp;L783&amp;M783&amp;N783&amp;O783&amp;P783&amp;Q783</f>
        <v>0b000000000000100</v>
      </c>
      <c r="K786" s="319"/>
      <c r="L786" s="319"/>
      <c r="M786" s="319"/>
      <c r="N786" s="12"/>
      <c r="O786" s="319" t="str">
        <f>"0b"&amp;DEC2BIN(((AF783+AE783*2+AD783*4+AC783*8+AB783*16+AA783*32+Z783*64+Y783*128+X783*256+W783*512+V783*1024+U783*2048+T783*4096+S783*2^13+R783*2^14)/512),6)&amp;DEC2BIN(MOD((AF783+AE783*2+AD783*4+AC783*8+AB783*16+AA783*32+Z783*64+Y783*128+X783*256+W783*512+V783*1024+U783*2048+T783*4096+S783*2^13+R783*2^14),512),9)</f>
        <v>0b000000110000110</v>
      </c>
      <c r="P786" s="319"/>
      <c r="Q786" s="319"/>
      <c r="R786" s="319"/>
      <c r="S786" s="12"/>
      <c r="T786" s="13">
        <v>0</v>
      </c>
      <c r="U786" s="13">
        <f>AH783</f>
        <v>0</v>
      </c>
      <c r="V786" s="5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6"/>
    </row>
    <row r="787" spans="1:35" x14ac:dyDescent="0.25">
      <c r="A787" s="3"/>
      <c r="B787" s="42"/>
      <c r="C787" s="42"/>
      <c r="D787" s="42"/>
      <c r="E787" s="15"/>
      <c r="F787" s="43"/>
      <c r="G787" s="43"/>
      <c r="H787" s="43"/>
      <c r="I787" s="15"/>
      <c r="J787" s="42"/>
      <c r="K787" s="42"/>
      <c r="L787" s="42"/>
      <c r="M787" s="42"/>
      <c r="N787" s="15"/>
      <c r="O787" s="42"/>
      <c r="P787" s="42"/>
      <c r="Q787" s="42"/>
      <c r="R787" s="42"/>
      <c r="S787" s="15"/>
      <c r="T787" s="13"/>
      <c r="U787" s="15"/>
      <c r="V787" s="5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6"/>
    </row>
    <row r="788" spans="1:35" x14ac:dyDescent="0.25">
      <c r="A788" s="3"/>
      <c r="B788" s="42"/>
      <c r="C788" s="42"/>
      <c r="D788" s="42"/>
      <c r="E788" s="15"/>
      <c r="F788" s="43"/>
      <c r="G788" s="43"/>
      <c r="H788" s="43"/>
      <c r="I788" s="15"/>
      <c r="J788" s="42"/>
      <c r="K788" s="42"/>
      <c r="L788" s="42"/>
      <c r="M788" s="42"/>
      <c r="N788" s="15"/>
      <c r="O788" s="42"/>
      <c r="P788" s="42"/>
      <c r="Q788" s="42"/>
      <c r="R788" s="42"/>
      <c r="S788" s="15"/>
      <c r="T788" s="13"/>
      <c r="U788" s="15"/>
      <c r="V788" s="5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6"/>
    </row>
    <row r="789" spans="1:35" x14ac:dyDescent="0.25">
      <c r="A789" s="3"/>
      <c r="B789" s="5"/>
      <c r="C789" s="5"/>
      <c r="D789" s="5"/>
      <c r="E789" s="5"/>
      <c r="F789" s="17"/>
      <c r="G789" s="17"/>
      <c r="H789" s="17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6"/>
    </row>
    <row r="790" spans="1:35" x14ac:dyDescent="0.25">
      <c r="A790" s="3"/>
      <c r="B790" s="5" t="s">
        <v>47</v>
      </c>
      <c r="C790" s="18"/>
      <c r="D790" s="18"/>
      <c r="E790" s="18"/>
      <c r="F790" s="5"/>
      <c r="G790" s="5"/>
      <c r="H790" s="5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6"/>
    </row>
    <row r="791" spans="1:35" ht="15" customHeight="1" x14ac:dyDescent="0.25">
      <c r="A791" s="3"/>
      <c r="B791" s="42" t="str">
        <f>"0x"&amp;DEC2HEX(Sheet3!$I$4,8)</f>
        <v>0x00400320</v>
      </c>
      <c r="C791" s="42"/>
      <c r="D791" s="42"/>
      <c r="E791" s="16"/>
      <c r="F791" s="322" t="str">
        <f>F786&amp;BIN2HEX(MID(J786,3,8),2)&amp;BIN2HEX(RIGHT(J786,7)&amp;MID(O786,3,1),2)&amp;BIN2HEX(MID(O786,4,8),2)&amp;BIN2HEX(RIGHT(O786,6)&amp;T786&amp;U786,2)</f>
        <v>0x0000000000080618</v>
      </c>
      <c r="G791" s="322"/>
      <c r="H791" s="322"/>
      <c r="I791" s="322"/>
      <c r="J791" s="5"/>
      <c r="K791" s="5"/>
      <c r="L791" s="5"/>
      <c r="M791" s="5"/>
      <c r="N791" s="5"/>
      <c r="O791" s="5"/>
      <c r="P791" s="16"/>
      <c r="Q791" s="16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5"/>
      <c r="AH791" s="5"/>
      <c r="AI791" s="6"/>
    </row>
    <row r="792" spans="1:35" x14ac:dyDescent="0.25">
      <c r="A792" s="3"/>
      <c r="B792" s="37"/>
      <c r="C792" s="37"/>
      <c r="D792" s="37"/>
      <c r="E792" s="5"/>
      <c r="F792" s="38"/>
      <c r="G792" s="38"/>
      <c r="H792" s="38"/>
      <c r="I792" s="38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6"/>
    </row>
    <row r="793" spans="1:35" x14ac:dyDescent="0.25">
      <c r="A793" s="3"/>
      <c r="B793" s="37"/>
      <c r="C793" s="37"/>
      <c r="D793" s="37"/>
      <c r="E793" s="5"/>
      <c r="F793" s="38"/>
      <c r="G793" s="38"/>
      <c r="H793" s="38"/>
      <c r="I793" s="38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6"/>
    </row>
    <row r="794" spans="1:35" x14ac:dyDescent="0.25">
      <c r="A794" s="20"/>
      <c r="B794" s="21"/>
      <c r="C794" s="21"/>
      <c r="D794" s="21"/>
      <c r="E794" s="21"/>
      <c r="F794" s="21"/>
      <c r="G794" s="21"/>
      <c r="H794" s="21"/>
      <c r="I794" s="21"/>
      <c r="J794" s="21"/>
      <c r="K794" s="21"/>
      <c r="L794" s="21"/>
      <c r="M794" s="21"/>
      <c r="N794" s="21"/>
      <c r="O794" s="22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1"/>
      <c r="AA794" s="21"/>
      <c r="AB794" s="21"/>
      <c r="AC794" s="21"/>
      <c r="AD794" s="21"/>
      <c r="AE794" s="21"/>
      <c r="AF794" s="21"/>
      <c r="AG794" s="21"/>
      <c r="AH794" s="21"/>
      <c r="AI794" s="23"/>
    </row>
    <row r="795" spans="1:35" x14ac:dyDescent="0.25">
      <c r="A795" s="24"/>
      <c r="B795" s="28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6"/>
    </row>
    <row r="796" spans="1:35" x14ac:dyDescent="0.25">
      <c r="A796" s="3"/>
      <c r="B796" s="4" t="s">
        <v>168</v>
      </c>
      <c r="C796" s="5"/>
      <c r="D796" s="5"/>
      <c r="E796" s="5"/>
      <c r="F796" s="5"/>
      <c r="G796" s="5"/>
      <c r="H796" s="5"/>
      <c r="I796" s="5" t="str">
        <f>"0x"&amp;BIN2HEX(CONCATENATE(C801,D801,E801,F801,G801,H801,I801,J801),2)&amp;BIN2HEX(CONCATENATE(K801,L801,M801,N801,O801,P801,Q801,R801),2)&amp;BIN2HEX(CONCATENATE(S801,T801,U801,V801,W801,X801,Y801,Z801),2)&amp;BIN2HEX(CONCATENATE(AA801,AB801,AC801,AD801,AE801,AF801,AG801,AH801),2)&amp;"_"&amp;BIN2HEX(CONCATENATE(C805,D805,E805,F805,G805,H805,I805,J805),2)&amp;BIN2HEX(CONCATENATE(K805,L805,M805,N805,O805,P805,Q805,R805),2)&amp;BIN2HEX(CONCATENATE(S805,T805,U805,V805,W805,X805,Y805,Z805),2)&amp;BIN2HEX(CONCATENATE(AA805,AB805,AC805,AD805,AE805,AF805,AG805,AH805),2)</f>
        <v>0x00000000_0008061C</v>
      </c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6"/>
    </row>
    <row r="797" spans="1:35" ht="15.75" thickBot="1" x14ac:dyDescent="0.3">
      <c r="A797" s="3"/>
      <c r="B797" s="5"/>
      <c r="C797" s="7">
        <v>0</v>
      </c>
      <c r="D797" s="7">
        <v>1</v>
      </c>
      <c r="E797" s="7">
        <v>2</v>
      </c>
      <c r="F797" s="7">
        <v>3</v>
      </c>
      <c r="G797" s="7">
        <v>4</v>
      </c>
      <c r="H797" s="7">
        <v>5</v>
      </c>
      <c r="I797" s="7">
        <v>6</v>
      </c>
      <c r="J797" s="7">
        <v>7</v>
      </c>
      <c r="K797" s="7">
        <v>8</v>
      </c>
      <c r="L797" s="7">
        <v>9</v>
      </c>
      <c r="M797" s="7">
        <v>10</v>
      </c>
      <c r="N797" s="7">
        <v>11</v>
      </c>
      <c r="O797" s="7">
        <v>12</v>
      </c>
      <c r="P797" s="7">
        <v>13</v>
      </c>
      <c r="Q797" s="7">
        <v>14</v>
      </c>
      <c r="R797" s="7">
        <v>15</v>
      </c>
      <c r="S797" s="7">
        <v>16</v>
      </c>
      <c r="T797" s="7">
        <v>17</v>
      </c>
      <c r="U797" s="7">
        <v>18</v>
      </c>
      <c r="V797" s="7">
        <v>19</v>
      </c>
      <c r="W797" s="7">
        <v>20</v>
      </c>
      <c r="X797" s="7">
        <v>21</v>
      </c>
      <c r="Y797" s="7">
        <v>22</v>
      </c>
      <c r="Z797" s="7">
        <v>23</v>
      </c>
      <c r="AA797" s="7">
        <v>24</v>
      </c>
      <c r="AB797" s="7">
        <v>25</v>
      </c>
      <c r="AC797" s="7">
        <v>26</v>
      </c>
      <c r="AD797" s="7">
        <v>27</v>
      </c>
      <c r="AE797" s="7">
        <v>28</v>
      </c>
      <c r="AF797" s="7">
        <v>29</v>
      </c>
      <c r="AG797" s="7">
        <v>30</v>
      </c>
      <c r="AH797" s="7">
        <v>31</v>
      </c>
      <c r="AI797" s="6"/>
    </row>
    <row r="798" spans="1:35" ht="15" customHeight="1" x14ac:dyDescent="0.25">
      <c r="A798" s="3"/>
      <c r="B798" s="5" t="s">
        <v>31</v>
      </c>
      <c r="C798" s="328" t="s">
        <v>161</v>
      </c>
      <c r="D798" s="330" t="s">
        <v>63</v>
      </c>
      <c r="E798" s="331"/>
      <c r="F798" s="331"/>
      <c r="G798" s="331"/>
      <c r="H798" s="331"/>
      <c r="I798" s="331"/>
      <c r="J798" s="332"/>
      <c r="K798" s="336">
        <v>0</v>
      </c>
      <c r="L798" s="337"/>
      <c r="M798" s="337"/>
      <c r="N798" s="337"/>
      <c r="O798" s="337"/>
      <c r="P798" s="337"/>
      <c r="Q798" s="337"/>
      <c r="R798" s="337"/>
      <c r="S798" s="337"/>
      <c r="T798" s="337"/>
      <c r="U798" s="337"/>
      <c r="V798" s="337"/>
      <c r="W798" s="337"/>
      <c r="X798" s="337"/>
      <c r="Y798" s="337"/>
      <c r="Z798" s="337"/>
      <c r="AA798" s="337"/>
      <c r="AB798" s="337"/>
      <c r="AC798" s="337"/>
      <c r="AD798" s="337"/>
      <c r="AE798" s="337"/>
      <c r="AF798" s="337"/>
      <c r="AG798" s="337"/>
      <c r="AH798" s="338"/>
      <c r="AI798" s="6"/>
    </row>
    <row r="799" spans="1:35" x14ac:dyDescent="0.25">
      <c r="A799" s="3"/>
      <c r="B799" s="5" t="s">
        <v>32</v>
      </c>
      <c r="C799" s="329"/>
      <c r="D799" s="333"/>
      <c r="E799" s="334"/>
      <c r="F799" s="334"/>
      <c r="G799" s="334"/>
      <c r="H799" s="334"/>
      <c r="I799" s="334"/>
      <c r="J799" s="335"/>
      <c r="K799" s="339"/>
      <c r="L799" s="340"/>
      <c r="M799" s="340"/>
      <c r="N799" s="340"/>
      <c r="O799" s="340"/>
      <c r="P799" s="340"/>
      <c r="Q799" s="340"/>
      <c r="R799" s="340"/>
      <c r="S799" s="340"/>
      <c r="T799" s="340"/>
      <c r="U799" s="340"/>
      <c r="V799" s="340"/>
      <c r="W799" s="340"/>
      <c r="X799" s="340"/>
      <c r="Y799" s="340"/>
      <c r="Z799" s="340"/>
      <c r="AA799" s="340"/>
      <c r="AB799" s="340"/>
      <c r="AC799" s="340"/>
      <c r="AD799" s="340"/>
      <c r="AE799" s="340"/>
      <c r="AF799" s="340"/>
      <c r="AG799" s="340"/>
      <c r="AH799" s="341"/>
      <c r="AI799" s="6"/>
    </row>
    <row r="800" spans="1:35" x14ac:dyDescent="0.25">
      <c r="A800" s="3"/>
      <c r="B800" s="5" t="s">
        <v>11</v>
      </c>
      <c r="C800" s="56">
        <v>0</v>
      </c>
      <c r="D800" s="57">
        <v>0</v>
      </c>
      <c r="E800" s="57">
        <v>0</v>
      </c>
      <c r="F800" s="57">
        <v>0</v>
      </c>
      <c r="G800" s="57">
        <v>0</v>
      </c>
      <c r="H800" s="57">
        <v>0</v>
      </c>
      <c r="I800" s="57">
        <v>0</v>
      </c>
      <c r="J800" s="57">
        <v>0</v>
      </c>
      <c r="K800" s="57">
        <v>0</v>
      </c>
      <c r="L800" s="57">
        <v>0</v>
      </c>
      <c r="M800" s="57">
        <v>0</v>
      </c>
      <c r="N800" s="57">
        <v>0</v>
      </c>
      <c r="O800" s="57">
        <v>0</v>
      </c>
      <c r="P800" s="57">
        <v>0</v>
      </c>
      <c r="Q800" s="57">
        <v>0</v>
      </c>
      <c r="R800" s="57">
        <v>0</v>
      </c>
      <c r="S800" s="57">
        <v>0</v>
      </c>
      <c r="T800" s="57">
        <v>0</v>
      </c>
      <c r="U800" s="57">
        <v>0</v>
      </c>
      <c r="V800" s="57">
        <v>0</v>
      </c>
      <c r="W800" s="57">
        <v>0</v>
      </c>
      <c r="X800" s="57">
        <v>0</v>
      </c>
      <c r="Y800" s="57">
        <v>0</v>
      </c>
      <c r="Z800" s="57">
        <v>0</v>
      </c>
      <c r="AA800" s="57">
        <v>0</v>
      </c>
      <c r="AB800" s="57">
        <v>0</v>
      </c>
      <c r="AC800" s="57">
        <v>0</v>
      </c>
      <c r="AD800" s="57">
        <v>0</v>
      </c>
      <c r="AE800" s="57">
        <v>0</v>
      </c>
      <c r="AF800" s="57">
        <v>0</v>
      </c>
      <c r="AG800" s="57">
        <v>0</v>
      </c>
      <c r="AH800" s="58">
        <v>0</v>
      </c>
      <c r="AI800" s="6"/>
    </row>
    <row r="801" spans="1:35" ht="15.75" thickBot="1" x14ac:dyDescent="0.3">
      <c r="A801" s="3"/>
      <c r="B801" s="5" t="s">
        <v>12</v>
      </c>
      <c r="C801" s="145">
        <v>0</v>
      </c>
      <c r="D801" s="88">
        <v>0</v>
      </c>
      <c r="E801" s="88">
        <v>0</v>
      </c>
      <c r="F801" s="88">
        <v>0</v>
      </c>
      <c r="G801" s="88">
        <v>0</v>
      </c>
      <c r="H801" s="88">
        <v>0</v>
      </c>
      <c r="I801" s="88">
        <v>0</v>
      </c>
      <c r="J801" s="88">
        <v>0</v>
      </c>
      <c r="K801" s="62">
        <v>0</v>
      </c>
      <c r="L801" s="62">
        <v>0</v>
      </c>
      <c r="M801" s="62">
        <v>0</v>
      </c>
      <c r="N801" s="62">
        <v>0</v>
      </c>
      <c r="O801" s="62">
        <v>0</v>
      </c>
      <c r="P801" s="62">
        <v>0</v>
      </c>
      <c r="Q801" s="62">
        <v>0</v>
      </c>
      <c r="R801" s="62">
        <v>0</v>
      </c>
      <c r="S801" s="62">
        <v>0</v>
      </c>
      <c r="T801" s="62">
        <v>0</v>
      </c>
      <c r="U801" s="62">
        <v>0</v>
      </c>
      <c r="V801" s="62">
        <v>0</v>
      </c>
      <c r="W801" s="62">
        <v>0</v>
      </c>
      <c r="X801" s="62">
        <v>0</v>
      </c>
      <c r="Y801" s="62">
        <v>0</v>
      </c>
      <c r="Z801" s="62">
        <v>0</v>
      </c>
      <c r="AA801" s="62">
        <v>0</v>
      </c>
      <c r="AB801" s="62">
        <v>0</v>
      </c>
      <c r="AC801" s="62">
        <v>0</v>
      </c>
      <c r="AD801" s="62">
        <v>0</v>
      </c>
      <c r="AE801" s="62">
        <v>0</v>
      </c>
      <c r="AF801" s="62">
        <v>0</v>
      </c>
      <c r="AG801" s="62">
        <v>0</v>
      </c>
      <c r="AH801" s="146">
        <v>0</v>
      </c>
      <c r="AI801" s="6"/>
    </row>
    <row r="802" spans="1:35" x14ac:dyDescent="0.25">
      <c r="A802" s="3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6"/>
    </row>
    <row r="803" spans="1:35" ht="15.75" thickBot="1" x14ac:dyDescent="0.3">
      <c r="A803" s="3"/>
      <c r="B803" s="5"/>
      <c r="C803" s="7">
        <v>32</v>
      </c>
      <c r="D803" s="7">
        <v>33</v>
      </c>
      <c r="E803" s="7">
        <v>34</v>
      </c>
      <c r="F803" s="7">
        <v>35</v>
      </c>
      <c r="G803" s="7">
        <v>36</v>
      </c>
      <c r="H803" s="7">
        <v>37</v>
      </c>
      <c r="I803" s="7">
        <v>38</v>
      </c>
      <c r="J803" s="7">
        <v>39</v>
      </c>
      <c r="K803" s="7">
        <v>40</v>
      </c>
      <c r="L803" s="7">
        <v>41</v>
      </c>
      <c r="M803" s="7">
        <v>42</v>
      </c>
      <c r="N803" s="7">
        <v>43</v>
      </c>
      <c r="O803" s="7">
        <v>44</v>
      </c>
      <c r="P803" s="7">
        <v>45</v>
      </c>
      <c r="Q803" s="7">
        <v>46</v>
      </c>
      <c r="R803" s="7">
        <v>47</v>
      </c>
      <c r="S803" s="7">
        <v>48</v>
      </c>
      <c r="T803" s="7">
        <v>49</v>
      </c>
      <c r="U803" s="7">
        <v>50</v>
      </c>
      <c r="V803" s="7">
        <v>51</v>
      </c>
      <c r="W803" s="7">
        <v>52</v>
      </c>
      <c r="X803" s="7">
        <v>53</v>
      </c>
      <c r="Y803" s="7">
        <v>54</v>
      </c>
      <c r="Z803" s="7">
        <v>55</v>
      </c>
      <c r="AA803" s="7">
        <v>56</v>
      </c>
      <c r="AB803" s="7">
        <v>57</v>
      </c>
      <c r="AC803" s="7">
        <v>58</v>
      </c>
      <c r="AD803" s="7">
        <v>59</v>
      </c>
      <c r="AE803" s="7">
        <v>60</v>
      </c>
      <c r="AF803" s="7">
        <v>61</v>
      </c>
      <c r="AG803" s="7">
        <v>62</v>
      </c>
      <c r="AH803" s="7">
        <v>63</v>
      </c>
      <c r="AI803" s="6"/>
    </row>
    <row r="804" spans="1:35" ht="15.75" thickBot="1" x14ac:dyDescent="0.3">
      <c r="A804" s="3"/>
      <c r="B804" s="5"/>
      <c r="C804" s="147" t="s">
        <v>13</v>
      </c>
      <c r="D804" s="148" t="s">
        <v>14</v>
      </c>
      <c r="E804" s="148" t="s">
        <v>15</v>
      </c>
      <c r="F804" s="148" t="s">
        <v>16</v>
      </c>
      <c r="G804" s="148" t="s">
        <v>17</v>
      </c>
      <c r="H804" s="148" t="s">
        <v>18</v>
      </c>
      <c r="I804" s="148" t="s">
        <v>19</v>
      </c>
      <c r="J804" s="148" t="s">
        <v>20</v>
      </c>
      <c r="K804" s="148" t="s">
        <v>21</v>
      </c>
      <c r="L804" s="148" t="s">
        <v>22</v>
      </c>
      <c r="M804" s="148" t="s">
        <v>23</v>
      </c>
      <c r="N804" s="148" t="s">
        <v>24</v>
      </c>
      <c r="O804" s="148" t="s">
        <v>25</v>
      </c>
      <c r="P804" s="148" t="s">
        <v>26</v>
      </c>
      <c r="Q804" s="148" t="s">
        <v>27</v>
      </c>
      <c r="R804" s="342" t="s">
        <v>30</v>
      </c>
      <c r="S804" s="343"/>
      <c r="T804" s="343"/>
      <c r="U804" s="343"/>
      <c r="V804" s="343"/>
      <c r="W804" s="343"/>
      <c r="X804" s="343"/>
      <c r="Y804" s="343"/>
      <c r="Z804" s="343"/>
      <c r="AA804" s="343"/>
      <c r="AB804" s="343"/>
      <c r="AC804" s="343"/>
      <c r="AD804" s="343"/>
      <c r="AE804" s="343"/>
      <c r="AF804" s="344"/>
      <c r="AG804" s="67" t="s">
        <v>28</v>
      </c>
      <c r="AH804" s="149" t="s">
        <v>29</v>
      </c>
      <c r="AI804" s="6"/>
    </row>
    <row r="805" spans="1:35" ht="15.75" thickBot="1" x14ac:dyDescent="0.3">
      <c r="A805" s="3"/>
      <c r="B805" s="5"/>
      <c r="C805" s="150">
        <v>0</v>
      </c>
      <c r="D805" s="151">
        <v>0</v>
      </c>
      <c r="E805" s="151">
        <v>0</v>
      </c>
      <c r="F805" s="151">
        <v>0</v>
      </c>
      <c r="G805" s="151">
        <v>0</v>
      </c>
      <c r="H805" s="151">
        <v>0</v>
      </c>
      <c r="I805" s="151">
        <v>0</v>
      </c>
      <c r="J805" s="151">
        <v>0</v>
      </c>
      <c r="K805" s="151">
        <v>0</v>
      </c>
      <c r="L805" s="151">
        <v>0</v>
      </c>
      <c r="M805" s="151">
        <v>0</v>
      </c>
      <c r="N805" s="151">
        <v>0</v>
      </c>
      <c r="O805" s="151">
        <v>1</v>
      </c>
      <c r="P805" s="151">
        <v>0</v>
      </c>
      <c r="Q805" s="151">
        <v>0</v>
      </c>
      <c r="R805" s="151">
        <v>0</v>
      </c>
      <c r="S805" s="151">
        <v>0</v>
      </c>
      <c r="T805" s="151">
        <v>0</v>
      </c>
      <c r="U805" s="151">
        <v>0</v>
      </c>
      <c r="V805" s="151">
        <v>0</v>
      </c>
      <c r="W805" s="151">
        <v>0</v>
      </c>
      <c r="X805" s="151">
        <v>1</v>
      </c>
      <c r="Y805" s="151">
        <v>1</v>
      </c>
      <c r="Z805" s="151">
        <v>0</v>
      </c>
      <c r="AA805" s="151">
        <v>0</v>
      </c>
      <c r="AB805" s="151">
        <v>0</v>
      </c>
      <c r="AC805" s="151">
        <v>0</v>
      </c>
      <c r="AD805" s="151">
        <v>1</v>
      </c>
      <c r="AE805" s="151">
        <v>1</v>
      </c>
      <c r="AF805" s="151">
        <v>1</v>
      </c>
      <c r="AG805" s="151">
        <v>0</v>
      </c>
      <c r="AH805" s="152">
        <v>0</v>
      </c>
      <c r="AI805" s="6"/>
    </row>
    <row r="806" spans="1:35" x14ac:dyDescent="0.25">
      <c r="A806" s="3"/>
      <c r="B806" s="4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6"/>
    </row>
    <row r="807" spans="1:35" x14ac:dyDescent="0.25">
      <c r="A807" s="3"/>
      <c r="B807" s="8" t="s">
        <v>43</v>
      </c>
      <c r="C807" s="9"/>
      <c r="D807" s="9"/>
      <c r="E807" s="9"/>
      <c r="F807" s="44" t="s">
        <v>44</v>
      </c>
      <c r="G807" s="44"/>
      <c r="H807" s="44"/>
      <c r="I807" s="9"/>
      <c r="J807" s="45" t="s">
        <v>45</v>
      </c>
      <c r="K807" s="45"/>
      <c r="L807" s="45"/>
      <c r="M807" s="45"/>
      <c r="N807" s="9"/>
      <c r="O807" s="46" t="s">
        <v>46</v>
      </c>
      <c r="P807" s="46"/>
      <c r="Q807" s="46"/>
      <c r="R807" s="46"/>
      <c r="S807" s="9"/>
      <c r="T807" s="1" t="s">
        <v>49</v>
      </c>
      <c r="U807" s="10" t="s">
        <v>48</v>
      </c>
      <c r="V807" s="5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  <c r="AI807" s="6"/>
    </row>
    <row r="808" spans="1:35" ht="15" customHeight="1" x14ac:dyDescent="0.25">
      <c r="A808" s="3"/>
      <c r="B808" s="42" t="str">
        <f>"0x"&amp;DEC2HEX(Sheet3!$I$4,8)</f>
        <v>0x00400320</v>
      </c>
      <c r="C808" s="42"/>
      <c r="D808" s="42"/>
      <c r="E808" s="12"/>
      <c r="F808" s="319" t="str">
        <f>"0x"&amp;BIN2HEX(CONCATENATE(C801,D801,E801,F801,G801,H801,I801,J801),2)&amp;BIN2HEX(CONCATENATE(K801,L801,M801,N801,O801,P801,Q801,R801),2)&amp;BIN2HEX(CONCATENATE(S801,T801,U801,V801,W801,X801,Y801,Z801),2)&amp;BIN2HEX(CONCATENATE(AA801,AB801,AC801,AD801,AE801,AF801,AG801,AH801),2)</f>
        <v>0x00000000</v>
      </c>
      <c r="G808" s="319"/>
      <c r="H808" s="319"/>
      <c r="I808" s="12"/>
      <c r="J808" s="319" t="str">
        <f>"0b"&amp;C805&amp;D805&amp;E805&amp;F805&amp;G805&amp;H805&amp;I805&amp;J805&amp;K805&amp;L805&amp;M805&amp;N805&amp;O805&amp;P805&amp;Q805</f>
        <v>0b000000000000100</v>
      </c>
      <c r="K808" s="319"/>
      <c r="L808" s="319"/>
      <c r="M808" s="319"/>
      <c r="N808" s="12"/>
      <c r="O808" s="319" t="str">
        <f>"0b"&amp;DEC2BIN(((AF805+AE805*2+AD805*4+AC805*8+AB805*16+AA805*32+Z805*64+Y805*128+X805*256+W805*512+V805*1024+U805*2048+T805*4096+S805*2^13+R805*2^14)/512),6)&amp;DEC2BIN(MOD((AF805+AE805*2+AD805*4+AC805*8+AB805*16+AA805*32+Z805*64+Y805*128+X805*256+W805*512+V805*1024+U805*2048+T805*4096+S805*2^13+R805*2^14),512),9)</f>
        <v>0b000000110000111</v>
      </c>
      <c r="P808" s="319"/>
      <c r="Q808" s="319"/>
      <c r="R808" s="319"/>
      <c r="S808" s="12"/>
      <c r="T808" s="13">
        <v>0</v>
      </c>
      <c r="U808" s="13">
        <f>AH805</f>
        <v>0</v>
      </c>
      <c r="V808" s="5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6"/>
    </row>
    <row r="809" spans="1:35" x14ac:dyDescent="0.25">
      <c r="A809" s="3"/>
      <c r="B809" s="42"/>
      <c r="C809" s="42"/>
      <c r="D809" s="42"/>
      <c r="E809" s="15"/>
      <c r="F809" s="43"/>
      <c r="G809" s="43"/>
      <c r="H809" s="43"/>
      <c r="I809" s="15"/>
      <c r="J809" s="42"/>
      <c r="K809" s="42"/>
      <c r="L809" s="42"/>
      <c r="M809" s="42"/>
      <c r="N809" s="15"/>
      <c r="O809" s="42"/>
      <c r="P809" s="42"/>
      <c r="Q809" s="42"/>
      <c r="R809" s="42"/>
      <c r="S809" s="15"/>
      <c r="T809" s="13"/>
      <c r="U809" s="15"/>
      <c r="V809" s="5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6"/>
    </row>
    <row r="810" spans="1:35" x14ac:dyDescent="0.25">
      <c r="A810" s="3"/>
      <c r="B810" s="42"/>
      <c r="C810" s="42"/>
      <c r="D810" s="42"/>
      <c r="E810" s="15"/>
      <c r="F810" s="43"/>
      <c r="G810" s="43"/>
      <c r="H810" s="43"/>
      <c r="I810" s="15"/>
      <c r="J810" s="42"/>
      <c r="K810" s="42"/>
      <c r="L810" s="42"/>
      <c r="M810" s="42"/>
      <c r="N810" s="15"/>
      <c r="O810" s="42"/>
      <c r="P810" s="42"/>
      <c r="Q810" s="42"/>
      <c r="R810" s="42"/>
      <c r="S810" s="15"/>
      <c r="T810" s="13"/>
      <c r="U810" s="15"/>
      <c r="V810" s="5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6"/>
    </row>
    <row r="811" spans="1:35" x14ac:dyDescent="0.25">
      <c r="A811" s="3"/>
      <c r="B811" s="5"/>
      <c r="C811" s="5"/>
      <c r="D811" s="5"/>
      <c r="E811" s="5"/>
      <c r="F811" s="17"/>
      <c r="G811" s="17"/>
      <c r="H811" s="17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6"/>
    </row>
    <row r="812" spans="1:35" x14ac:dyDescent="0.25">
      <c r="A812" s="3"/>
      <c r="B812" s="5" t="s">
        <v>47</v>
      </c>
      <c r="C812" s="18"/>
      <c r="D812" s="18"/>
      <c r="E812" s="18"/>
      <c r="F812" s="5"/>
      <c r="G812" s="5"/>
      <c r="H812" s="5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6"/>
    </row>
    <row r="813" spans="1:35" ht="15" customHeight="1" x14ac:dyDescent="0.25">
      <c r="A813" s="3"/>
      <c r="B813" s="42" t="str">
        <f>"0x"&amp;DEC2HEX(Sheet3!$I$4,8)</f>
        <v>0x00400320</v>
      </c>
      <c r="C813" s="42"/>
      <c r="D813" s="42"/>
      <c r="E813" s="16"/>
      <c r="F813" s="322" t="str">
        <f>F808&amp;BIN2HEX(MID(J808,3,8),2)&amp;BIN2HEX(RIGHT(J808,7)&amp;MID(O808,3,1),2)&amp;BIN2HEX(MID(O808,4,8),2)&amp;BIN2HEX(RIGHT(O808,6)&amp;T808&amp;U808,2)</f>
        <v>0x000000000008061C</v>
      </c>
      <c r="G813" s="322"/>
      <c r="H813" s="322"/>
      <c r="I813" s="322"/>
      <c r="J813" s="5"/>
      <c r="K813" s="5"/>
      <c r="L813" s="5"/>
      <c r="M813" s="5"/>
      <c r="N813" s="5"/>
      <c r="O813" s="5"/>
      <c r="P813" s="16"/>
      <c r="Q813" s="16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5"/>
      <c r="AH813" s="5"/>
      <c r="AI813" s="6"/>
    </row>
    <row r="814" spans="1:35" x14ac:dyDescent="0.25">
      <c r="A814" s="3"/>
      <c r="B814" s="37"/>
      <c r="C814" s="37"/>
      <c r="D814" s="37"/>
      <c r="E814" s="5"/>
      <c r="F814" s="38"/>
      <c r="G814" s="38"/>
      <c r="H814" s="38"/>
      <c r="I814" s="38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6"/>
    </row>
    <row r="815" spans="1:35" x14ac:dyDescent="0.25">
      <c r="A815" s="3"/>
      <c r="B815" s="37"/>
      <c r="C815" s="37"/>
      <c r="D815" s="37"/>
      <c r="E815" s="5"/>
      <c r="F815" s="38"/>
      <c r="G815" s="38"/>
      <c r="H815" s="38"/>
      <c r="I815" s="38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6"/>
    </row>
    <row r="816" spans="1:35" x14ac:dyDescent="0.25">
      <c r="A816" s="20"/>
      <c r="B816" s="21"/>
      <c r="C816" s="21"/>
      <c r="D816" s="21"/>
      <c r="E816" s="21"/>
      <c r="F816" s="21"/>
      <c r="G816" s="21"/>
      <c r="H816" s="21"/>
      <c r="I816" s="21"/>
      <c r="J816" s="21"/>
      <c r="K816" s="21"/>
      <c r="L816" s="21"/>
      <c r="M816" s="21"/>
      <c r="N816" s="21"/>
      <c r="O816" s="22"/>
      <c r="P816" s="21"/>
      <c r="Q816" s="21"/>
      <c r="R816" s="21"/>
      <c r="S816" s="21"/>
      <c r="T816" s="21"/>
      <c r="U816" s="21"/>
      <c r="V816" s="21"/>
      <c r="W816" s="21"/>
      <c r="X816" s="21"/>
      <c r="Y816" s="21"/>
      <c r="Z816" s="21"/>
      <c r="AA816" s="21"/>
      <c r="AB816" s="21"/>
      <c r="AC816" s="21"/>
      <c r="AD816" s="21"/>
      <c r="AE816" s="21"/>
      <c r="AF816" s="21"/>
      <c r="AG816" s="21"/>
      <c r="AH816" s="21"/>
      <c r="AI816" s="23"/>
    </row>
    <row r="817" spans="1:35" x14ac:dyDescent="0.25">
      <c r="A817" s="24"/>
      <c r="B817" s="28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  <c r="AD817" s="25"/>
      <c r="AE817" s="25"/>
      <c r="AF817" s="25"/>
      <c r="AG817" s="25"/>
      <c r="AH817" s="25"/>
      <c r="AI817" s="26"/>
    </row>
    <row r="818" spans="1:35" x14ac:dyDescent="0.25">
      <c r="A818" s="3"/>
      <c r="B818" s="4" t="s">
        <v>169</v>
      </c>
      <c r="C818" s="5"/>
      <c r="D818" s="5"/>
      <c r="E818" s="5"/>
      <c r="F818" s="5"/>
      <c r="G818" s="5"/>
      <c r="H818" s="5"/>
      <c r="I818" s="5" t="str">
        <f>"0x"&amp;BIN2HEX(CONCATENATE(C823,D823,E823,F823,G823,H823,I823,J823),2)&amp;BIN2HEX(CONCATENATE(K823,L823,M823,N823,O823,P823,Q823,R823),2)&amp;BIN2HEX(CONCATENATE(S823,T823,U823,V823,W823,X823,Y823,Z823),2)&amp;BIN2HEX(CONCATENATE(AA823,AB823,AC823,AD823,AE823,AF823,AG823,AH823),2)&amp;"_"&amp;BIN2HEX(CONCATENATE(C827,D827,E827,F827,G827,H827,I827,J827),2)&amp;BIN2HEX(CONCATENATE(K827,L827,M827,N827,O827,P827,Q827,R827),2)&amp;BIN2HEX(CONCATENATE(S827,T827,U827,V827,W827,X827,Y827,Z827),2)&amp;BIN2HEX(CONCATENATE(AA827,AB827,AC827,AD827,AE827,AF827,AG827,AH827),2)</f>
        <v>0x00000000_00080620</v>
      </c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6"/>
    </row>
    <row r="819" spans="1:35" ht="15.75" thickBot="1" x14ac:dyDescent="0.3">
      <c r="A819" s="3"/>
      <c r="B819" s="5"/>
      <c r="C819" s="7">
        <v>0</v>
      </c>
      <c r="D819" s="7">
        <v>1</v>
      </c>
      <c r="E819" s="7">
        <v>2</v>
      </c>
      <c r="F819" s="7">
        <v>3</v>
      </c>
      <c r="G819" s="7">
        <v>4</v>
      </c>
      <c r="H819" s="7">
        <v>5</v>
      </c>
      <c r="I819" s="7">
        <v>6</v>
      </c>
      <c r="J819" s="7">
        <v>7</v>
      </c>
      <c r="K819" s="7">
        <v>8</v>
      </c>
      <c r="L819" s="7">
        <v>9</v>
      </c>
      <c r="M819" s="7">
        <v>10</v>
      </c>
      <c r="N819" s="7">
        <v>11</v>
      </c>
      <c r="O819" s="7">
        <v>12</v>
      </c>
      <c r="P819" s="7">
        <v>13</v>
      </c>
      <c r="Q819" s="7">
        <v>14</v>
      </c>
      <c r="R819" s="7">
        <v>15</v>
      </c>
      <c r="S819" s="7">
        <v>16</v>
      </c>
      <c r="T819" s="7">
        <v>17</v>
      </c>
      <c r="U819" s="7">
        <v>18</v>
      </c>
      <c r="V819" s="7">
        <v>19</v>
      </c>
      <c r="W819" s="7">
        <v>20</v>
      </c>
      <c r="X819" s="7">
        <v>21</v>
      </c>
      <c r="Y819" s="7">
        <v>22</v>
      </c>
      <c r="Z819" s="7">
        <v>23</v>
      </c>
      <c r="AA819" s="7">
        <v>24</v>
      </c>
      <c r="AB819" s="7">
        <v>25</v>
      </c>
      <c r="AC819" s="7">
        <v>26</v>
      </c>
      <c r="AD819" s="7">
        <v>27</v>
      </c>
      <c r="AE819" s="7">
        <v>28</v>
      </c>
      <c r="AF819" s="7">
        <v>29</v>
      </c>
      <c r="AG819" s="7">
        <v>30</v>
      </c>
      <c r="AH819" s="7">
        <v>31</v>
      </c>
      <c r="AI819" s="6"/>
    </row>
    <row r="820" spans="1:35" ht="17.25" customHeight="1" x14ac:dyDescent="0.25">
      <c r="A820" s="3"/>
      <c r="B820" s="5" t="s">
        <v>31</v>
      </c>
      <c r="C820" s="328" t="s">
        <v>161</v>
      </c>
      <c r="D820" s="330" t="s">
        <v>63</v>
      </c>
      <c r="E820" s="331"/>
      <c r="F820" s="331"/>
      <c r="G820" s="331"/>
      <c r="H820" s="331"/>
      <c r="I820" s="331"/>
      <c r="J820" s="332"/>
      <c r="K820" s="336">
        <v>0</v>
      </c>
      <c r="L820" s="337"/>
      <c r="M820" s="337"/>
      <c r="N820" s="337"/>
      <c r="O820" s="337"/>
      <c r="P820" s="337"/>
      <c r="Q820" s="337"/>
      <c r="R820" s="337"/>
      <c r="S820" s="337"/>
      <c r="T820" s="337"/>
      <c r="U820" s="337"/>
      <c r="V820" s="337"/>
      <c r="W820" s="337"/>
      <c r="X820" s="337"/>
      <c r="Y820" s="337"/>
      <c r="Z820" s="337"/>
      <c r="AA820" s="337"/>
      <c r="AB820" s="337"/>
      <c r="AC820" s="337"/>
      <c r="AD820" s="337"/>
      <c r="AE820" s="337"/>
      <c r="AF820" s="337"/>
      <c r="AG820" s="337"/>
      <c r="AH820" s="338"/>
      <c r="AI820" s="6"/>
    </row>
    <row r="821" spans="1:35" x14ac:dyDescent="0.25">
      <c r="A821" s="3"/>
      <c r="B821" s="5" t="s">
        <v>32</v>
      </c>
      <c r="C821" s="329"/>
      <c r="D821" s="333"/>
      <c r="E821" s="334"/>
      <c r="F821" s="334"/>
      <c r="G821" s="334"/>
      <c r="H821" s="334"/>
      <c r="I821" s="334"/>
      <c r="J821" s="335"/>
      <c r="K821" s="339"/>
      <c r="L821" s="340"/>
      <c r="M821" s="340"/>
      <c r="N821" s="340"/>
      <c r="O821" s="340"/>
      <c r="P821" s="340"/>
      <c r="Q821" s="340"/>
      <c r="R821" s="340"/>
      <c r="S821" s="340"/>
      <c r="T821" s="340"/>
      <c r="U821" s="340"/>
      <c r="V821" s="340"/>
      <c r="W821" s="340"/>
      <c r="X821" s="340"/>
      <c r="Y821" s="340"/>
      <c r="Z821" s="340"/>
      <c r="AA821" s="340"/>
      <c r="AB821" s="340"/>
      <c r="AC821" s="340"/>
      <c r="AD821" s="340"/>
      <c r="AE821" s="340"/>
      <c r="AF821" s="340"/>
      <c r="AG821" s="340"/>
      <c r="AH821" s="341"/>
      <c r="AI821" s="6"/>
    </row>
    <row r="822" spans="1:35" x14ac:dyDescent="0.25">
      <c r="A822" s="3"/>
      <c r="B822" s="5" t="s">
        <v>11</v>
      </c>
      <c r="C822" s="56">
        <v>0</v>
      </c>
      <c r="D822" s="57">
        <v>0</v>
      </c>
      <c r="E822" s="57">
        <v>0</v>
      </c>
      <c r="F822" s="57">
        <v>0</v>
      </c>
      <c r="G822" s="57">
        <v>0</v>
      </c>
      <c r="H822" s="57">
        <v>0</v>
      </c>
      <c r="I822" s="57">
        <v>0</v>
      </c>
      <c r="J822" s="57">
        <v>0</v>
      </c>
      <c r="K822" s="57">
        <v>0</v>
      </c>
      <c r="L822" s="57">
        <v>0</v>
      </c>
      <c r="M822" s="57">
        <v>0</v>
      </c>
      <c r="N822" s="57">
        <v>0</v>
      </c>
      <c r="O822" s="57">
        <v>0</v>
      </c>
      <c r="P822" s="57">
        <v>0</v>
      </c>
      <c r="Q822" s="57">
        <v>0</v>
      </c>
      <c r="R822" s="57">
        <v>0</v>
      </c>
      <c r="S822" s="57">
        <v>0</v>
      </c>
      <c r="T822" s="57">
        <v>0</v>
      </c>
      <c r="U822" s="57">
        <v>0</v>
      </c>
      <c r="V822" s="57">
        <v>0</v>
      </c>
      <c r="W822" s="57">
        <v>0</v>
      </c>
      <c r="X822" s="57">
        <v>0</v>
      </c>
      <c r="Y822" s="57">
        <v>0</v>
      </c>
      <c r="Z822" s="57">
        <v>0</v>
      </c>
      <c r="AA822" s="57">
        <v>0</v>
      </c>
      <c r="AB822" s="57">
        <v>0</v>
      </c>
      <c r="AC822" s="57">
        <v>0</v>
      </c>
      <c r="AD822" s="57">
        <v>0</v>
      </c>
      <c r="AE822" s="57">
        <v>0</v>
      </c>
      <c r="AF822" s="57">
        <v>0</v>
      </c>
      <c r="AG822" s="57">
        <v>0</v>
      </c>
      <c r="AH822" s="58">
        <v>0</v>
      </c>
      <c r="AI822" s="6"/>
    </row>
    <row r="823" spans="1:35" ht="15.75" thickBot="1" x14ac:dyDescent="0.3">
      <c r="A823" s="3"/>
      <c r="B823" s="5" t="s">
        <v>12</v>
      </c>
      <c r="C823" s="145">
        <v>0</v>
      </c>
      <c r="D823" s="88">
        <v>0</v>
      </c>
      <c r="E823" s="88">
        <v>0</v>
      </c>
      <c r="F823" s="88">
        <v>0</v>
      </c>
      <c r="G823" s="88">
        <v>0</v>
      </c>
      <c r="H823" s="88">
        <v>0</v>
      </c>
      <c r="I823" s="88">
        <v>0</v>
      </c>
      <c r="J823" s="88">
        <v>0</v>
      </c>
      <c r="K823" s="62">
        <v>0</v>
      </c>
      <c r="L823" s="62">
        <v>0</v>
      </c>
      <c r="M823" s="62">
        <v>0</v>
      </c>
      <c r="N823" s="62">
        <v>0</v>
      </c>
      <c r="O823" s="62">
        <v>0</v>
      </c>
      <c r="P823" s="62">
        <v>0</v>
      </c>
      <c r="Q823" s="62">
        <v>0</v>
      </c>
      <c r="R823" s="62">
        <v>0</v>
      </c>
      <c r="S823" s="62">
        <v>0</v>
      </c>
      <c r="T823" s="62">
        <v>0</v>
      </c>
      <c r="U823" s="62">
        <v>0</v>
      </c>
      <c r="V823" s="62">
        <v>0</v>
      </c>
      <c r="W823" s="62">
        <v>0</v>
      </c>
      <c r="X823" s="62">
        <v>0</v>
      </c>
      <c r="Y823" s="62">
        <v>0</v>
      </c>
      <c r="Z823" s="62">
        <v>0</v>
      </c>
      <c r="AA823" s="62">
        <v>0</v>
      </c>
      <c r="AB823" s="62">
        <v>0</v>
      </c>
      <c r="AC823" s="62">
        <v>0</v>
      </c>
      <c r="AD823" s="62">
        <v>0</v>
      </c>
      <c r="AE823" s="62">
        <v>0</v>
      </c>
      <c r="AF823" s="62">
        <v>0</v>
      </c>
      <c r="AG823" s="62">
        <v>0</v>
      </c>
      <c r="AH823" s="146">
        <v>0</v>
      </c>
      <c r="AI823" s="6"/>
    </row>
    <row r="824" spans="1:35" x14ac:dyDescent="0.25">
      <c r="A824" s="3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6"/>
    </row>
    <row r="825" spans="1:35" ht="15.75" thickBot="1" x14ac:dyDescent="0.3">
      <c r="A825" s="3"/>
      <c r="B825" s="5"/>
      <c r="C825" s="7">
        <v>32</v>
      </c>
      <c r="D825" s="7">
        <v>33</v>
      </c>
      <c r="E825" s="7">
        <v>34</v>
      </c>
      <c r="F825" s="7">
        <v>35</v>
      </c>
      <c r="G825" s="7">
        <v>36</v>
      </c>
      <c r="H825" s="7">
        <v>37</v>
      </c>
      <c r="I825" s="7">
        <v>38</v>
      </c>
      <c r="J825" s="7">
        <v>39</v>
      </c>
      <c r="K825" s="7">
        <v>40</v>
      </c>
      <c r="L825" s="7">
        <v>41</v>
      </c>
      <c r="M825" s="7">
        <v>42</v>
      </c>
      <c r="N825" s="7">
        <v>43</v>
      </c>
      <c r="O825" s="7">
        <v>44</v>
      </c>
      <c r="P825" s="7">
        <v>45</v>
      </c>
      <c r="Q825" s="7">
        <v>46</v>
      </c>
      <c r="R825" s="7">
        <v>47</v>
      </c>
      <c r="S825" s="7">
        <v>48</v>
      </c>
      <c r="T825" s="7">
        <v>49</v>
      </c>
      <c r="U825" s="7">
        <v>50</v>
      </c>
      <c r="V825" s="7">
        <v>51</v>
      </c>
      <c r="W825" s="7">
        <v>52</v>
      </c>
      <c r="X825" s="7">
        <v>53</v>
      </c>
      <c r="Y825" s="7">
        <v>54</v>
      </c>
      <c r="Z825" s="7">
        <v>55</v>
      </c>
      <c r="AA825" s="7">
        <v>56</v>
      </c>
      <c r="AB825" s="7">
        <v>57</v>
      </c>
      <c r="AC825" s="7">
        <v>58</v>
      </c>
      <c r="AD825" s="7">
        <v>59</v>
      </c>
      <c r="AE825" s="7">
        <v>60</v>
      </c>
      <c r="AF825" s="7">
        <v>61</v>
      </c>
      <c r="AG825" s="7">
        <v>62</v>
      </c>
      <c r="AH825" s="7">
        <v>63</v>
      </c>
      <c r="AI825" s="6"/>
    </row>
    <row r="826" spans="1:35" ht="15.75" thickBot="1" x14ac:dyDescent="0.3">
      <c r="A826" s="3"/>
      <c r="B826" s="5"/>
      <c r="C826" s="147" t="s">
        <v>13</v>
      </c>
      <c r="D826" s="148" t="s">
        <v>14</v>
      </c>
      <c r="E826" s="148" t="s">
        <v>15</v>
      </c>
      <c r="F826" s="148" t="s">
        <v>16</v>
      </c>
      <c r="G826" s="148" t="s">
        <v>17</v>
      </c>
      <c r="H826" s="148" t="s">
        <v>18</v>
      </c>
      <c r="I826" s="148" t="s">
        <v>19</v>
      </c>
      <c r="J826" s="148" t="s">
        <v>20</v>
      </c>
      <c r="K826" s="148" t="s">
        <v>21</v>
      </c>
      <c r="L826" s="148" t="s">
        <v>22</v>
      </c>
      <c r="M826" s="148" t="s">
        <v>23</v>
      </c>
      <c r="N826" s="148" t="s">
        <v>24</v>
      </c>
      <c r="O826" s="148" t="s">
        <v>25</v>
      </c>
      <c r="P826" s="148" t="s">
        <v>26</v>
      </c>
      <c r="Q826" s="148" t="s">
        <v>27</v>
      </c>
      <c r="R826" s="342" t="s">
        <v>30</v>
      </c>
      <c r="S826" s="343"/>
      <c r="T826" s="343"/>
      <c r="U826" s="343"/>
      <c r="V826" s="343"/>
      <c r="W826" s="343"/>
      <c r="X826" s="343"/>
      <c r="Y826" s="343"/>
      <c r="Z826" s="343"/>
      <c r="AA826" s="343"/>
      <c r="AB826" s="343"/>
      <c r="AC826" s="343"/>
      <c r="AD826" s="343"/>
      <c r="AE826" s="343"/>
      <c r="AF826" s="344"/>
      <c r="AG826" s="67" t="s">
        <v>28</v>
      </c>
      <c r="AH826" s="149" t="s">
        <v>29</v>
      </c>
      <c r="AI826" s="6"/>
    </row>
    <row r="827" spans="1:35" ht="15.75" thickBot="1" x14ac:dyDescent="0.3">
      <c r="A827" s="3"/>
      <c r="B827" s="5"/>
      <c r="C827" s="150">
        <v>0</v>
      </c>
      <c r="D827" s="151">
        <v>0</v>
      </c>
      <c r="E827" s="151">
        <v>0</v>
      </c>
      <c r="F827" s="151">
        <v>0</v>
      </c>
      <c r="G827" s="151">
        <v>0</v>
      </c>
      <c r="H827" s="151">
        <v>0</v>
      </c>
      <c r="I827" s="151">
        <v>0</v>
      </c>
      <c r="J827" s="151">
        <v>0</v>
      </c>
      <c r="K827" s="151">
        <v>0</v>
      </c>
      <c r="L827" s="151">
        <v>0</v>
      </c>
      <c r="M827" s="151">
        <v>0</v>
      </c>
      <c r="N827" s="151">
        <v>0</v>
      </c>
      <c r="O827" s="151">
        <v>1</v>
      </c>
      <c r="P827" s="151">
        <v>0</v>
      </c>
      <c r="Q827" s="151">
        <v>0</v>
      </c>
      <c r="R827" s="151">
        <v>0</v>
      </c>
      <c r="S827" s="151">
        <v>0</v>
      </c>
      <c r="T827" s="151">
        <v>0</v>
      </c>
      <c r="U827" s="151">
        <v>0</v>
      </c>
      <c r="V827" s="151">
        <v>0</v>
      </c>
      <c r="W827" s="151">
        <v>0</v>
      </c>
      <c r="X827" s="151">
        <v>1</v>
      </c>
      <c r="Y827" s="151">
        <v>1</v>
      </c>
      <c r="Z827" s="151">
        <v>0</v>
      </c>
      <c r="AA827" s="151">
        <v>0</v>
      </c>
      <c r="AB827" s="151">
        <v>0</v>
      </c>
      <c r="AC827" s="151">
        <v>1</v>
      </c>
      <c r="AD827" s="151">
        <v>0</v>
      </c>
      <c r="AE827" s="151">
        <v>0</v>
      </c>
      <c r="AF827" s="151">
        <v>0</v>
      </c>
      <c r="AG827" s="151">
        <v>0</v>
      </c>
      <c r="AH827" s="152">
        <v>0</v>
      </c>
      <c r="AI827" s="6"/>
    </row>
    <row r="828" spans="1:35" x14ac:dyDescent="0.25">
      <c r="A828" s="3"/>
      <c r="B828" s="4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6"/>
    </row>
    <row r="829" spans="1:35" x14ac:dyDescent="0.25">
      <c r="A829" s="3"/>
      <c r="B829" s="8" t="s">
        <v>43</v>
      </c>
      <c r="C829" s="9"/>
      <c r="D829" s="9"/>
      <c r="E829" s="9"/>
      <c r="F829" s="44" t="s">
        <v>44</v>
      </c>
      <c r="G829" s="44"/>
      <c r="H829" s="44"/>
      <c r="I829" s="9"/>
      <c r="J829" s="45" t="s">
        <v>45</v>
      </c>
      <c r="K829" s="45"/>
      <c r="L829" s="45"/>
      <c r="M829" s="45"/>
      <c r="N829" s="9"/>
      <c r="O829" s="46" t="s">
        <v>46</v>
      </c>
      <c r="P829" s="46"/>
      <c r="Q829" s="46"/>
      <c r="R829" s="46"/>
      <c r="S829" s="9"/>
      <c r="T829" s="1" t="s">
        <v>49</v>
      </c>
      <c r="U829" s="10" t="s">
        <v>48</v>
      </c>
      <c r="V829" s="5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  <c r="AI829" s="6"/>
    </row>
    <row r="830" spans="1:35" ht="15" customHeight="1" x14ac:dyDescent="0.25">
      <c r="A830" s="3"/>
      <c r="B830" s="42" t="str">
        <f>"0x"&amp;DEC2HEX(Sheet3!$I$4,8)</f>
        <v>0x00400320</v>
      </c>
      <c r="C830" s="42"/>
      <c r="D830" s="42"/>
      <c r="E830" s="12"/>
      <c r="F830" s="319" t="str">
        <f>"0x"&amp;BIN2HEX(CONCATENATE(C823,D823,E823,F823,G823,H823,I823,J823),2)&amp;BIN2HEX(CONCATENATE(K823,L823,M823,N823,O823,P823,Q823,R823),2)&amp;BIN2HEX(CONCATENATE(S823,T823,U823,V823,W823,X823,Y823,Z823),2)&amp;BIN2HEX(CONCATENATE(AA823,AB823,AC823,AD823,AE823,AF823,AG823,AH823),2)</f>
        <v>0x00000000</v>
      </c>
      <c r="G830" s="319"/>
      <c r="H830" s="319"/>
      <c r="I830" s="12"/>
      <c r="J830" s="319" t="str">
        <f>"0b"&amp;C827&amp;D827&amp;E827&amp;F827&amp;G827&amp;H827&amp;I827&amp;J827&amp;K827&amp;L827&amp;M827&amp;N827&amp;O827&amp;P827&amp;Q827</f>
        <v>0b000000000000100</v>
      </c>
      <c r="K830" s="319"/>
      <c r="L830" s="319"/>
      <c r="M830" s="319"/>
      <c r="N830" s="12"/>
      <c r="O830" s="319" t="str">
        <f>"0b"&amp;DEC2BIN(((AF827+AE827*2+AD827*4+AC827*8+AB827*16+AA827*32+Z827*64+Y827*128+X827*256+W827*512+V827*1024+U827*2048+T827*4096+S827*2^13+R827*2^14)/512),6)&amp;DEC2BIN(MOD((AF827+AE827*2+AD827*4+AC827*8+AB827*16+AA827*32+Z827*64+Y827*128+X827*256+W827*512+V827*1024+U827*2048+T827*4096+S827*2^13+R827*2^14),512),9)</f>
        <v>0b000000110001000</v>
      </c>
      <c r="P830" s="319"/>
      <c r="Q830" s="319"/>
      <c r="R830" s="319"/>
      <c r="S830" s="12"/>
      <c r="T830" s="13">
        <v>0</v>
      </c>
      <c r="U830" s="13">
        <f>AH827</f>
        <v>0</v>
      </c>
      <c r="V830" s="5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6"/>
    </row>
    <row r="831" spans="1:35" x14ac:dyDescent="0.25">
      <c r="A831" s="3"/>
      <c r="B831" s="42"/>
      <c r="C831" s="42"/>
      <c r="D831" s="42"/>
      <c r="E831" s="15"/>
      <c r="F831" s="43"/>
      <c r="G831" s="43"/>
      <c r="H831" s="43"/>
      <c r="I831" s="15"/>
      <c r="J831" s="42"/>
      <c r="K831" s="42"/>
      <c r="L831" s="42"/>
      <c r="M831" s="42"/>
      <c r="N831" s="15"/>
      <c r="O831" s="42"/>
      <c r="P831" s="42"/>
      <c r="Q831" s="42"/>
      <c r="R831" s="42"/>
      <c r="S831" s="15"/>
      <c r="T831" s="13"/>
      <c r="U831" s="15"/>
      <c r="V831" s="5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6"/>
    </row>
    <row r="832" spans="1:35" x14ac:dyDescent="0.25">
      <c r="A832" s="3"/>
      <c r="B832" s="42"/>
      <c r="C832" s="42"/>
      <c r="D832" s="42"/>
      <c r="E832" s="15"/>
      <c r="F832" s="43"/>
      <c r="G832" s="43"/>
      <c r="H832" s="43"/>
      <c r="I832" s="15"/>
      <c r="J832" s="42"/>
      <c r="K832" s="42"/>
      <c r="L832" s="42"/>
      <c r="M832" s="42"/>
      <c r="N832" s="15"/>
      <c r="O832" s="42"/>
      <c r="P832" s="42"/>
      <c r="Q832" s="42"/>
      <c r="R832" s="42"/>
      <c r="S832" s="15"/>
      <c r="T832" s="13"/>
      <c r="U832" s="15"/>
      <c r="V832" s="5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6"/>
    </row>
    <row r="833" spans="1:35" x14ac:dyDescent="0.25">
      <c r="A833" s="3"/>
      <c r="B833" s="5"/>
      <c r="C833" s="5"/>
      <c r="D833" s="5"/>
      <c r="E833" s="5"/>
      <c r="F833" s="17"/>
      <c r="G833" s="17"/>
      <c r="H833" s="17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6"/>
    </row>
    <row r="834" spans="1:35" x14ac:dyDescent="0.25">
      <c r="A834" s="3"/>
      <c r="B834" s="5" t="s">
        <v>47</v>
      </c>
      <c r="C834" s="18"/>
      <c r="D834" s="18"/>
      <c r="E834" s="18"/>
      <c r="F834" s="5"/>
      <c r="G834" s="5"/>
      <c r="H834" s="5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18"/>
      <c r="AI834" s="6"/>
    </row>
    <row r="835" spans="1:35" ht="15" customHeight="1" x14ac:dyDescent="0.25">
      <c r="A835" s="3"/>
      <c r="B835" s="42" t="str">
        <f>"0x"&amp;DEC2HEX(Sheet3!$I$4,8)</f>
        <v>0x00400320</v>
      </c>
      <c r="C835" s="42"/>
      <c r="D835" s="42"/>
      <c r="E835" s="16"/>
      <c r="F835" s="322" t="str">
        <f>F830&amp;BIN2HEX(MID(J830,3,8),2)&amp;BIN2HEX(RIGHT(J830,7)&amp;MID(O830,3,1),2)&amp;BIN2HEX(MID(O830,4,8),2)&amp;BIN2HEX(RIGHT(O830,6)&amp;T830&amp;U830,2)</f>
        <v>0x0000000000080620</v>
      </c>
      <c r="G835" s="322"/>
      <c r="H835" s="322"/>
      <c r="I835" s="322"/>
      <c r="J835" s="5"/>
      <c r="K835" s="5"/>
      <c r="L835" s="5"/>
      <c r="M835" s="5"/>
      <c r="N835" s="5"/>
      <c r="O835" s="5"/>
      <c r="P835" s="16"/>
      <c r="Q835" s="16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5"/>
      <c r="AH835" s="5"/>
      <c r="AI835" s="6"/>
    </row>
    <row r="836" spans="1:35" x14ac:dyDescent="0.25">
      <c r="A836" s="3"/>
      <c r="B836" s="37"/>
      <c r="C836" s="37"/>
      <c r="D836" s="37"/>
      <c r="E836" s="5"/>
      <c r="F836" s="38"/>
      <c r="G836" s="38"/>
      <c r="H836" s="38"/>
      <c r="I836" s="38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6"/>
    </row>
    <row r="837" spans="1:35" x14ac:dyDescent="0.25">
      <c r="A837" s="3"/>
      <c r="B837" s="37"/>
      <c r="C837" s="37"/>
      <c r="D837" s="37"/>
      <c r="E837" s="5"/>
      <c r="F837" s="38"/>
      <c r="G837" s="38"/>
      <c r="H837" s="38"/>
      <c r="I837" s="38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6"/>
    </row>
    <row r="838" spans="1:35" x14ac:dyDescent="0.25">
      <c r="A838" s="20"/>
      <c r="B838" s="21"/>
      <c r="C838" s="21"/>
      <c r="D838" s="21"/>
      <c r="E838" s="21"/>
      <c r="F838" s="21"/>
      <c r="G838" s="21"/>
      <c r="H838" s="21"/>
      <c r="I838" s="21"/>
      <c r="J838" s="21"/>
      <c r="K838" s="21"/>
      <c r="L838" s="21"/>
      <c r="M838" s="21"/>
      <c r="N838" s="21"/>
      <c r="O838" s="22"/>
      <c r="P838" s="21"/>
      <c r="Q838" s="21"/>
      <c r="R838" s="21"/>
      <c r="S838" s="21"/>
      <c r="T838" s="21"/>
      <c r="U838" s="21"/>
      <c r="V838" s="21"/>
      <c r="W838" s="21"/>
      <c r="X838" s="21"/>
      <c r="Y838" s="21"/>
      <c r="Z838" s="21"/>
      <c r="AA838" s="21"/>
      <c r="AB838" s="21"/>
      <c r="AC838" s="21"/>
      <c r="AD838" s="21"/>
      <c r="AE838" s="21"/>
      <c r="AF838" s="21"/>
      <c r="AG838" s="21"/>
      <c r="AH838" s="21"/>
      <c r="AI838" s="23"/>
    </row>
    <row r="839" spans="1:35" x14ac:dyDescent="0.25">
      <c r="A839" s="24"/>
      <c r="B839" s="28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  <c r="AD839" s="25"/>
      <c r="AE839" s="25"/>
      <c r="AF839" s="25"/>
      <c r="AG839" s="25"/>
      <c r="AH839" s="25"/>
      <c r="AI839" s="26"/>
    </row>
    <row r="840" spans="1:35" x14ac:dyDescent="0.25">
      <c r="A840" s="3"/>
      <c r="B840" s="4" t="s">
        <v>170</v>
      </c>
      <c r="C840" s="5"/>
      <c r="D840" s="5"/>
      <c r="E840" s="5"/>
      <c r="F840" s="5"/>
      <c r="G840" s="5"/>
      <c r="H840" s="5"/>
      <c r="I840" s="5" t="str">
        <f>"0x"&amp;BIN2HEX(CONCATENATE(C845,D845,E845,F845,G845,H845,I845,J845),2)&amp;BIN2HEX(CONCATENATE(K845,L845,M845,N845,O845,P845,Q845,R845),2)&amp;BIN2HEX(CONCATENATE(S845,T845,U845,V845,W845,X845,Y845,Z845),2)&amp;BIN2HEX(CONCATENATE(AA845,AB845,AC845,AD845,AE845,AF845,AG845,AH845),2)&amp;"_"&amp;BIN2HEX(CONCATENATE(C849,D849,E849,F849,G849,H849,I849,J849),2)&amp;BIN2HEX(CONCATENATE(K849,L849,M849,N849,O849,P849,Q849,R849),2)&amp;BIN2HEX(CONCATENATE(S849,T849,U849,V849,W849,X849,Y849,Z849),2)&amp;BIN2HEX(CONCATENATE(AA849,AB849,AC849,AD849,AE849,AF849,AG849,AH849),2)</f>
        <v>0x00000000_00080624</v>
      </c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6"/>
    </row>
    <row r="841" spans="1:35" ht="15.75" thickBot="1" x14ac:dyDescent="0.3">
      <c r="A841" s="3"/>
      <c r="B841" s="5"/>
      <c r="C841" s="7">
        <v>0</v>
      </c>
      <c r="D841" s="7">
        <v>1</v>
      </c>
      <c r="E841" s="7">
        <v>2</v>
      </c>
      <c r="F841" s="7">
        <v>3</v>
      </c>
      <c r="G841" s="7">
        <v>4</v>
      </c>
      <c r="H841" s="7">
        <v>5</v>
      </c>
      <c r="I841" s="7">
        <v>6</v>
      </c>
      <c r="J841" s="7">
        <v>7</v>
      </c>
      <c r="K841" s="7">
        <v>8</v>
      </c>
      <c r="L841" s="7">
        <v>9</v>
      </c>
      <c r="M841" s="7">
        <v>10</v>
      </c>
      <c r="N841" s="7">
        <v>11</v>
      </c>
      <c r="O841" s="7">
        <v>12</v>
      </c>
      <c r="P841" s="7">
        <v>13</v>
      </c>
      <c r="Q841" s="7">
        <v>14</v>
      </c>
      <c r="R841" s="7">
        <v>15</v>
      </c>
      <c r="S841" s="7">
        <v>16</v>
      </c>
      <c r="T841" s="7">
        <v>17</v>
      </c>
      <c r="U841" s="7">
        <v>18</v>
      </c>
      <c r="V841" s="7">
        <v>19</v>
      </c>
      <c r="W841" s="7">
        <v>20</v>
      </c>
      <c r="X841" s="7">
        <v>21</v>
      </c>
      <c r="Y841" s="7">
        <v>22</v>
      </c>
      <c r="Z841" s="7">
        <v>23</v>
      </c>
      <c r="AA841" s="7">
        <v>24</v>
      </c>
      <c r="AB841" s="7">
        <v>25</v>
      </c>
      <c r="AC841" s="7">
        <v>26</v>
      </c>
      <c r="AD841" s="7">
        <v>27</v>
      </c>
      <c r="AE841" s="7">
        <v>28</v>
      </c>
      <c r="AF841" s="7">
        <v>29</v>
      </c>
      <c r="AG841" s="7">
        <v>30</v>
      </c>
      <c r="AH841" s="7">
        <v>31</v>
      </c>
      <c r="AI841" s="6"/>
    </row>
    <row r="842" spans="1:35" ht="15" customHeight="1" x14ac:dyDescent="0.25">
      <c r="A842" s="3"/>
      <c r="B842" s="5" t="s">
        <v>31</v>
      </c>
      <c r="C842" s="328" t="s">
        <v>161</v>
      </c>
      <c r="D842" s="330" t="s">
        <v>63</v>
      </c>
      <c r="E842" s="331"/>
      <c r="F842" s="331"/>
      <c r="G842" s="331"/>
      <c r="H842" s="331"/>
      <c r="I842" s="331"/>
      <c r="J842" s="332"/>
      <c r="K842" s="336">
        <v>0</v>
      </c>
      <c r="L842" s="337"/>
      <c r="M842" s="337"/>
      <c r="N842" s="337"/>
      <c r="O842" s="337"/>
      <c r="P842" s="337"/>
      <c r="Q842" s="337"/>
      <c r="R842" s="337"/>
      <c r="S842" s="337"/>
      <c r="T842" s="337"/>
      <c r="U842" s="337"/>
      <c r="V842" s="337"/>
      <c r="W842" s="337"/>
      <c r="X842" s="337"/>
      <c r="Y842" s="337"/>
      <c r="Z842" s="337"/>
      <c r="AA842" s="337"/>
      <c r="AB842" s="337"/>
      <c r="AC842" s="337"/>
      <c r="AD842" s="337"/>
      <c r="AE842" s="337"/>
      <c r="AF842" s="337"/>
      <c r="AG842" s="337"/>
      <c r="AH842" s="338"/>
      <c r="AI842" s="6"/>
    </row>
    <row r="843" spans="1:35" x14ac:dyDescent="0.25">
      <c r="A843" s="3"/>
      <c r="B843" s="5" t="s">
        <v>32</v>
      </c>
      <c r="C843" s="329"/>
      <c r="D843" s="333"/>
      <c r="E843" s="334"/>
      <c r="F843" s="334"/>
      <c r="G843" s="334"/>
      <c r="H843" s="334"/>
      <c r="I843" s="334"/>
      <c r="J843" s="335"/>
      <c r="K843" s="339"/>
      <c r="L843" s="340"/>
      <c r="M843" s="340"/>
      <c r="N843" s="340"/>
      <c r="O843" s="340"/>
      <c r="P843" s="340"/>
      <c r="Q843" s="340"/>
      <c r="R843" s="340"/>
      <c r="S843" s="340"/>
      <c r="T843" s="340"/>
      <c r="U843" s="340"/>
      <c r="V843" s="340"/>
      <c r="W843" s="340"/>
      <c r="X843" s="340"/>
      <c r="Y843" s="340"/>
      <c r="Z843" s="340"/>
      <c r="AA843" s="340"/>
      <c r="AB843" s="340"/>
      <c r="AC843" s="340"/>
      <c r="AD843" s="340"/>
      <c r="AE843" s="340"/>
      <c r="AF843" s="340"/>
      <c r="AG843" s="340"/>
      <c r="AH843" s="341"/>
      <c r="AI843" s="6"/>
    </row>
    <row r="844" spans="1:35" x14ac:dyDescent="0.25">
      <c r="A844" s="3"/>
      <c r="B844" s="5" t="s">
        <v>11</v>
      </c>
      <c r="C844" s="56">
        <v>0</v>
      </c>
      <c r="D844" s="57">
        <v>0</v>
      </c>
      <c r="E844" s="57">
        <v>0</v>
      </c>
      <c r="F844" s="57">
        <v>0</v>
      </c>
      <c r="G844" s="57">
        <v>0</v>
      </c>
      <c r="H844" s="57">
        <v>0</v>
      </c>
      <c r="I844" s="57">
        <v>0</v>
      </c>
      <c r="J844" s="57">
        <v>0</v>
      </c>
      <c r="K844" s="57">
        <v>0</v>
      </c>
      <c r="L844" s="57">
        <v>0</v>
      </c>
      <c r="M844" s="57">
        <v>0</v>
      </c>
      <c r="N844" s="57">
        <v>0</v>
      </c>
      <c r="O844" s="57">
        <v>0</v>
      </c>
      <c r="P844" s="57">
        <v>0</v>
      </c>
      <c r="Q844" s="57">
        <v>0</v>
      </c>
      <c r="R844" s="57">
        <v>0</v>
      </c>
      <c r="S844" s="57">
        <v>0</v>
      </c>
      <c r="T844" s="57">
        <v>0</v>
      </c>
      <c r="U844" s="57">
        <v>0</v>
      </c>
      <c r="V844" s="57">
        <v>0</v>
      </c>
      <c r="W844" s="57">
        <v>0</v>
      </c>
      <c r="X844" s="57">
        <v>0</v>
      </c>
      <c r="Y844" s="57">
        <v>0</v>
      </c>
      <c r="Z844" s="57">
        <v>0</v>
      </c>
      <c r="AA844" s="57">
        <v>0</v>
      </c>
      <c r="AB844" s="57">
        <v>0</v>
      </c>
      <c r="AC844" s="57">
        <v>0</v>
      </c>
      <c r="AD844" s="57">
        <v>0</v>
      </c>
      <c r="AE844" s="57">
        <v>0</v>
      </c>
      <c r="AF844" s="57">
        <v>0</v>
      </c>
      <c r="AG844" s="57">
        <v>0</v>
      </c>
      <c r="AH844" s="58">
        <v>0</v>
      </c>
      <c r="AI844" s="6"/>
    </row>
    <row r="845" spans="1:35" ht="15.75" thickBot="1" x14ac:dyDescent="0.3">
      <c r="A845" s="3"/>
      <c r="B845" s="5" t="s">
        <v>12</v>
      </c>
      <c r="C845" s="145">
        <v>0</v>
      </c>
      <c r="D845" s="88">
        <v>0</v>
      </c>
      <c r="E845" s="88">
        <v>0</v>
      </c>
      <c r="F845" s="88">
        <v>0</v>
      </c>
      <c r="G845" s="88">
        <v>0</v>
      </c>
      <c r="H845" s="88">
        <v>0</v>
      </c>
      <c r="I845" s="88">
        <v>0</v>
      </c>
      <c r="J845" s="88">
        <v>0</v>
      </c>
      <c r="K845" s="62">
        <v>0</v>
      </c>
      <c r="L845" s="62">
        <v>0</v>
      </c>
      <c r="M845" s="62">
        <v>0</v>
      </c>
      <c r="N845" s="62">
        <v>0</v>
      </c>
      <c r="O845" s="62">
        <v>0</v>
      </c>
      <c r="P845" s="62">
        <v>0</v>
      </c>
      <c r="Q845" s="62">
        <v>0</v>
      </c>
      <c r="R845" s="62">
        <v>0</v>
      </c>
      <c r="S845" s="62">
        <v>0</v>
      </c>
      <c r="T845" s="62">
        <v>0</v>
      </c>
      <c r="U845" s="62">
        <v>0</v>
      </c>
      <c r="V845" s="62">
        <v>0</v>
      </c>
      <c r="W845" s="62">
        <v>0</v>
      </c>
      <c r="X845" s="62">
        <v>0</v>
      </c>
      <c r="Y845" s="62">
        <v>0</v>
      </c>
      <c r="Z845" s="62">
        <v>0</v>
      </c>
      <c r="AA845" s="62">
        <v>0</v>
      </c>
      <c r="AB845" s="62">
        <v>0</v>
      </c>
      <c r="AC845" s="62">
        <v>0</v>
      </c>
      <c r="AD845" s="62">
        <v>0</v>
      </c>
      <c r="AE845" s="62">
        <v>0</v>
      </c>
      <c r="AF845" s="62">
        <v>0</v>
      </c>
      <c r="AG845" s="62">
        <v>0</v>
      </c>
      <c r="AH845" s="146">
        <v>0</v>
      </c>
      <c r="AI845" s="6"/>
    </row>
    <row r="846" spans="1:35" x14ac:dyDescent="0.25">
      <c r="A846" s="3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6"/>
    </row>
    <row r="847" spans="1:35" ht="15.75" thickBot="1" x14ac:dyDescent="0.3">
      <c r="A847" s="3"/>
      <c r="B847" s="5"/>
      <c r="C847" s="7">
        <v>32</v>
      </c>
      <c r="D847" s="7">
        <v>33</v>
      </c>
      <c r="E847" s="7">
        <v>34</v>
      </c>
      <c r="F847" s="7">
        <v>35</v>
      </c>
      <c r="G847" s="7">
        <v>36</v>
      </c>
      <c r="H847" s="7">
        <v>37</v>
      </c>
      <c r="I847" s="7">
        <v>38</v>
      </c>
      <c r="J847" s="7">
        <v>39</v>
      </c>
      <c r="K847" s="7">
        <v>40</v>
      </c>
      <c r="L847" s="7">
        <v>41</v>
      </c>
      <c r="M847" s="7">
        <v>42</v>
      </c>
      <c r="N847" s="7">
        <v>43</v>
      </c>
      <c r="O847" s="7">
        <v>44</v>
      </c>
      <c r="P847" s="7">
        <v>45</v>
      </c>
      <c r="Q847" s="7">
        <v>46</v>
      </c>
      <c r="R847" s="7">
        <v>47</v>
      </c>
      <c r="S847" s="7">
        <v>48</v>
      </c>
      <c r="T847" s="7">
        <v>49</v>
      </c>
      <c r="U847" s="7">
        <v>50</v>
      </c>
      <c r="V847" s="7">
        <v>51</v>
      </c>
      <c r="W847" s="7">
        <v>52</v>
      </c>
      <c r="X847" s="7">
        <v>53</v>
      </c>
      <c r="Y847" s="7">
        <v>54</v>
      </c>
      <c r="Z847" s="7">
        <v>55</v>
      </c>
      <c r="AA847" s="7">
        <v>56</v>
      </c>
      <c r="AB847" s="7">
        <v>57</v>
      </c>
      <c r="AC847" s="7">
        <v>58</v>
      </c>
      <c r="AD847" s="7">
        <v>59</v>
      </c>
      <c r="AE847" s="7">
        <v>60</v>
      </c>
      <c r="AF847" s="7">
        <v>61</v>
      </c>
      <c r="AG847" s="7">
        <v>62</v>
      </c>
      <c r="AH847" s="7">
        <v>63</v>
      </c>
      <c r="AI847" s="6"/>
    </row>
    <row r="848" spans="1:35" ht="15.75" thickBot="1" x14ac:dyDescent="0.3">
      <c r="A848" s="3"/>
      <c r="B848" s="5"/>
      <c r="C848" s="147" t="s">
        <v>13</v>
      </c>
      <c r="D848" s="148" t="s">
        <v>14</v>
      </c>
      <c r="E848" s="148" t="s">
        <v>15</v>
      </c>
      <c r="F848" s="148" t="s">
        <v>16</v>
      </c>
      <c r="G848" s="148" t="s">
        <v>17</v>
      </c>
      <c r="H848" s="148" t="s">
        <v>18</v>
      </c>
      <c r="I848" s="148" t="s">
        <v>19</v>
      </c>
      <c r="J848" s="148" t="s">
        <v>20</v>
      </c>
      <c r="K848" s="148" t="s">
        <v>21</v>
      </c>
      <c r="L848" s="148" t="s">
        <v>22</v>
      </c>
      <c r="M848" s="148" t="s">
        <v>23</v>
      </c>
      <c r="N848" s="148" t="s">
        <v>24</v>
      </c>
      <c r="O848" s="148" t="s">
        <v>25</v>
      </c>
      <c r="P848" s="148" t="s">
        <v>26</v>
      </c>
      <c r="Q848" s="148" t="s">
        <v>27</v>
      </c>
      <c r="R848" s="342" t="s">
        <v>30</v>
      </c>
      <c r="S848" s="343"/>
      <c r="T848" s="343"/>
      <c r="U848" s="343"/>
      <c r="V848" s="343"/>
      <c r="W848" s="343"/>
      <c r="X848" s="343"/>
      <c r="Y848" s="343"/>
      <c r="Z848" s="343"/>
      <c r="AA848" s="343"/>
      <c r="AB848" s="343"/>
      <c r="AC848" s="343"/>
      <c r="AD848" s="343"/>
      <c r="AE848" s="343"/>
      <c r="AF848" s="344"/>
      <c r="AG848" s="67" t="s">
        <v>28</v>
      </c>
      <c r="AH848" s="149" t="s">
        <v>29</v>
      </c>
      <c r="AI848" s="6"/>
    </row>
    <row r="849" spans="1:35" ht="15.75" thickBot="1" x14ac:dyDescent="0.3">
      <c r="A849" s="3"/>
      <c r="B849" s="5"/>
      <c r="C849" s="150">
        <v>0</v>
      </c>
      <c r="D849" s="151">
        <v>0</v>
      </c>
      <c r="E849" s="151">
        <v>0</v>
      </c>
      <c r="F849" s="151">
        <v>0</v>
      </c>
      <c r="G849" s="151">
        <v>0</v>
      </c>
      <c r="H849" s="151">
        <v>0</v>
      </c>
      <c r="I849" s="151">
        <v>0</v>
      </c>
      <c r="J849" s="151">
        <v>0</v>
      </c>
      <c r="K849" s="151">
        <v>0</v>
      </c>
      <c r="L849" s="151">
        <v>0</v>
      </c>
      <c r="M849" s="151">
        <v>0</v>
      </c>
      <c r="N849" s="151">
        <v>0</v>
      </c>
      <c r="O849" s="151">
        <v>1</v>
      </c>
      <c r="P849" s="151">
        <v>0</v>
      </c>
      <c r="Q849" s="151">
        <v>0</v>
      </c>
      <c r="R849" s="151">
        <v>0</v>
      </c>
      <c r="S849" s="151">
        <v>0</v>
      </c>
      <c r="T849" s="151">
        <v>0</v>
      </c>
      <c r="U849" s="151">
        <v>0</v>
      </c>
      <c r="V849" s="151">
        <v>0</v>
      </c>
      <c r="W849" s="151">
        <v>0</v>
      </c>
      <c r="X849" s="151">
        <v>1</v>
      </c>
      <c r="Y849" s="151">
        <v>1</v>
      </c>
      <c r="Z849" s="151">
        <v>0</v>
      </c>
      <c r="AA849" s="151">
        <v>0</v>
      </c>
      <c r="AB849" s="151">
        <v>0</v>
      </c>
      <c r="AC849" s="151">
        <v>1</v>
      </c>
      <c r="AD849" s="151">
        <v>0</v>
      </c>
      <c r="AE849" s="151">
        <v>0</v>
      </c>
      <c r="AF849" s="151">
        <v>1</v>
      </c>
      <c r="AG849" s="151">
        <v>0</v>
      </c>
      <c r="AH849" s="152">
        <v>0</v>
      </c>
      <c r="AI849" s="6"/>
    </row>
    <row r="850" spans="1:35" x14ac:dyDescent="0.25">
      <c r="A850" s="3"/>
      <c r="B850" s="4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6"/>
    </row>
    <row r="851" spans="1:35" x14ac:dyDescent="0.25">
      <c r="A851" s="3"/>
      <c r="B851" s="8" t="s">
        <v>43</v>
      </c>
      <c r="C851" s="9"/>
      <c r="D851" s="9"/>
      <c r="E851" s="9"/>
      <c r="F851" s="44" t="s">
        <v>44</v>
      </c>
      <c r="G851" s="44"/>
      <c r="H851" s="44"/>
      <c r="I851" s="9"/>
      <c r="J851" s="45" t="s">
        <v>45</v>
      </c>
      <c r="K851" s="45"/>
      <c r="L851" s="45"/>
      <c r="M851" s="45"/>
      <c r="N851" s="9"/>
      <c r="O851" s="46" t="s">
        <v>46</v>
      </c>
      <c r="P851" s="46"/>
      <c r="Q851" s="46"/>
      <c r="R851" s="46"/>
      <c r="S851" s="9"/>
      <c r="T851" s="1" t="s">
        <v>49</v>
      </c>
      <c r="U851" s="10" t="s">
        <v>48</v>
      </c>
      <c r="V851" s="5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  <c r="AH851" s="9"/>
      <c r="AI851" s="6"/>
    </row>
    <row r="852" spans="1:35" ht="15" customHeight="1" x14ac:dyDescent="0.25">
      <c r="A852" s="3"/>
      <c r="B852" s="42" t="str">
        <f>"0x"&amp;DEC2HEX(Sheet3!$I$4,8)</f>
        <v>0x00400320</v>
      </c>
      <c r="C852" s="42"/>
      <c r="D852" s="42"/>
      <c r="E852" s="12"/>
      <c r="F852" s="319" t="str">
        <f>"0x"&amp;BIN2HEX(CONCATENATE(C845,D845,E845,F845,G845,H845,I845,J845),2)&amp;BIN2HEX(CONCATENATE(K845,L845,M845,N845,O845,P845,Q845,R845),2)&amp;BIN2HEX(CONCATENATE(S845,T845,U845,V845,W845,X845,Y845,Z845),2)&amp;BIN2HEX(CONCATENATE(AA845,AB845,AC845,AD845,AE845,AF845,AG845,AH845),2)</f>
        <v>0x00000000</v>
      </c>
      <c r="G852" s="319"/>
      <c r="H852" s="319"/>
      <c r="I852" s="12"/>
      <c r="J852" s="319" t="str">
        <f>"0b"&amp;C849&amp;D849&amp;E849&amp;F849&amp;G849&amp;H849&amp;I849&amp;J849&amp;K849&amp;L849&amp;M849&amp;N849&amp;O849&amp;P849&amp;Q849</f>
        <v>0b000000000000100</v>
      </c>
      <c r="K852" s="319"/>
      <c r="L852" s="319"/>
      <c r="M852" s="319"/>
      <c r="N852" s="12"/>
      <c r="O852" s="319" t="str">
        <f>"0b"&amp;DEC2BIN(((AF849+AE849*2+AD849*4+AC849*8+AB849*16+AA849*32+Z849*64+Y849*128+X849*256+W849*512+V849*1024+U849*2048+T849*4096+S849*2^13+R849*2^14)/512),6)&amp;DEC2BIN(MOD((AF849+AE849*2+AD849*4+AC849*8+AB849*16+AA849*32+Z849*64+Y849*128+X849*256+W849*512+V849*1024+U849*2048+T849*4096+S849*2^13+R849*2^14),512),9)</f>
        <v>0b000000110001001</v>
      </c>
      <c r="P852" s="319"/>
      <c r="Q852" s="319"/>
      <c r="R852" s="319"/>
      <c r="S852" s="12"/>
      <c r="T852" s="13">
        <v>0</v>
      </c>
      <c r="U852" s="13">
        <f>AH849</f>
        <v>0</v>
      </c>
      <c r="V852" s="5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6"/>
    </row>
    <row r="853" spans="1:35" x14ac:dyDescent="0.25">
      <c r="A853" s="3"/>
      <c r="B853" s="42"/>
      <c r="C853" s="42"/>
      <c r="D853" s="42"/>
      <c r="E853" s="15"/>
      <c r="F853" s="43"/>
      <c r="G853" s="43"/>
      <c r="H853" s="43"/>
      <c r="I853" s="15"/>
      <c r="J853" s="42"/>
      <c r="K853" s="42"/>
      <c r="L853" s="42"/>
      <c r="M853" s="42"/>
      <c r="N853" s="15"/>
      <c r="O853" s="42"/>
      <c r="P853" s="42"/>
      <c r="Q853" s="42"/>
      <c r="R853" s="42"/>
      <c r="S853" s="15"/>
      <c r="T853" s="13"/>
      <c r="U853" s="15"/>
      <c r="V853" s="5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6"/>
    </row>
    <row r="854" spans="1:35" x14ac:dyDescent="0.25">
      <c r="A854" s="3"/>
      <c r="B854" s="42"/>
      <c r="C854" s="42"/>
      <c r="D854" s="42"/>
      <c r="E854" s="15"/>
      <c r="F854" s="43"/>
      <c r="G854" s="43"/>
      <c r="H854" s="43"/>
      <c r="I854" s="15"/>
      <c r="J854" s="42"/>
      <c r="K854" s="42"/>
      <c r="L854" s="42"/>
      <c r="M854" s="42"/>
      <c r="N854" s="15"/>
      <c r="O854" s="42"/>
      <c r="P854" s="42"/>
      <c r="Q854" s="42"/>
      <c r="R854" s="42"/>
      <c r="S854" s="15"/>
      <c r="T854" s="13"/>
      <c r="U854" s="15"/>
      <c r="V854" s="5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6"/>
    </row>
    <row r="855" spans="1:35" x14ac:dyDescent="0.25">
      <c r="A855" s="3"/>
      <c r="B855" s="5"/>
      <c r="C855" s="5"/>
      <c r="D855" s="5"/>
      <c r="E855" s="5"/>
      <c r="F855" s="17"/>
      <c r="G855" s="17"/>
      <c r="H855" s="17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6"/>
    </row>
    <row r="856" spans="1:35" x14ac:dyDescent="0.25">
      <c r="A856" s="3"/>
      <c r="B856" s="5" t="s">
        <v>47</v>
      </c>
      <c r="C856" s="18"/>
      <c r="D856" s="18"/>
      <c r="E856" s="18"/>
      <c r="F856" s="5"/>
      <c r="G856" s="5"/>
      <c r="H856" s="5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18"/>
      <c r="AI856" s="6"/>
    </row>
    <row r="857" spans="1:35" ht="15" customHeight="1" x14ac:dyDescent="0.25">
      <c r="A857" s="3"/>
      <c r="B857" s="42" t="str">
        <f>"0x"&amp;DEC2HEX(Sheet3!$I$4,8)</f>
        <v>0x00400320</v>
      </c>
      <c r="C857" s="42"/>
      <c r="D857" s="42"/>
      <c r="E857" s="16"/>
      <c r="F857" s="322" t="str">
        <f>F852&amp;BIN2HEX(MID(J852,3,8),2)&amp;BIN2HEX(RIGHT(J852,7)&amp;MID(O852,3,1),2)&amp;BIN2HEX(MID(O852,4,8),2)&amp;BIN2HEX(RIGHT(O852,6)&amp;T852&amp;U852,2)</f>
        <v>0x0000000000080624</v>
      </c>
      <c r="G857" s="322"/>
      <c r="H857" s="322"/>
      <c r="I857" s="322"/>
      <c r="J857" s="5"/>
      <c r="K857" s="5"/>
      <c r="L857" s="5"/>
      <c r="M857" s="5"/>
      <c r="N857" s="5"/>
      <c r="O857" s="5"/>
      <c r="P857" s="16"/>
      <c r="Q857" s="16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5"/>
      <c r="AH857" s="5"/>
      <c r="AI857" s="6"/>
    </row>
    <row r="858" spans="1:35" x14ac:dyDescent="0.25">
      <c r="A858" s="3"/>
      <c r="B858" s="37"/>
      <c r="C858" s="37"/>
      <c r="D858" s="37"/>
      <c r="E858" s="5"/>
      <c r="F858" s="38"/>
      <c r="G858" s="38"/>
      <c r="H858" s="38"/>
      <c r="I858" s="38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6"/>
    </row>
    <row r="859" spans="1:35" x14ac:dyDescent="0.25">
      <c r="A859" s="3"/>
      <c r="B859" s="37"/>
      <c r="C859" s="37"/>
      <c r="D859" s="37"/>
      <c r="E859" s="5"/>
      <c r="F859" s="38"/>
      <c r="G859" s="38"/>
      <c r="H859" s="38"/>
      <c r="I859" s="38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6"/>
    </row>
    <row r="860" spans="1:35" x14ac:dyDescent="0.25">
      <c r="A860" s="20"/>
      <c r="B860" s="21"/>
      <c r="C860" s="21"/>
      <c r="D860" s="21"/>
      <c r="E860" s="21"/>
      <c r="F860" s="21"/>
      <c r="G860" s="21"/>
      <c r="H860" s="21"/>
      <c r="I860" s="21"/>
      <c r="J860" s="21"/>
      <c r="K860" s="21"/>
      <c r="L860" s="21"/>
      <c r="M860" s="21"/>
      <c r="N860" s="21"/>
      <c r="O860" s="22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  <c r="AF860" s="21"/>
      <c r="AG860" s="21"/>
      <c r="AH860" s="21"/>
      <c r="AI860" s="23"/>
    </row>
    <row r="861" spans="1:35" x14ac:dyDescent="0.25">
      <c r="A861" s="24"/>
      <c r="B861" s="28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  <c r="AD861" s="25"/>
      <c r="AE861" s="25"/>
      <c r="AF861" s="25"/>
      <c r="AG861" s="25"/>
      <c r="AH861" s="25"/>
      <c r="AI861" s="26"/>
    </row>
    <row r="862" spans="1:35" x14ac:dyDescent="0.25">
      <c r="A862" s="3"/>
      <c r="B862" s="4" t="s">
        <v>171</v>
      </c>
      <c r="C862" s="5"/>
      <c r="D862" s="5"/>
      <c r="E862" s="5"/>
      <c r="F862" s="5"/>
      <c r="G862" s="5"/>
      <c r="H862" s="5"/>
      <c r="I862" s="5" t="str">
        <f>"0x"&amp;BIN2HEX(CONCATENATE(C867,D867,E867,F867,G867,H867,I867,J867),2)&amp;BIN2HEX(CONCATENATE(K867,L867,M867,N867,O867,P867,Q867,R867),2)&amp;BIN2HEX(CONCATENATE(S867,T867,U867,V867,W867,X867,Y867,Z867),2)&amp;BIN2HEX(CONCATENATE(AA867,AB867,AC867,AD867,AE867,AF867,AG867,AH867),2)&amp;"_"&amp;BIN2HEX(CONCATENATE(C871,D871,E871,F871,G871,H871,I871,J871),2)&amp;BIN2HEX(CONCATENATE(K871,L871,M871,N871,O871,P871,Q871,R871),2)&amp;BIN2HEX(CONCATENATE(S871,T871,U871,V871,W871,X871,Y871,Z871),2)&amp;BIN2HEX(CONCATENATE(AA871,AB871,AC871,AD871,AE871,AF871,AG871,AH871),2)</f>
        <v>0x00000000_00080628</v>
      </c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6"/>
    </row>
    <row r="863" spans="1:35" ht="15.75" thickBot="1" x14ac:dyDescent="0.3">
      <c r="A863" s="3"/>
      <c r="B863" s="5"/>
      <c r="C863" s="7">
        <v>0</v>
      </c>
      <c r="D863" s="7">
        <v>1</v>
      </c>
      <c r="E863" s="7">
        <v>2</v>
      </c>
      <c r="F863" s="7">
        <v>3</v>
      </c>
      <c r="G863" s="7">
        <v>4</v>
      </c>
      <c r="H863" s="7">
        <v>5</v>
      </c>
      <c r="I863" s="7">
        <v>6</v>
      </c>
      <c r="J863" s="7">
        <v>7</v>
      </c>
      <c r="K863" s="7">
        <v>8</v>
      </c>
      <c r="L863" s="7">
        <v>9</v>
      </c>
      <c r="M863" s="7">
        <v>10</v>
      </c>
      <c r="N863" s="7">
        <v>11</v>
      </c>
      <c r="O863" s="7">
        <v>12</v>
      </c>
      <c r="P863" s="7">
        <v>13</v>
      </c>
      <c r="Q863" s="7">
        <v>14</v>
      </c>
      <c r="R863" s="7">
        <v>15</v>
      </c>
      <c r="S863" s="7">
        <v>16</v>
      </c>
      <c r="T863" s="7">
        <v>17</v>
      </c>
      <c r="U863" s="7">
        <v>18</v>
      </c>
      <c r="V863" s="7">
        <v>19</v>
      </c>
      <c r="W863" s="7">
        <v>20</v>
      </c>
      <c r="X863" s="7">
        <v>21</v>
      </c>
      <c r="Y863" s="7">
        <v>22</v>
      </c>
      <c r="Z863" s="7">
        <v>23</v>
      </c>
      <c r="AA863" s="7">
        <v>24</v>
      </c>
      <c r="AB863" s="7">
        <v>25</v>
      </c>
      <c r="AC863" s="7">
        <v>26</v>
      </c>
      <c r="AD863" s="7">
        <v>27</v>
      </c>
      <c r="AE863" s="7">
        <v>28</v>
      </c>
      <c r="AF863" s="7">
        <v>29</v>
      </c>
      <c r="AG863" s="7">
        <v>30</v>
      </c>
      <c r="AH863" s="7">
        <v>31</v>
      </c>
      <c r="AI863" s="6"/>
    </row>
    <row r="864" spans="1:35" ht="15" customHeight="1" x14ac:dyDescent="0.25">
      <c r="A864" s="3"/>
      <c r="B864" s="5" t="s">
        <v>31</v>
      </c>
      <c r="C864" s="328" t="s">
        <v>161</v>
      </c>
      <c r="D864" s="330" t="s">
        <v>63</v>
      </c>
      <c r="E864" s="331"/>
      <c r="F864" s="331"/>
      <c r="G864" s="331"/>
      <c r="H864" s="331"/>
      <c r="I864" s="331"/>
      <c r="J864" s="332"/>
      <c r="K864" s="336">
        <v>0</v>
      </c>
      <c r="L864" s="337"/>
      <c r="M864" s="337"/>
      <c r="N864" s="337"/>
      <c r="O864" s="337"/>
      <c r="P864" s="337"/>
      <c r="Q864" s="337"/>
      <c r="R864" s="337"/>
      <c r="S864" s="337"/>
      <c r="T864" s="337"/>
      <c r="U864" s="337"/>
      <c r="V864" s="337"/>
      <c r="W864" s="337"/>
      <c r="X864" s="337"/>
      <c r="Y864" s="337"/>
      <c r="Z864" s="337"/>
      <c r="AA864" s="337"/>
      <c r="AB864" s="337"/>
      <c r="AC864" s="337"/>
      <c r="AD864" s="337"/>
      <c r="AE864" s="337"/>
      <c r="AF864" s="337"/>
      <c r="AG864" s="337"/>
      <c r="AH864" s="338"/>
      <c r="AI864" s="6"/>
    </row>
    <row r="865" spans="1:35" x14ac:dyDescent="0.25">
      <c r="A865" s="3"/>
      <c r="B865" s="5" t="s">
        <v>32</v>
      </c>
      <c r="C865" s="329"/>
      <c r="D865" s="333"/>
      <c r="E865" s="334"/>
      <c r="F865" s="334"/>
      <c r="G865" s="334"/>
      <c r="H865" s="334"/>
      <c r="I865" s="334"/>
      <c r="J865" s="335"/>
      <c r="K865" s="339"/>
      <c r="L865" s="340"/>
      <c r="M865" s="340"/>
      <c r="N865" s="340"/>
      <c r="O865" s="340"/>
      <c r="P865" s="340"/>
      <c r="Q865" s="340"/>
      <c r="R865" s="340"/>
      <c r="S865" s="340"/>
      <c r="T865" s="340"/>
      <c r="U865" s="340"/>
      <c r="V865" s="340"/>
      <c r="W865" s="340"/>
      <c r="X865" s="340"/>
      <c r="Y865" s="340"/>
      <c r="Z865" s="340"/>
      <c r="AA865" s="340"/>
      <c r="AB865" s="340"/>
      <c r="AC865" s="340"/>
      <c r="AD865" s="340"/>
      <c r="AE865" s="340"/>
      <c r="AF865" s="340"/>
      <c r="AG865" s="340"/>
      <c r="AH865" s="341"/>
      <c r="AI865" s="6"/>
    </row>
    <row r="866" spans="1:35" x14ac:dyDescent="0.25">
      <c r="A866" s="3"/>
      <c r="B866" s="5" t="s">
        <v>11</v>
      </c>
      <c r="C866" s="56">
        <v>0</v>
      </c>
      <c r="D866" s="57">
        <v>0</v>
      </c>
      <c r="E866" s="57">
        <v>0</v>
      </c>
      <c r="F866" s="57">
        <v>0</v>
      </c>
      <c r="G866" s="57">
        <v>0</v>
      </c>
      <c r="H866" s="57">
        <v>0</v>
      </c>
      <c r="I866" s="57">
        <v>0</v>
      </c>
      <c r="J866" s="57">
        <v>0</v>
      </c>
      <c r="K866" s="57">
        <v>0</v>
      </c>
      <c r="L866" s="57">
        <v>0</v>
      </c>
      <c r="M866" s="57">
        <v>0</v>
      </c>
      <c r="N866" s="57">
        <v>0</v>
      </c>
      <c r="O866" s="57">
        <v>0</v>
      </c>
      <c r="P866" s="57">
        <v>0</v>
      </c>
      <c r="Q866" s="57">
        <v>0</v>
      </c>
      <c r="R866" s="57">
        <v>0</v>
      </c>
      <c r="S866" s="57">
        <v>0</v>
      </c>
      <c r="T866" s="57">
        <v>0</v>
      </c>
      <c r="U866" s="57">
        <v>0</v>
      </c>
      <c r="V866" s="57">
        <v>0</v>
      </c>
      <c r="W866" s="57">
        <v>0</v>
      </c>
      <c r="X866" s="57">
        <v>0</v>
      </c>
      <c r="Y866" s="57">
        <v>0</v>
      </c>
      <c r="Z866" s="57">
        <v>0</v>
      </c>
      <c r="AA866" s="57">
        <v>0</v>
      </c>
      <c r="AB866" s="57">
        <v>0</v>
      </c>
      <c r="AC866" s="57">
        <v>0</v>
      </c>
      <c r="AD866" s="57">
        <v>0</v>
      </c>
      <c r="AE866" s="57">
        <v>0</v>
      </c>
      <c r="AF866" s="57">
        <v>0</v>
      </c>
      <c r="AG866" s="57">
        <v>0</v>
      </c>
      <c r="AH866" s="58">
        <v>0</v>
      </c>
      <c r="AI866" s="6"/>
    </row>
    <row r="867" spans="1:35" ht="15.75" thickBot="1" x14ac:dyDescent="0.3">
      <c r="A867" s="3"/>
      <c r="B867" s="5" t="s">
        <v>12</v>
      </c>
      <c r="C867" s="145">
        <v>0</v>
      </c>
      <c r="D867" s="88">
        <v>0</v>
      </c>
      <c r="E867" s="88">
        <v>0</v>
      </c>
      <c r="F867" s="88">
        <v>0</v>
      </c>
      <c r="G867" s="88">
        <v>0</v>
      </c>
      <c r="H867" s="88">
        <v>0</v>
      </c>
      <c r="I867" s="88">
        <v>0</v>
      </c>
      <c r="J867" s="88">
        <v>0</v>
      </c>
      <c r="K867" s="62">
        <v>0</v>
      </c>
      <c r="L867" s="62">
        <v>0</v>
      </c>
      <c r="M867" s="62">
        <v>0</v>
      </c>
      <c r="N867" s="62">
        <v>0</v>
      </c>
      <c r="O867" s="62">
        <v>0</v>
      </c>
      <c r="P867" s="62">
        <v>0</v>
      </c>
      <c r="Q867" s="62">
        <v>0</v>
      </c>
      <c r="R867" s="62">
        <v>0</v>
      </c>
      <c r="S867" s="62">
        <v>0</v>
      </c>
      <c r="T867" s="62">
        <v>0</v>
      </c>
      <c r="U867" s="62">
        <v>0</v>
      </c>
      <c r="V867" s="62">
        <v>0</v>
      </c>
      <c r="W867" s="62">
        <v>0</v>
      </c>
      <c r="X867" s="62">
        <v>0</v>
      </c>
      <c r="Y867" s="62">
        <v>0</v>
      </c>
      <c r="Z867" s="62">
        <v>0</v>
      </c>
      <c r="AA867" s="62">
        <v>0</v>
      </c>
      <c r="AB867" s="62">
        <v>0</v>
      </c>
      <c r="AC867" s="62">
        <v>0</v>
      </c>
      <c r="AD867" s="62">
        <v>0</v>
      </c>
      <c r="AE867" s="62">
        <v>0</v>
      </c>
      <c r="AF867" s="62">
        <v>0</v>
      </c>
      <c r="AG867" s="62">
        <v>0</v>
      </c>
      <c r="AH867" s="146">
        <v>0</v>
      </c>
      <c r="AI867" s="6"/>
    </row>
    <row r="868" spans="1:35" x14ac:dyDescent="0.25">
      <c r="A868" s="3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6"/>
    </row>
    <row r="869" spans="1:35" ht="15.75" thickBot="1" x14ac:dyDescent="0.3">
      <c r="A869" s="3"/>
      <c r="B869" s="5"/>
      <c r="C869" s="7">
        <v>32</v>
      </c>
      <c r="D869" s="7">
        <v>33</v>
      </c>
      <c r="E869" s="7">
        <v>34</v>
      </c>
      <c r="F869" s="7">
        <v>35</v>
      </c>
      <c r="G869" s="7">
        <v>36</v>
      </c>
      <c r="H869" s="7">
        <v>37</v>
      </c>
      <c r="I869" s="7">
        <v>38</v>
      </c>
      <c r="J869" s="7">
        <v>39</v>
      </c>
      <c r="K869" s="7">
        <v>40</v>
      </c>
      <c r="L869" s="7">
        <v>41</v>
      </c>
      <c r="M869" s="7">
        <v>42</v>
      </c>
      <c r="N869" s="7">
        <v>43</v>
      </c>
      <c r="O869" s="7">
        <v>44</v>
      </c>
      <c r="P869" s="7">
        <v>45</v>
      </c>
      <c r="Q869" s="7">
        <v>46</v>
      </c>
      <c r="R869" s="7">
        <v>47</v>
      </c>
      <c r="S869" s="7">
        <v>48</v>
      </c>
      <c r="T869" s="7">
        <v>49</v>
      </c>
      <c r="U869" s="7">
        <v>50</v>
      </c>
      <c r="V869" s="7">
        <v>51</v>
      </c>
      <c r="W869" s="7">
        <v>52</v>
      </c>
      <c r="X869" s="7">
        <v>53</v>
      </c>
      <c r="Y869" s="7">
        <v>54</v>
      </c>
      <c r="Z869" s="7">
        <v>55</v>
      </c>
      <c r="AA869" s="7">
        <v>56</v>
      </c>
      <c r="AB869" s="7">
        <v>57</v>
      </c>
      <c r="AC869" s="7">
        <v>58</v>
      </c>
      <c r="AD869" s="7">
        <v>59</v>
      </c>
      <c r="AE869" s="7">
        <v>60</v>
      </c>
      <c r="AF869" s="7">
        <v>61</v>
      </c>
      <c r="AG869" s="7">
        <v>62</v>
      </c>
      <c r="AH869" s="7">
        <v>63</v>
      </c>
      <c r="AI869" s="6"/>
    </row>
    <row r="870" spans="1:35" ht="15.75" thickBot="1" x14ac:dyDescent="0.3">
      <c r="A870" s="3"/>
      <c r="B870" s="5"/>
      <c r="C870" s="147" t="s">
        <v>13</v>
      </c>
      <c r="D870" s="148" t="s">
        <v>14</v>
      </c>
      <c r="E870" s="148" t="s">
        <v>15</v>
      </c>
      <c r="F870" s="148" t="s">
        <v>16</v>
      </c>
      <c r="G870" s="148" t="s">
        <v>17</v>
      </c>
      <c r="H870" s="148" t="s">
        <v>18</v>
      </c>
      <c r="I870" s="148" t="s">
        <v>19</v>
      </c>
      <c r="J870" s="148" t="s">
        <v>20</v>
      </c>
      <c r="K870" s="148" t="s">
        <v>21</v>
      </c>
      <c r="L870" s="148" t="s">
        <v>22</v>
      </c>
      <c r="M870" s="148" t="s">
        <v>23</v>
      </c>
      <c r="N870" s="148" t="s">
        <v>24</v>
      </c>
      <c r="O870" s="148" t="s">
        <v>25</v>
      </c>
      <c r="P870" s="148" t="s">
        <v>26</v>
      </c>
      <c r="Q870" s="148" t="s">
        <v>27</v>
      </c>
      <c r="R870" s="342" t="s">
        <v>30</v>
      </c>
      <c r="S870" s="343"/>
      <c r="T870" s="343"/>
      <c r="U870" s="343"/>
      <c r="V870" s="343"/>
      <c r="W870" s="343"/>
      <c r="X870" s="343"/>
      <c r="Y870" s="343"/>
      <c r="Z870" s="343"/>
      <c r="AA870" s="343"/>
      <c r="AB870" s="343"/>
      <c r="AC870" s="343"/>
      <c r="AD870" s="343"/>
      <c r="AE870" s="343"/>
      <c r="AF870" s="344"/>
      <c r="AG870" s="67" t="s">
        <v>28</v>
      </c>
      <c r="AH870" s="149" t="s">
        <v>29</v>
      </c>
      <c r="AI870" s="6"/>
    </row>
    <row r="871" spans="1:35" ht="15.75" thickBot="1" x14ac:dyDescent="0.3">
      <c r="A871" s="3"/>
      <c r="B871" s="5"/>
      <c r="C871" s="150">
        <v>0</v>
      </c>
      <c r="D871" s="151">
        <v>0</v>
      </c>
      <c r="E871" s="151">
        <v>0</v>
      </c>
      <c r="F871" s="151">
        <v>0</v>
      </c>
      <c r="G871" s="151">
        <v>0</v>
      </c>
      <c r="H871" s="151">
        <v>0</v>
      </c>
      <c r="I871" s="151">
        <v>0</v>
      </c>
      <c r="J871" s="151">
        <v>0</v>
      </c>
      <c r="K871" s="151">
        <v>0</v>
      </c>
      <c r="L871" s="151">
        <v>0</v>
      </c>
      <c r="M871" s="151">
        <v>0</v>
      </c>
      <c r="N871" s="151">
        <v>0</v>
      </c>
      <c r="O871" s="151">
        <v>1</v>
      </c>
      <c r="P871" s="151">
        <v>0</v>
      </c>
      <c r="Q871" s="151">
        <v>0</v>
      </c>
      <c r="R871" s="151">
        <v>0</v>
      </c>
      <c r="S871" s="151">
        <v>0</v>
      </c>
      <c r="T871" s="151">
        <v>0</v>
      </c>
      <c r="U871" s="151">
        <v>0</v>
      </c>
      <c r="V871" s="151">
        <v>0</v>
      </c>
      <c r="W871" s="151">
        <v>0</v>
      </c>
      <c r="X871" s="151">
        <v>1</v>
      </c>
      <c r="Y871" s="151">
        <v>1</v>
      </c>
      <c r="Z871" s="151">
        <v>0</v>
      </c>
      <c r="AA871" s="151">
        <v>0</v>
      </c>
      <c r="AB871" s="151">
        <v>0</v>
      </c>
      <c r="AC871" s="151">
        <v>1</v>
      </c>
      <c r="AD871" s="151">
        <v>0</v>
      </c>
      <c r="AE871" s="151">
        <v>1</v>
      </c>
      <c r="AF871" s="151">
        <v>0</v>
      </c>
      <c r="AG871" s="151">
        <v>0</v>
      </c>
      <c r="AH871" s="152">
        <v>0</v>
      </c>
      <c r="AI871" s="6"/>
    </row>
    <row r="872" spans="1:35" x14ac:dyDescent="0.25">
      <c r="A872" s="3"/>
      <c r="B872" s="4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6"/>
    </row>
    <row r="873" spans="1:35" x14ac:dyDescent="0.25">
      <c r="A873" s="3"/>
      <c r="B873" s="8" t="s">
        <v>43</v>
      </c>
      <c r="C873" s="9"/>
      <c r="D873" s="9"/>
      <c r="E873" s="9"/>
      <c r="F873" s="44" t="s">
        <v>44</v>
      </c>
      <c r="G873" s="44"/>
      <c r="H873" s="44"/>
      <c r="I873" s="9"/>
      <c r="J873" s="45" t="s">
        <v>45</v>
      </c>
      <c r="K873" s="45"/>
      <c r="L873" s="45"/>
      <c r="M873" s="45"/>
      <c r="N873" s="9"/>
      <c r="O873" s="46" t="s">
        <v>46</v>
      </c>
      <c r="P873" s="46"/>
      <c r="Q873" s="46"/>
      <c r="R873" s="46"/>
      <c r="S873" s="9"/>
      <c r="T873" s="1" t="s">
        <v>49</v>
      </c>
      <c r="U873" s="10" t="s">
        <v>48</v>
      </c>
      <c r="V873" s="5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  <c r="AH873" s="9"/>
      <c r="AI873" s="6"/>
    </row>
    <row r="874" spans="1:35" ht="15" customHeight="1" x14ac:dyDescent="0.25">
      <c r="A874" s="3"/>
      <c r="B874" s="42" t="str">
        <f>"0x"&amp;DEC2HEX(Sheet3!$I$4,8)</f>
        <v>0x00400320</v>
      </c>
      <c r="C874" s="42"/>
      <c r="D874" s="42"/>
      <c r="E874" s="12"/>
      <c r="F874" s="319" t="str">
        <f>"0x"&amp;BIN2HEX(CONCATENATE(C867,D867,E867,F867,G867,H867,I867,J867),2)&amp;BIN2HEX(CONCATENATE(K867,L867,M867,N867,O867,P867,Q867,R867),2)&amp;BIN2HEX(CONCATENATE(S867,T867,U867,V867,W867,X867,Y867,Z867),2)&amp;BIN2HEX(CONCATENATE(AA867,AB867,AC867,AD867,AE867,AF867,AG867,AH867),2)</f>
        <v>0x00000000</v>
      </c>
      <c r="G874" s="319"/>
      <c r="H874" s="319"/>
      <c r="I874" s="12"/>
      <c r="J874" s="319" t="str">
        <f>"0b"&amp;C871&amp;D871&amp;E871&amp;F871&amp;G871&amp;H871&amp;I871&amp;J871&amp;K871&amp;L871&amp;M871&amp;N871&amp;O871&amp;P871&amp;Q871</f>
        <v>0b000000000000100</v>
      </c>
      <c r="K874" s="319"/>
      <c r="L874" s="319"/>
      <c r="M874" s="319"/>
      <c r="N874" s="12"/>
      <c r="O874" s="319" t="str">
        <f>"0b"&amp;DEC2BIN(((AF871+AE871*2+AD871*4+AC871*8+AB871*16+AA871*32+Z871*64+Y871*128+X871*256+W871*512+V871*1024+U871*2048+T871*4096+S871*2^13+R871*2^14)/512),6)&amp;DEC2BIN(MOD((AF871+AE871*2+AD871*4+AC871*8+AB871*16+AA871*32+Z871*64+Y871*128+X871*256+W871*512+V871*1024+U871*2048+T871*4096+S871*2^13+R871*2^14),512),9)</f>
        <v>0b000000110001010</v>
      </c>
      <c r="P874" s="319"/>
      <c r="Q874" s="319"/>
      <c r="R874" s="319"/>
      <c r="S874" s="12"/>
      <c r="T874" s="13">
        <v>0</v>
      </c>
      <c r="U874" s="13">
        <f>AH871</f>
        <v>0</v>
      </c>
      <c r="V874" s="5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6"/>
    </row>
    <row r="875" spans="1:35" x14ac:dyDescent="0.25">
      <c r="A875" s="3"/>
      <c r="B875" s="42"/>
      <c r="C875" s="42"/>
      <c r="D875" s="42"/>
      <c r="E875" s="15"/>
      <c r="F875" s="43"/>
      <c r="G875" s="43"/>
      <c r="H875" s="43"/>
      <c r="I875" s="15"/>
      <c r="J875" s="42"/>
      <c r="K875" s="42"/>
      <c r="L875" s="42"/>
      <c r="M875" s="42"/>
      <c r="N875" s="15"/>
      <c r="O875" s="42"/>
      <c r="P875" s="42"/>
      <c r="Q875" s="42"/>
      <c r="R875" s="42"/>
      <c r="S875" s="15"/>
      <c r="T875" s="13"/>
      <c r="U875" s="15"/>
      <c r="V875" s="5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6"/>
    </row>
    <row r="876" spans="1:35" x14ac:dyDescent="0.25">
      <c r="A876" s="3"/>
      <c r="B876" s="42"/>
      <c r="C876" s="42"/>
      <c r="D876" s="42"/>
      <c r="E876" s="15"/>
      <c r="F876" s="43"/>
      <c r="G876" s="43"/>
      <c r="H876" s="43"/>
      <c r="I876" s="15"/>
      <c r="J876" s="42"/>
      <c r="K876" s="42"/>
      <c r="L876" s="42"/>
      <c r="M876" s="42"/>
      <c r="N876" s="15"/>
      <c r="O876" s="42"/>
      <c r="P876" s="42"/>
      <c r="Q876" s="42"/>
      <c r="R876" s="42"/>
      <c r="S876" s="15"/>
      <c r="T876" s="13"/>
      <c r="U876" s="15"/>
      <c r="V876" s="5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6"/>
    </row>
    <row r="877" spans="1:35" x14ac:dyDescent="0.25">
      <c r="A877" s="3"/>
      <c r="B877" s="5"/>
      <c r="C877" s="5"/>
      <c r="D877" s="5"/>
      <c r="E877" s="5"/>
      <c r="F877" s="17"/>
      <c r="G877" s="17"/>
      <c r="H877" s="17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6"/>
    </row>
    <row r="878" spans="1:35" x14ac:dyDescent="0.25">
      <c r="A878" s="3"/>
      <c r="B878" s="5" t="s">
        <v>47</v>
      </c>
      <c r="C878" s="18"/>
      <c r="D878" s="18"/>
      <c r="E878" s="18"/>
      <c r="F878" s="5"/>
      <c r="G878" s="5"/>
      <c r="H878" s="5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18"/>
      <c r="AI878" s="6"/>
    </row>
    <row r="879" spans="1:35" ht="15" customHeight="1" x14ac:dyDescent="0.25">
      <c r="A879" s="3"/>
      <c r="B879" s="42" t="str">
        <f>"0x"&amp;DEC2HEX(Sheet3!$I$4,8)</f>
        <v>0x00400320</v>
      </c>
      <c r="C879" s="42"/>
      <c r="D879" s="42"/>
      <c r="E879" s="16"/>
      <c r="F879" s="322" t="str">
        <f>F874&amp;BIN2HEX(MID(J874,3,8),2)&amp;BIN2HEX(RIGHT(J874,7)&amp;MID(O874,3,1),2)&amp;BIN2HEX(MID(O874,4,8),2)&amp;BIN2HEX(RIGHT(O874,6)&amp;T874&amp;U874,2)</f>
        <v>0x0000000000080628</v>
      </c>
      <c r="G879" s="322"/>
      <c r="H879" s="322"/>
      <c r="I879" s="322"/>
      <c r="J879" s="5"/>
      <c r="K879" s="5"/>
      <c r="L879" s="5"/>
      <c r="M879" s="5"/>
      <c r="N879" s="5"/>
      <c r="O879" s="5"/>
      <c r="P879" s="16"/>
      <c r="Q879" s="16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5"/>
      <c r="AH879" s="5"/>
      <c r="AI879" s="6"/>
    </row>
    <row r="880" spans="1:35" x14ac:dyDescent="0.25">
      <c r="A880" s="3"/>
      <c r="B880" s="37"/>
      <c r="C880" s="37"/>
      <c r="D880" s="37"/>
      <c r="E880" s="5"/>
      <c r="F880" s="38"/>
      <c r="G880" s="38"/>
      <c r="H880" s="38"/>
      <c r="I880" s="38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6"/>
    </row>
    <row r="881" spans="1:35" x14ac:dyDescent="0.25">
      <c r="A881" s="3"/>
      <c r="B881" s="37"/>
      <c r="C881" s="37"/>
      <c r="D881" s="37"/>
      <c r="E881" s="5"/>
      <c r="F881" s="38"/>
      <c r="G881" s="38"/>
      <c r="H881" s="38"/>
      <c r="I881" s="38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6"/>
    </row>
    <row r="882" spans="1:35" x14ac:dyDescent="0.25">
      <c r="A882" s="20"/>
      <c r="B882" s="21"/>
      <c r="C882" s="21"/>
      <c r="D882" s="21"/>
      <c r="E882" s="21"/>
      <c r="F882" s="21"/>
      <c r="G882" s="21"/>
      <c r="H882" s="21"/>
      <c r="I882" s="21"/>
      <c r="J882" s="21"/>
      <c r="K882" s="21"/>
      <c r="L882" s="21"/>
      <c r="M882" s="21"/>
      <c r="N882" s="21"/>
      <c r="O882" s="22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1"/>
      <c r="AI882" s="23"/>
    </row>
    <row r="883" spans="1:35" x14ac:dyDescent="0.25">
      <c r="A883" s="24"/>
      <c r="B883" s="28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  <c r="AD883" s="25"/>
      <c r="AE883" s="25"/>
      <c r="AF883" s="25"/>
      <c r="AG883" s="25"/>
      <c r="AH883" s="25"/>
      <c r="AI883" s="26"/>
    </row>
    <row r="884" spans="1:35" x14ac:dyDescent="0.25">
      <c r="A884" s="3"/>
      <c r="B884" s="4" t="s">
        <v>172</v>
      </c>
      <c r="C884" s="5"/>
      <c r="D884" s="5"/>
      <c r="E884" s="5"/>
      <c r="F884" s="5"/>
      <c r="G884" s="5"/>
      <c r="H884" s="5"/>
      <c r="I884" s="5" t="str">
        <f>"0x"&amp;BIN2HEX(CONCATENATE(C889,D889,E889,F889,G889,H889,I889,J889),2)&amp;BIN2HEX(CONCATENATE(K889,L889,M889,N889,O889,P889,Q889,R889),2)&amp;BIN2HEX(CONCATENATE(S889,T889,U889,V889,W889,X889,Y889,Z889),2)&amp;BIN2HEX(CONCATENATE(AA889,AB889,AC889,AD889,AE889,AF889,AG889,AH889),2)&amp;"_"&amp;BIN2HEX(CONCATENATE(C893,D893,E893,F893,G893,H893,I893,J893),2)&amp;BIN2HEX(CONCATENATE(K893,L893,M893,N893,O893,P893,Q893,R893),2)&amp;BIN2HEX(CONCATENATE(S893,T893,U893,V893,W893,X893,Y893,Z893),2)&amp;BIN2HEX(CONCATENATE(AA893,AB893,AC893,AD893,AE893,AF893,AG893,AH893),2)</f>
        <v>0x00000000_0008062C</v>
      </c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6"/>
    </row>
    <row r="885" spans="1:35" ht="15.75" thickBot="1" x14ac:dyDescent="0.3">
      <c r="A885" s="3"/>
      <c r="B885" s="5"/>
      <c r="C885" s="7">
        <v>0</v>
      </c>
      <c r="D885" s="7">
        <v>1</v>
      </c>
      <c r="E885" s="7">
        <v>2</v>
      </c>
      <c r="F885" s="7">
        <v>3</v>
      </c>
      <c r="G885" s="7">
        <v>4</v>
      </c>
      <c r="H885" s="7">
        <v>5</v>
      </c>
      <c r="I885" s="7">
        <v>6</v>
      </c>
      <c r="J885" s="7">
        <v>7</v>
      </c>
      <c r="K885" s="7">
        <v>8</v>
      </c>
      <c r="L885" s="7">
        <v>9</v>
      </c>
      <c r="M885" s="7">
        <v>10</v>
      </c>
      <c r="N885" s="7">
        <v>11</v>
      </c>
      <c r="O885" s="7">
        <v>12</v>
      </c>
      <c r="P885" s="7">
        <v>13</v>
      </c>
      <c r="Q885" s="7">
        <v>14</v>
      </c>
      <c r="R885" s="7">
        <v>15</v>
      </c>
      <c r="S885" s="7">
        <v>16</v>
      </c>
      <c r="T885" s="7">
        <v>17</v>
      </c>
      <c r="U885" s="7">
        <v>18</v>
      </c>
      <c r="V885" s="7">
        <v>19</v>
      </c>
      <c r="W885" s="7">
        <v>20</v>
      </c>
      <c r="X885" s="7">
        <v>21</v>
      </c>
      <c r="Y885" s="7">
        <v>22</v>
      </c>
      <c r="Z885" s="7">
        <v>23</v>
      </c>
      <c r="AA885" s="7">
        <v>24</v>
      </c>
      <c r="AB885" s="7">
        <v>25</v>
      </c>
      <c r="AC885" s="7">
        <v>26</v>
      </c>
      <c r="AD885" s="7">
        <v>27</v>
      </c>
      <c r="AE885" s="7">
        <v>28</v>
      </c>
      <c r="AF885" s="7">
        <v>29</v>
      </c>
      <c r="AG885" s="7">
        <v>30</v>
      </c>
      <c r="AH885" s="7">
        <v>31</v>
      </c>
      <c r="AI885" s="6"/>
    </row>
    <row r="886" spans="1:35" ht="15" customHeight="1" x14ac:dyDescent="0.25">
      <c r="A886" s="3"/>
      <c r="B886" s="5" t="s">
        <v>31</v>
      </c>
      <c r="C886" s="328" t="s">
        <v>161</v>
      </c>
      <c r="D886" s="330" t="s">
        <v>63</v>
      </c>
      <c r="E886" s="331"/>
      <c r="F886" s="331"/>
      <c r="G886" s="331"/>
      <c r="H886" s="331"/>
      <c r="I886" s="331"/>
      <c r="J886" s="332"/>
      <c r="K886" s="336">
        <v>0</v>
      </c>
      <c r="L886" s="337"/>
      <c r="M886" s="337"/>
      <c r="N886" s="337"/>
      <c r="O886" s="337"/>
      <c r="P886" s="337"/>
      <c r="Q886" s="337"/>
      <c r="R886" s="337"/>
      <c r="S886" s="337"/>
      <c r="T886" s="337"/>
      <c r="U886" s="337"/>
      <c r="V886" s="337"/>
      <c r="W886" s="337"/>
      <c r="X886" s="337"/>
      <c r="Y886" s="337"/>
      <c r="Z886" s="337"/>
      <c r="AA886" s="337"/>
      <c r="AB886" s="337"/>
      <c r="AC886" s="337"/>
      <c r="AD886" s="337"/>
      <c r="AE886" s="337"/>
      <c r="AF886" s="337"/>
      <c r="AG886" s="337"/>
      <c r="AH886" s="338"/>
      <c r="AI886" s="6"/>
    </row>
    <row r="887" spans="1:35" x14ac:dyDescent="0.25">
      <c r="A887" s="3"/>
      <c r="B887" s="5" t="s">
        <v>32</v>
      </c>
      <c r="C887" s="329"/>
      <c r="D887" s="333"/>
      <c r="E887" s="334"/>
      <c r="F887" s="334"/>
      <c r="G887" s="334"/>
      <c r="H887" s="334"/>
      <c r="I887" s="334"/>
      <c r="J887" s="335"/>
      <c r="K887" s="339"/>
      <c r="L887" s="340"/>
      <c r="M887" s="340"/>
      <c r="N887" s="340"/>
      <c r="O887" s="340"/>
      <c r="P887" s="340"/>
      <c r="Q887" s="340"/>
      <c r="R887" s="340"/>
      <c r="S887" s="340"/>
      <c r="T887" s="340"/>
      <c r="U887" s="340"/>
      <c r="V887" s="340"/>
      <c r="W887" s="340"/>
      <c r="X887" s="340"/>
      <c r="Y887" s="340"/>
      <c r="Z887" s="340"/>
      <c r="AA887" s="340"/>
      <c r="AB887" s="340"/>
      <c r="AC887" s="340"/>
      <c r="AD887" s="340"/>
      <c r="AE887" s="340"/>
      <c r="AF887" s="340"/>
      <c r="AG887" s="340"/>
      <c r="AH887" s="341"/>
      <c r="AI887" s="6"/>
    </row>
    <row r="888" spans="1:35" x14ac:dyDescent="0.25">
      <c r="A888" s="3"/>
      <c r="B888" s="5" t="s">
        <v>11</v>
      </c>
      <c r="C888" s="56">
        <v>0</v>
      </c>
      <c r="D888" s="57">
        <v>0</v>
      </c>
      <c r="E888" s="57">
        <v>0</v>
      </c>
      <c r="F888" s="57">
        <v>0</v>
      </c>
      <c r="G888" s="57">
        <v>0</v>
      </c>
      <c r="H888" s="57">
        <v>0</v>
      </c>
      <c r="I888" s="57">
        <v>0</v>
      </c>
      <c r="J888" s="57">
        <v>0</v>
      </c>
      <c r="K888" s="57">
        <v>0</v>
      </c>
      <c r="L888" s="57">
        <v>0</v>
      </c>
      <c r="M888" s="57">
        <v>0</v>
      </c>
      <c r="N888" s="57">
        <v>0</v>
      </c>
      <c r="O888" s="57">
        <v>0</v>
      </c>
      <c r="P888" s="57">
        <v>0</v>
      </c>
      <c r="Q888" s="57">
        <v>0</v>
      </c>
      <c r="R888" s="57">
        <v>0</v>
      </c>
      <c r="S888" s="57">
        <v>0</v>
      </c>
      <c r="T888" s="57">
        <v>0</v>
      </c>
      <c r="U888" s="57">
        <v>0</v>
      </c>
      <c r="V888" s="57">
        <v>0</v>
      </c>
      <c r="W888" s="57">
        <v>0</v>
      </c>
      <c r="X888" s="57">
        <v>0</v>
      </c>
      <c r="Y888" s="57">
        <v>0</v>
      </c>
      <c r="Z888" s="57">
        <v>0</v>
      </c>
      <c r="AA888" s="57">
        <v>0</v>
      </c>
      <c r="AB888" s="57">
        <v>0</v>
      </c>
      <c r="AC888" s="57">
        <v>0</v>
      </c>
      <c r="AD888" s="57">
        <v>0</v>
      </c>
      <c r="AE888" s="57">
        <v>0</v>
      </c>
      <c r="AF888" s="57">
        <v>0</v>
      </c>
      <c r="AG888" s="57">
        <v>0</v>
      </c>
      <c r="AH888" s="58">
        <v>0</v>
      </c>
      <c r="AI888" s="6"/>
    </row>
    <row r="889" spans="1:35" ht="15.75" thickBot="1" x14ac:dyDescent="0.3">
      <c r="A889" s="3"/>
      <c r="B889" s="5" t="s">
        <v>12</v>
      </c>
      <c r="C889" s="145">
        <v>0</v>
      </c>
      <c r="D889" s="88">
        <v>0</v>
      </c>
      <c r="E889" s="88">
        <v>0</v>
      </c>
      <c r="F889" s="88">
        <v>0</v>
      </c>
      <c r="G889" s="88">
        <v>0</v>
      </c>
      <c r="H889" s="88">
        <v>0</v>
      </c>
      <c r="I889" s="88">
        <v>0</v>
      </c>
      <c r="J889" s="88">
        <v>0</v>
      </c>
      <c r="K889" s="62">
        <v>0</v>
      </c>
      <c r="L889" s="62">
        <v>0</v>
      </c>
      <c r="M889" s="62">
        <v>0</v>
      </c>
      <c r="N889" s="62">
        <v>0</v>
      </c>
      <c r="O889" s="62">
        <v>0</v>
      </c>
      <c r="P889" s="62">
        <v>0</v>
      </c>
      <c r="Q889" s="62">
        <v>0</v>
      </c>
      <c r="R889" s="62">
        <v>0</v>
      </c>
      <c r="S889" s="62">
        <v>0</v>
      </c>
      <c r="T889" s="62">
        <v>0</v>
      </c>
      <c r="U889" s="62">
        <v>0</v>
      </c>
      <c r="V889" s="62">
        <v>0</v>
      </c>
      <c r="W889" s="62">
        <v>0</v>
      </c>
      <c r="X889" s="62">
        <v>0</v>
      </c>
      <c r="Y889" s="62">
        <v>0</v>
      </c>
      <c r="Z889" s="62">
        <v>0</v>
      </c>
      <c r="AA889" s="62">
        <v>0</v>
      </c>
      <c r="AB889" s="62">
        <v>0</v>
      </c>
      <c r="AC889" s="62">
        <v>0</v>
      </c>
      <c r="AD889" s="62">
        <v>0</v>
      </c>
      <c r="AE889" s="62">
        <v>0</v>
      </c>
      <c r="AF889" s="62">
        <v>0</v>
      </c>
      <c r="AG889" s="62">
        <v>0</v>
      </c>
      <c r="AH889" s="146">
        <v>0</v>
      </c>
      <c r="AI889" s="6"/>
    </row>
    <row r="890" spans="1:35" x14ac:dyDescent="0.25">
      <c r="A890" s="3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6"/>
    </row>
    <row r="891" spans="1:35" ht="15.75" thickBot="1" x14ac:dyDescent="0.3">
      <c r="A891" s="3"/>
      <c r="B891" s="5"/>
      <c r="C891" s="7">
        <v>32</v>
      </c>
      <c r="D891" s="7">
        <v>33</v>
      </c>
      <c r="E891" s="7">
        <v>34</v>
      </c>
      <c r="F891" s="7">
        <v>35</v>
      </c>
      <c r="G891" s="7">
        <v>36</v>
      </c>
      <c r="H891" s="7">
        <v>37</v>
      </c>
      <c r="I891" s="7">
        <v>38</v>
      </c>
      <c r="J891" s="7">
        <v>39</v>
      </c>
      <c r="K891" s="7">
        <v>40</v>
      </c>
      <c r="L891" s="7">
        <v>41</v>
      </c>
      <c r="M891" s="7">
        <v>42</v>
      </c>
      <c r="N891" s="7">
        <v>43</v>
      </c>
      <c r="O891" s="7">
        <v>44</v>
      </c>
      <c r="P891" s="7">
        <v>45</v>
      </c>
      <c r="Q891" s="7">
        <v>46</v>
      </c>
      <c r="R891" s="7">
        <v>47</v>
      </c>
      <c r="S891" s="7">
        <v>48</v>
      </c>
      <c r="T891" s="7">
        <v>49</v>
      </c>
      <c r="U891" s="7">
        <v>50</v>
      </c>
      <c r="V891" s="7">
        <v>51</v>
      </c>
      <c r="W891" s="7">
        <v>52</v>
      </c>
      <c r="X891" s="7">
        <v>53</v>
      </c>
      <c r="Y891" s="7">
        <v>54</v>
      </c>
      <c r="Z891" s="7">
        <v>55</v>
      </c>
      <c r="AA891" s="7">
        <v>56</v>
      </c>
      <c r="AB891" s="7">
        <v>57</v>
      </c>
      <c r="AC891" s="7">
        <v>58</v>
      </c>
      <c r="AD891" s="7">
        <v>59</v>
      </c>
      <c r="AE891" s="7">
        <v>60</v>
      </c>
      <c r="AF891" s="7">
        <v>61</v>
      </c>
      <c r="AG891" s="7">
        <v>62</v>
      </c>
      <c r="AH891" s="7">
        <v>63</v>
      </c>
      <c r="AI891" s="6"/>
    </row>
    <row r="892" spans="1:35" ht="15.75" thickBot="1" x14ac:dyDescent="0.3">
      <c r="A892" s="3"/>
      <c r="B892" s="5"/>
      <c r="C892" s="147" t="s">
        <v>13</v>
      </c>
      <c r="D892" s="148" t="s">
        <v>14</v>
      </c>
      <c r="E892" s="148" t="s">
        <v>15</v>
      </c>
      <c r="F892" s="148" t="s">
        <v>16</v>
      </c>
      <c r="G892" s="148" t="s">
        <v>17</v>
      </c>
      <c r="H892" s="148" t="s">
        <v>18</v>
      </c>
      <c r="I892" s="148" t="s">
        <v>19</v>
      </c>
      <c r="J892" s="148" t="s">
        <v>20</v>
      </c>
      <c r="K892" s="148" t="s">
        <v>21</v>
      </c>
      <c r="L892" s="148" t="s">
        <v>22</v>
      </c>
      <c r="M892" s="148" t="s">
        <v>23</v>
      </c>
      <c r="N892" s="148" t="s">
        <v>24</v>
      </c>
      <c r="O892" s="148" t="s">
        <v>25</v>
      </c>
      <c r="P892" s="148" t="s">
        <v>26</v>
      </c>
      <c r="Q892" s="148" t="s">
        <v>27</v>
      </c>
      <c r="R892" s="342" t="s">
        <v>30</v>
      </c>
      <c r="S892" s="343"/>
      <c r="T892" s="343"/>
      <c r="U892" s="343"/>
      <c r="V892" s="343"/>
      <c r="W892" s="343"/>
      <c r="X892" s="343"/>
      <c r="Y892" s="343"/>
      <c r="Z892" s="343"/>
      <c r="AA892" s="343"/>
      <c r="AB892" s="343"/>
      <c r="AC892" s="343"/>
      <c r="AD892" s="343"/>
      <c r="AE892" s="343"/>
      <c r="AF892" s="344"/>
      <c r="AG892" s="67" t="s">
        <v>28</v>
      </c>
      <c r="AH892" s="149" t="s">
        <v>29</v>
      </c>
      <c r="AI892" s="6"/>
    </row>
    <row r="893" spans="1:35" ht="15.75" thickBot="1" x14ac:dyDescent="0.3">
      <c r="A893" s="3"/>
      <c r="B893" s="5"/>
      <c r="C893" s="150">
        <v>0</v>
      </c>
      <c r="D893" s="151">
        <v>0</v>
      </c>
      <c r="E893" s="151">
        <v>0</v>
      </c>
      <c r="F893" s="151">
        <v>0</v>
      </c>
      <c r="G893" s="151">
        <v>0</v>
      </c>
      <c r="H893" s="151">
        <v>0</v>
      </c>
      <c r="I893" s="151">
        <v>0</v>
      </c>
      <c r="J893" s="151">
        <v>0</v>
      </c>
      <c r="K893" s="151">
        <v>0</v>
      </c>
      <c r="L893" s="151">
        <v>0</v>
      </c>
      <c r="M893" s="151">
        <v>0</v>
      </c>
      <c r="N893" s="151">
        <v>0</v>
      </c>
      <c r="O893" s="151">
        <v>1</v>
      </c>
      <c r="P893" s="151">
        <v>0</v>
      </c>
      <c r="Q893" s="151">
        <v>0</v>
      </c>
      <c r="R893" s="151">
        <v>0</v>
      </c>
      <c r="S893" s="151">
        <v>0</v>
      </c>
      <c r="T893" s="151">
        <v>0</v>
      </c>
      <c r="U893" s="151">
        <v>0</v>
      </c>
      <c r="V893" s="151">
        <v>0</v>
      </c>
      <c r="W893" s="151">
        <v>0</v>
      </c>
      <c r="X893" s="151">
        <v>1</v>
      </c>
      <c r="Y893" s="151">
        <v>1</v>
      </c>
      <c r="Z893" s="151">
        <v>0</v>
      </c>
      <c r="AA893" s="151">
        <v>0</v>
      </c>
      <c r="AB893" s="151">
        <v>0</v>
      </c>
      <c r="AC893" s="151">
        <v>1</v>
      </c>
      <c r="AD893" s="151">
        <v>0</v>
      </c>
      <c r="AE893" s="151">
        <v>1</v>
      </c>
      <c r="AF893" s="151">
        <v>1</v>
      </c>
      <c r="AG893" s="151">
        <v>0</v>
      </c>
      <c r="AH893" s="152">
        <v>0</v>
      </c>
      <c r="AI893" s="6"/>
    </row>
    <row r="894" spans="1:35" x14ac:dyDescent="0.25">
      <c r="A894" s="3"/>
      <c r="B894" s="4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6"/>
    </row>
    <row r="895" spans="1:35" x14ac:dyDescent="0.25">
      <c r="A895" s="3"/>
      <c r="B895" s="8" t="s">
        <v>43</v>
      </c>
      <c r="C895" s="9"/>
      <c r="D895" s="9"/>
      <c r="E895" s="9"/>
      <c r="F895" s="44" t="s">
        <v>44</v>
      </c>
      <c r="G895" s="44"/>
      <c r="H895" s="44"/>
      <c r="I895" s="9"/>
      <c r="J895" s="45" t="s">
        <v>45</v>
      </c>
      <c r="K895" s="45"/>
      <c r="L895" s="45"/>
      <c r="M895" s="45"/>
      <c r="N895" s="9"/>
      <c r="O895" s="46" t="s">
        <v>46</v>
      </c>
      <c r="P895" s="46"/>
      <c r="Q895" s="46"/>
      <c r="R895" s="46"/>
      <c r="S895" s="9"/>
      <c r="T895" s="1" t="s">
        <v>49</v>
      </c>
      <c r="U895" s="10" t="s">
        <v>48</v>
      </c>
      <c r="V895" s="5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  <c r="AH895" s="9"/>
      <c r="AI895" s="6"/>
    </row>
    <row r="896" spans="1:35" ht="15" customHeight="1" x14ac:dyDescent="0.25">
      <c r="A896" s="3"/>
      <c r="B896" s="42" t="str">
        <f>"0x"&amp;DEC2HEX(Sheet3!$I$4,8)</f>
        <v>0x00400320</v>
      </c>
      <c r="C896" s="42"/>
      <c r="D896" s="42"/>
      <c r="E896" s="12"/>
      <c r="F896" s="319" t="str">
        <f>"0x"&amp;BIN2HEX(CONCATENATE(C889,D889,E889,F889,G889,H889,I889,J889),2)&amp;BIN2HEX(CONCATENATE(K889,L889,M889,N889,O889,P889,Q889,R889),2)&amp;BIN2HEX(CONCATENATE(S889,T889,U889,V889,W889,X889,Y889,Z889),2)&amp;BIN2HEX(CONCATENATE(AA889,AB889,AC889,AD889,AE889,AF889,AG889,AH889),2)</f>
        <v>0x00000000</v>
      </c>
      <c r="G896" s="319"/>
      <c r="H896" s="319"/>
      <c r="I896" s="12"/>
      <c r="J896" s="319" t="str">
        <f>"0b"&amp;C893&amp;D893&amp;E893&amp;F893&amp;G893&amp;H893&amp;I893&amp;J893&amp;K893&amp;L893&amp;M893&amp;N893&amp;O893&amp;P893&amp;Q893</f>
        <v>0b000000000000100</v>
      </c>
      <c r="K896" s="319"/>
      <c r="L896" s="319"/>
      <c r="M896" s="319"/>
      <c r="N896" s="12"/>
      <c r="O896" s="319" t="str">
        <f>"0b"&amp;DEC2BIN(((AF893+AE893*2+AD893*4+AC893*8+AB893*16+AA893*32+Z893*64+Y893*128+X893*256+W893*512+V893*1024+U893*2048+T893*4096+S893*2^13+R893*2^14)/512),6)&amp;DEC2BIN(MOD((AF893+AE893*2+AD893*4+AC893*8+AB893*16+AA893*32+Z893*64+Y893*128+X893*256+W893*512+V893*1024+U893*2048+T893*4096+S893*2^13+R893*2^14),512),9)</f>
        <v>0b000000110001011</v>
      </c>
      <c r="P896" s="319"/>
      <c r="Q896" s="319"/>
      <c r="R896" s="319"/>
      <c r="S896" s="12"/>
      <c r="T896" s="13">
        <v>0</v>
      </c>
      <c r="U896" s="13">
        <f>AH893</f>
        <v>0</v>
      </c>
      <c r="V896" s="5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6"/>
    </row>
    <row r="897" spans="1:35" x14ac:dyDescent="0.25">
      <c r="A897" s="3"/>
      <c r="B897" s="42"/>
      <c r="C897" s="42"/>
      <c r="D897" s="42"/>
      <c r="E897" s="15"/>
      <c r="F897" s="43"/>
      <c r="G897" s="43"/>
      <c r="H897" s="43"/>
      <c r="I897" s="15"/>
      <c r="J897" s="42"/>
      <c r="K897" s="42"/>
      <c r="L897" s="42"/>
      <c r="M897" s="42"/>
      <c r="N897" s="15"/>
      <c r="O897" s="42"/>
      <c r="P897" s="42"/>
      <c r="Q897" s="42"/>
      <c r="R897" s="42"/>
      <c r="S897" s="15"/>
      <c r="T897" s="13"/>
      <c r="U897" s="15"/>
      <c r="V897" s="5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6"/>
    </row>
    <row r="898" spans="1:35" x14ac:dyDescent="0.25">
      <c r="A898" s="3"/>
      <c r="B898" s="42"/>
      <c r="C898" s="42"/>
      <c r="D898" s="42"/>
      <c r="E898" s="15"/>
      <c r="F898" s="43"/>
      <c r="G898" s="43"/>
      <c r="H898" s="43"/>
      <c r="I898" s="15"/>
      <c r="J898" s="42"/>
      <c r="K898" s="42"/>
      <c r="L898" s="42"/>
      <c r="M898" s="42"/>
      <c r="N898" s="15"/>
      <c r="O898" s="42"/>
      <c r="P898" s="42"/>
      <c r="Q898" s="42"/>
      <c r="R898" s="42"/>
      <c r="S898" s="15"/>
      <c r="T898" s="13"/>
      <c r="U898" s="15"/>
      <c r="V898" s="5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6"/>
    </row>
    <row r="899" spans="1:35" x14ac:dyDescent="0.25">
      <c r="A899" s="3"/>
      <c r="B899" s="5"/>
      <c r="C899" s="5"/>
      <c r="D899" s="5"/>
      <c r="E899" s="5"/>
      <c r="F899" s="17"/>
      <c r="G899" s="17"/>
      <c r="H899" s="17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6"/>
    </row>
    <row r="900" spans="1:35" x14ac:dyDescent="0.25">
      <c r="A900" s="3"/>
      <c r="B900" s="5" t="s">
        <v>47</v>
      </c>
      <c r="C900" s="18"/>
      <c r="D900" s="18"/>
      <c r="E900" s="18"/>
      <c r="F900" s="5"/>
      <c r="G900" s="5"/>
      <c r="H900" s="5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6"/>
    </row>
    <row r="901" spans="1:35" ht="15" customHeight="1" x14ac:dyDescent="0.25">
      <c r="A901" s="3"/>
      <c r="B901" s="42" t="str">
        <f>"0x"&amp;DEC2HEX(Sheet3!$I$4,8)</f>
        <v>0x00400320</v>
      </c>
      <c r="C901" s="42"/>
      <c r="D901" s="42"/>
      <c r="E901" s="16"/>
      <c r="F901" s="322" t="str">
        <f>F896&amp;BIN2HEX(MID(J896,3,8),2)&amp;BIN2HEX(RIGHT(J896,7)&amp;MID(O896,3,1),2)&amp;BIN2HEX(MID(O896,4,8),2)&amp;BIN2HEX(RIGHT(O896,6)&amp;T896&amp;U896,2)</f>
        <v>0x000000000008062C</v>
      </c>
      <c r="G901" s="322"/>
      <c r="H901" s="322"/>
      <c r="I901" s="322"/>
      <c r="J901" s="5"/>
      <c r="K901" s="5"/>
      <c r="L901" s="5"/>
      <c r="M901" s="5"/>
      <c r="N901" s="5"/>
      <c r="O901" s="5"/>
      <c r="P901" s="16"/>
      <c r="Q901" s="16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5"/>
      <c r="AH901" s="5"/>
      <c r="AI901" s="6"/>
    </row>
    <row r="902" spans="1:35" x14ac:dyDescent="0.25">
      <c r="A902" s="3"/>
      <c r="B902" s="37"/>
      <c r="C902" s="37"/>
      <c r="D902" s="37"/>
      <c r="E902" s="5"/>
      <c r="F902" s="38"/>
      <c r="G902" s="38"/>
      <c r="H902" s="38"/>
      <c r="I902" s="38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6"/>
    </row>
    <row r="903" spans="1:35" x14ac:dyDescent="0.25">
      <c r="A903" s="3"/>
      <c r="B903" s="37"/>
      <c r="C903" s="37"/>
      <c r="D903" s="37"/>
      <c r="E903" s="5"/>
      <c r="F903" s="38"/>
      <c r="G903" s="38"/>
      <c r="H903" s="38"/>
      <c r="I903" s="38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6"/>
    </row>
    <row r="904" spans="1:35" x14ac:dyDescent="0.25">
      <c r="A904" s="20"/>
      <c r="B904" s="21"/>
      <c r="C904" s="21"/>
      <c r="D904" s="21"/>
      <c r="E904" s="21"/>
      <c r="F904" s="21"/>
      <c r="G904" s="21"/>
      <c r="H904" s="21"/>
      <c r="I904" s="21"/>
      <c r="J904" s="21"/>
      <c r="K904" s="21"/>
      <c r="L904" s="21"/>
      <c r="M904" s="21"/>
      <c r="N904" s="21"/>
      <c r="O904" s="22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1"/>
      <c r="AI904" s="23"/>
    </row>
    <row r="905" spans="1:35" x14ac:dyDescent="0.25">
      <c r="A905" s="24"/>
      <c r="B905" s="28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6"/>
    </row>
    <row r="906" spans="1:35" x14ac:dyDescent="0.25">
      <c r="A906" s="3"/>
      <c r="B906" s="4" t="s">
        <v>173</v>
      </c>
      <c r="C906" s="5"/>
      <c r="D906" s="5"/>
      <c r="E906" s="5"/>
      <c r="F906" s="5"/>
      <c r="G906" s="5"/>
      <c r="H906" s="5"/>
      <c r="I906" s="5" t="str">
        <f>"0x"&amp;BIN2HEX(CONCATENATE(C911,D911,E911,F911,G911,H911,I911,J911),2)&amp;BIN2HEX(CONCATENATE(K911,L911,M911,N911,O911,P911,Q911,R911),2)&amp;BIN2HEX(CONCATENATE(S911,T911,U911,V911,W911,X911,Y911,Z911),2)&amp;BIN2HEX(CONCATENATE(AA911,AB911,AC911,AD911,AE911,AF911,AG911,AH911),2)&amp;"_"&amp;BIN2HEX(CONCATENATE(C915,D915,E915,F915,G915,H915,I915,J915),2)&amp;BIN2HEX(CONCATENATE(K915,L915,M915,N915,O915,P915,Q915,R915),2)&amp;BIN2HEX(CONCATENATE(S915,T915,U915,V915,W915,X915,Y915,Z915),2)&amp;BIN2HEX(CONCATENATE(AA915,AB915,AC915,AD915,AE915,AF915,AG915,AH915),2)</f>
        <v>0x00000000_00080630</v>
      </c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6"/>
    </row>
    <row r="907" spans="1:35" ht="15.75" thickBot="1" x14ac:dyDescent="0.3">
      <c r="A907" s="3"/>
      <c r="B907" s="5"/>
      <c r="C907" s="7">
        <v>0</v>
      </c>
      <c r="D907" s="7">
        <v>1</v>
      </c>
      <c r="E907" s="7">
        <v>2</v>
      </c>
      <c r="F907" s="7">
        <v>3</v>
      </c>
      <c r="G907" s="7">
        <v>4</v>
      </c>
      <c r="H907" s="7">
        <v>5</v>
      </c>
      <c r="I907" s="7">
        <v>6</v>
      </c>
      <c r="J907" s="7">
        <v>7</v>
      </c>
      <c r="K907" s="7">
        <v>8</v>
      </c>
      <c r="L907" s="7">
        <v>9</v>
      </c>
      <c r="M907" s="7">
        <v>10</v>
      </c>
      <c r="N907" s="7">
        <v>11</v>
      </c>
      <c r="O907" s="7">
        <v>12</v>
      </c>
      <c r="P907" s="7">
        <v>13</v>
      </c>
      <c r="Q907" s="7">
        <v>14</v>
      </c>
      <c r="R907" s="7">
        <v>15</v>
      </c>
      <c r="S907" s="7">
        <v>16</v>
      </c>
      <c r="T907" s="7">
        <v>17</v>
      </c>
      <c r="U907" s="7">
        <v>18</v>
      </c>
      <c r="V907" s="7">
        <v>19</v>
      </c>
      <c r="W907" s="7">
        <v>20</v>
      </c>
      <c r="X907" s="7">
        <v>21</v>
      </c>
      <c r="Y907" s="7">
        <v>22</v>
      </c>
      <c r="Z907" s="7">
        <v>23</v>
      </c>
      <c r="AA907" s="7">
        <v>24</v>
      </c>
      <c r="AB907" s="7">
        <v>25</v>
      </c>
      <c r="AC907" s="7">
        <v>26</v>
      </c>
      <c r="AD907" s="7">
        <v>27</v>
      </c>
      <c r="AE907" s="7">
        <v>28</v>
      </c>
      <c r="AF907" s="7">
        <v>29</v>
      </c>
      <c r="AG907" s="7">
        <v>30</v>
      </c>
      <c r="AH907" s="7">
        <v>31</v>
      </c>
      <c r="AI907" s="6"/>
    </row>
    <row r="908" spans="1:35" ht="15" customHeight="1" x14ac:dyDescent="0.25">
      <c r="A908" s="3"/>
      <c r="B908" s="5" t="s">
        <v>31</v>
      </c>
      <c r="C908" s="328" t="s">
        <v>161</v>
      </c>
      <c r="D908" s="330" t="s">
        <v>63</v>
      </c>
      <c r="E908" s="331"/>
      <c r="F908" s="331"/>
      <c r="G908" s="331"/>
      <c r="H908" s="331"/>
      <c r="I908" s="331"/>
      <c r="J908" s="332"/>
      <c r="K908" s="336">
        <v>0</v>
      </c>
      <c r="L908" s="337"/>
      <c r="M908" s="337"/>
      <c r="N908" s="337"/>
      <c r="O908" s="337"/>
      <c r="P908" s="337"/>
      <c r="Q908" s="337"/>
      <c r="R908" s="337"/>
      <c r="S908" s="337"/>
      <c r="T908" s="337"/>
      <c r="U908" s="337"/>
      <c r="V908" s="337"/>
      <c r="W908" s="337"/>
      <c r="X908" s="337"/>
      <c r="Y908" s="337"/>
      <c r="Z908" s="337"/>
      <c r="AA908" s="337"/>
      <c r="AB908" s="337"/>
      <c r="AC908" s="337"/>
      <c r="AD908" s="337"/>
      <c r="AE908" s="337"/>
      <c r="AF908" s="337"/>
      <c r="AG908" s="337"/>
      <c r="AH908" s="338"/>
      <c r="AI908" s="6"/>
    </row>
    <row r="909" spans="1:35" x14ac:dyDescent="0.25">
      <c r="A909" s="3"/>
      <c r="B909" s="5" t="s">
        <v>32</v>
      </c>
      <c r="C909" s="329"/>
      <c r="D909" s="333"/>
      <c r="E909" s="334"/>
      <c r="F909" s="334"/>
      <c r="G909" s="334"/>
      <c r="H909" s="334"/>
      <c r="I909" s="334"/>
      <c r="J909" s="335"/>
      <c r="K909" s="339"/>
      <c r="L909" s="340"/>
      <c r="M909" s="340"/>
      <c r="N909" s="340"/>
      <c r="O909" s="340"/>
      <c r="P909" s="340"/>
      <c r="Q909" s="340"/>
      <c r="R909" s="340"/>
      <c r="S909" s="340"/>
      <c r="T909" s="340"/>
      <c r="U909" s="340"/>
      <c r="V909" s="340"/>
      <c r="W909" s="340"/>
      <c r="X909" s="340"/>
      <c r="Y909" s="340"/>
      <c r="Z909" s="340"/>
      <c r="AA909" s="340"/>
      <c r="AB909" s="340"/>
      <c r="AC909" s="340"/>
      <c r="AD909" s="340"/>
      <c r="AE909" s="340"/>
      <c r="AF909" s="340"/>
      <c r="AG909" s="340"/>
      <c r="AH909" s="341"/>
      <c r="AI909" s="6"/>
    </row>
    <row r="910" spans="1:35" x14ac:dyDescent="0.25">
      <c r="A910" s="3"/>
      <c r="B910" s="5" t="s">
        <v>11</v>
      </c>
      <c r="C910" s="56">
        <v>0</v>
      </c>
      <c r="D910" s="57">
        <v>0</v>
      </c>
      <c r="E910" s="57">
        <v>0</v>
      </c>
      <c r="F910" s="57">
        <v>0</v>
      </c>
      <c r="G910" s="57">
        <v>0</v>
      </c>
      <c r="H910" s="57">
        <v>0</v>
      </c>
      <c r="I910" s="57">
        <v>0</v>
      </c>
      <c r="J910" s="57">
        <v>0</v>
      </c>
      <c r="K910" s="57">
        <v>0</v>
      </c>
      <c r="L910" s="57">
        <v>0</v>
      </c>
      <c r="M910" s="57">
        <v>0</v>
      </c>
      <c r="N910" s="57">
        <v>0</v>
      </c>
      <c r="O910" s="57">
        <v>0</v>
      </c>
      <c r="P910" s="57">
        <v>0</v>
      </c>
      <c r="Q910" s="57">
        <v>0</v>
      </c>
      <c r="R910" s="57">
        <v>0</v>
      </c>
      <c r="S910" s="57">
        <v>0</v>
      </c>
      <c r="T910" s="57">
        <v>0</v>
      </c>
      <c r="U910" s="57">
        <v>0</v>
      </c>
      <c r="V910" s="57">
        <v>0</v>
      </c>
      <c r="W910" s="57">
        <v>0</v>
      </c>
      <c r="X910" s="57">
        <v>0</v>
      </c>
      <c r="Y910" s="57">
        <v>0</v>
      </c>
      <c r="Z910" s="57">
        <v>0</v>
      </c>
      <c r="AA910" s="57">
        <v>0</v>
      </c>
      <c r="AB910" s="57">
        <v>0</v>
      </c>
      <c r="AC910" s="57">
        <v>0</v>
      </c>
      <c r="AD910" s="57">
        <v>0</v>
      </c>
      <c r="AE910" s="57">
        <v>0</v>
      </c>
      <c r="AF910" s="57">
        <v>0</v>
      </c>
      <c r="AG910" s="57">
        <v>0</v>
      </c>
      <c r="AH910" s="58">
        <v>0</v>
      </c>
      <c r="AI910" s="6"/>
    </row>
    <row r="911" spans="1:35" ht="15.75" thickBot="1" x14ac:dyDescent="0.3">
      <c r="A911" s="3"/>
      <c r="B911" s="5" t="s">
        <v>12</v>
      </c>
      <c r="C911" s="145">
        <v>0</v>
      </c>
      <c r="D911" s="88">
        <v>0</v>
      </c>
      <c r="E911" s="88">
        <v>0</v>
      </c>
      <c r="F911" s="88">
        <v>0</v>
      </c>
      <c r="G911" s="88">
        <v>0</v>
      </c>
      <c r="H911" s="88">
        <v>0</v>
      </c>
      <c r="I911" s="88">
        <v>0</v>
      </c>
      <c r="J911" s="88">
        <v>0</v>
      </c>
      <c r="K911" s="62">
        <v>0</v>
      </c>
      <c r="L911" s="62">
        <v>0</v>
      </c>
      <c r="M911" s="62">
        <v>0</v>
      </c>
      <c r="N911" s="62">
        <v>0</v>
      </c>
      <c r="O911" s="62">
        <v>0</v>
      </c>
      <c r="P911" s="62">
        <v>0</v>
      </c>
      <c r="Q911" s="62">
        <v>0</v>
      </c>
      <c r="R911" s="62">
        <v>0</v>
      </c>
      <c r="S911" s="62">
        <v>0</v>
      </c>
      <c r="T911" s="62">
        <v>0</v>
      </c>
      <c r="U911" s="62">
        <v>0</v>
      </c>
      <c r="V911" s="62">
        <v>0</v>
      </c>
      <c r="W911" s="62">
        <v>0</v>
      </c>
      <c r="X911" s="62">
        <v>0</v>
      </c>
      <c r="Y911" s="62">
        <v>0</v>
      </c>
      <c r="Z911" s="62">
        <v>0</v>
      </c>
      <c r="AA911" s="62">
        <v>0</v>
      </c>
      <c r="AB911" s="62">
        <v>0</v>
      </c>
      <c r="AC911" s="62">
        <v>0</v>
      </c>
      <c r="AD911" s="62">
        <v>0</v>
      </c>
      <c r="AE911" s="62">
        <v>0</v>
      </c>
      <c r="AF911" s="62">
        <v>0</v>
      </c>
      <c r="AG911" s="62">
        <v>0</v>
      </c>
      <c r="AH911" s="146">
        <v>0</v>
      </c>
      <c r="AI911" s="6"/>
    </row>
    <row r="912" spans="1:35" x14ac:dyDescent="0.25">
      <c r="A912" s="3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6"/>
    </row>
    <row r="913" spans="1:35" ht="15.75" thickBot="1" x14ac:dyDescent="0.3">
      <c r="A913" s="3"/>
      <c r="B913" s="5"/>
      <c r="C913" s="7">
        <v>32</v>
      </c>
      <c r="D913" s="7">
        <v>33</v>
      </c>
      <c r="E913" s="7">
        <v>34</v>
      </c>
      <c r="F913" s="7">
        <v>35</v>
      </c>
      <c r="G913" s="7">
        <v>36</v>
      </c>
      <c r="H913" s="7">
        <v>37</v>
      </c>
      <c r="I913" s="7">
        <v>38</v>
      </c>
      <c r="J913" s="7">
        <v>39</v>
      </c>
      <c r="K913" s="7">
        <v>40</v>
      </c>
      <c r="L913" s="7">
        <v>41</v>
      </c>
      <c r="M913" s="7">
        <v>42</v>
      </c>
      <c r="N913" s="7">
        <v>43</v>
      </c>
      <c r="O913" s="7">
        <v>44</v>
      </c>
      <c r="P913" s="7">
        <v>45</v>
      </c>
      <c r="Q913" s="7">
        <v>46</v>
      </c>
      <c r="R913" s="7">
        <v>47</v>
      </c>
      <c r="S913" s="7">
        <v>48</v>
      </c>
      <c r="T913" s="7">
        <v>49</v>
      </c>
      <c r="U913" s="7">
        <v>50</v>
      </c>
      <c r="V913" s="7">
        <v>51</v>
      </c>
      <c r="W913" s="7">
        <v>52</v>
      </c>
      <c r="X913" s="7">
        <v>53</v>
      </c>
      <c r="Y913" s="7">
        <v>54</v>
      </c>
      <c r="Z913" s="7">
        <v>55</v>
      </c>
      <c r="AA913" s="7">
        <v>56</v>
      </c>
      <c r="AB913" s="7">
        <v>57</v>
      </c>
      <c r="AC913" s="7">
        <v>58</v>
      </c>
      <c r="AD913" s="7">
        <v>59</v>
      </c>
      <c r="AE913" s="7">
        <v>60</v>
      </c>
      <c r="AF913" s="7">
        <v>61</v>
      </c>
      <c r="AG913" s="7">
        <v>62</v>
      </c>
      <c r="AH913" s="7">
        <v>63</v>
      </c>
      <c r="AI913" s="6"/>
    </row>
    <row r="914" spans="1:35" ht="15.75" thickBot="1" x14ac:dyDescent="0.3">
      <c r="A914" s="3"/>
      <c r="B914" s="5"/>
      <c r="C914" s="147" t="s">
        <v>13</v>
      </c>
      <c r="D914" s="148" t="s">
        <v>14</v>
      </c>
      <c r="E914" s="148" t="s">
        <v>15</v>
      </c>
      <c r="F914" s="148" t="s">
        <v>16</v>
      </c>
      <c r="G914" s="148" t="s">
        <v>17</v>
      </c>
      <c r="H914" s="148" t="s">
        <v>18</v>
      </c>
      <c r="I914" s="148" t="s">
        <v>19</v>
      </c>
      <c r="J914" s="148" t="s">
        <v>20</v>
      </c>
      <c r="K914" s="148" t="s">
        <v>21</v>
      </c>
      <c r="L914" s="148" t="s">
        <v>22</v>
      </c>
      <c r="M914" s="148" t="s">
        <v>23</v>
      </c>
      <c r="N914" s="148" t="s">
        <v>24</v>
      </c>
      <c r="O914" s="148" t="s">
        <v>25</v>
      </c>
      <c r="P914" s="148" t="s">
        <v>26</v>
      </c>
      <c r="Q914" s="148" t="s">
        <v>27</v>
      </c>
      <c r="R914" s="342" t="s">
        <v>30</v>
      </c>
      <c r="S914" s="343"/>
      <c r="T914" s="343"/>
      <c r="U914" s="343"/>
      <c r="V914" s="343"/>
      <c r="W914" s="343"/>
      <c r="X914" s="343"/>
      <c r="Y914" s="343"/>
      <c r="Z914" s="343"/>
      <c r="AA914" s="343"/>
      <c r="AB914" s="343"/>
      <c r="AC914" s="343"/>
      <c r="AD914" s="343"/>
      <c r="AE914" s="343"/>
      <c r="AF914" s="344"/>
      <c r="AG914" s="67" t="s">
        <v>28</v>
      </c>
      <c r="AH914" s="149" t="s">
        <v>29</v>
      </c>
      <c r="AI914" s="6"/>
    </row>
    <row r="915" spans="1:35" ht="15.75" thickBot="1" x14ac:dyDescent="0.3">
      <c r="A915" s="3"/>
      <c r="B915" s="5"/>
      <c r="C915" s="150">
        <v>0</v>
      </c>
      <c r="D915" s="151">
        <v>0</v>
      </c>
      <c r="E915" s="151">
        <v>0</v>
      </c>
      <c r="F915" s="151">
        <v>0</v>
      </c>
      <c r="G915" s="151">
        <v>0</v>
      </c>
      <c r="H915" s="151">
        <v>0</v>
      </c>
      <c r="I915" s="151">
        <v>0</v>
      </c>
      <c r="J915" s="151">
        <v>0</v>
      </c>
      <c r="K915" s="151">
        <v>0</v>
      </c>
      <c r="L915" s="151">
        <v>0</v>
      </c>
      <c r="M915" s="151">
        <v>0</v>
      </c>
      <c r="N915" s="151">
        <v>0</v>
      </c>
      <c r="O915" s="151">
        <v>1</v>
      </c>
      <c r="P915" s="151">
        <v>0</v>
      </c>
      <c r="Q915" s="151">
        <v>0</v>
      </c>
      <c r="R915" s="151">
        <v>0</v>
      </c>
      <c r="S915" s="151">
        <v>0</v>
      </c>
      <c r="T915" s="151">
        <v>0</v>
      </c>
      <c r="U915" s="151">
        <v>0</v>
      </c>
      <c r="V915" s="151">
        <v>0</v>
      </c>
      <c r="W915" s="151">
        <v>0</v>
      </c>
      <c r="X915" s="151">
        <v>1</v>
      </c>
      <c r="Y915" s="151">
        <v>1</v>
      </c>
      <c r="Z915" s="151">
        <v>0</v>
      </c>
      <c r="AA915" s="151">
        <v>0</v>
      </c>
      <c r="AB915" s="151">
        <v>0</v>
      </c>
      <c r="AC915" s="151">
        <v>1</v>
      </c>
      <c r="AD915" s="151">
        <v>1</v>
      </c>
      <c r="AE915" s="151">
        <v>0</v>
      </c>
      <c r="AF915" s="151">
        <v>0</v>
      </c>
      <c r="AG915" s="151">
        <v>0</v>
      </c>
      <c r="AH915" s="152">
        <v>0</v>
      </c>
      <c r="AI915" s="6"/>
    </row>
    <row r="916" spans="1:35" x14ac:dyDescent="0.25">
      <c r="A916" s="3"/>
      <c r="B916" s="4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6"/>
    </row>
    <row r="917" spans="1:35" x14ac:dyDescent="0.25">
      <c r="A917" s="3"/>
      <c r="B917" s="8" t="s">
        <v>43</v>
      </c>
      <c r="C917" s="9"/>
      <c r="D917" s="9"/>
      <c r="E917" s="9"/>
      <c r="F917" s="44" t="s">
        <v>44</v>
      </c>
      <c r="G917" s="44"/>
      <c r="H917" s="44"/>
      <c r="I917" s="9"/>
      <c r="J917" s="45" t="s">
        <v>45</v>
      </c>
      <c r="K917" s="45"/>
      <c r="L917" s="45"/>
      <c r="M917" s="45"/>
      <c r="N917" s="9"/>
      <c r="O917" s="46" t="s">
        <v>46</v>
      </c>
      <c r="P917" s="46"/>
      <c r="Q917" s="46"/>
      <c r="R917" s="46"/>
      <c r="S917" s="9"/>
      <c r="T917" s="1" t="s">
        <v>49</v>
      </c>
      <c r="U917" s="10" t="s">
        <v>48</v>
      </c>
      <c r="V917" s="5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  <c r="AH917" s="9"/>
      <c r="AI917" s="6"/>
    </row>
    <row r="918" spans="1:35" ht="15" customHeight="1" x14ac:dyDescent="0.25">
      <c r="A918" s="3"/>
      <c r="B918" s="42" t="str">
        <f>"0x"&amp;DEC2HEX(Sheet3!$I$4,8)</f>
        <v>0x00400320</v>
      </c>
      <c r="C918" s="42"/>
      <c r="D918" s="42"/>
      <c r="E918" s="12"/>
      <c r="F918" s="319" t="str">
        <f>"0x"&amp;BIN2HEX(CONCATENATE(C911,D911,E911,F911,G911,H911,I911,J911),2)&amp;BIN2HEX(CONCATENATE(K911,L911,M911,N911,O911,P911,Q911,R911),2)&amp;BIN2HEX(CONCATENATE(S911,T911,U911,V911,W911,X911,Y911,Z911),2)&amp;BIN2HEX(CONCATENATE(AA911,AB911,AC911,AD911,AE911,AF911,AG911,AH911),2)</f>
        <v>0x00000000</v>
      </c>
      <c r="G918" s="319"/>
      <c r="H918" s="319"/>
      <c r="I918" s="12"/>
      <c r="J918" s="319" t="str">
        <f>"0b"&amp;C915&amp;D915&amp;E915&amp;F915&amp;G915&amp;H915&amp;I915&amp;J915&amp;K915&amp;L915&amp;M915&amp;N915&amp;O915&amp;P915&amp;Q915</f>
        <v>0b000000000000100</v>
      </c>
      <c r="K918" s="319"/>
      <c r="L918" s="319"/>
      <c r="M918" s="319"/>
      <c r="N918" s="12"/>
      <c r="O918" s="319" t="str">
        <f>"0b"&amp;DEC2BIN(((AF915+AE915*2+AD915*4+AC915*8+AB915*16+AA915*32+Z915*64+Y915*128+X915*256+W915*512+V915*1024+U915*2048+T915*4096+S915*2^13+R915*2^14)/512),6)&amp;DEC2BIN(MOD((AF915+AE915*2+AD915*4+AC915*8+AB915*16+AA915*32+Z915*64+Y915*128+X915*256+W915*512+V915*1024+U915*2048+T915*4096+S915*2^13+R915*2^14),512),9)</f>
        <v>0b000000110001100</v>
      </c>
      <c r="P918" s="319"/>
      <c r="Q918" s="319"/>
      <c r="R918" s="319"/>
      <c r="S918" s="12"/>
      <c r="T918" s="13">
        <v>0</v>
      </c>
      <c r="U918" s="13">
        <f>AH915</f>
        <v>0</v>
      </c>
      <c r="V918" s="5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6"/>
    </row>
    <row r="919" spans="1:35" x14ac:dyDescent="0.25">
      <c r="A919" s="3"/>
      <c r="B919" s="42"/>
      <c r="C919" s="42"/>
      <c r="D919" s="42"/>
      <c r="E919" s="15"/>
      <c r="F919" s="43"/>
      <c r="G919" s="43"/>
      <c r="H919" s="43"/>
      <c r="I919" s="15"/>
      <c r="J919" s="42"/>
      <c r="K919" s="42"/>
      <c r="L919" s="42"/>
      <c r="M919" s="42"/>
      <c r="N919" s="15"/>
      <c r="O919" s="42"/>
      <c r="P919" s="42"/>
      <c r="Q919" s="42"/>
      <c r="R919" s="42"/>
      <c r="S919" s="15"/>
      <c r="T919" s="13"/>
      <c r="U919" s="15"/>
      <c r="V919" s="5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6"/>
    </row>
    <row r="920" spans="1:35" x14ac:dyDescent="0.25">
      <c r="A920" s="3"/>
      <c r="B920" s="42"/>
      <c r="C920" s="42"/>
      <c r="D920" s="42"/>
      <c r="E920" s="15"/>
      <c r="F920" s="43"/>
      <c r="G920" s="43"/>
      <c r="H920" s="43"/>
      <c r="I920" s="15"/>
      <c r="J920" s="42"/>
      <c r="K920" s="42"/>
      <c r="L920" s="42"/>
      <c r="M920" s="42"/>
      <c r="N920" s="15"/>
      <c r="O920" s="42"/>
      <c r="P920" s="42"/>
      <c r="Q920" s="42"/>
      <c r="R920" s="42"/>
      <c r="S920" s="15"/>
      <c r="T920" s="13"/>
      <c r="U920" s="15"/>
      <c r="V920" s="5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6"/>
    </row>
    <row r="921" spans="1:35" x14ac:dyDescent="0.25">
      <c r="A921" s="3"/>
      <c r="B921" s="5"/>
      <c r="C921" s="5"/>
      <c r="D921" s="5"/>
      <c r="E921" s="5"/>
      <c r="F921" s="17"/>
      <c r="G921" s="17"/>
      <c r="H921" s="17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6"/>
    </row>
    <row r="922" spans="1:35" x14ac:dyDescent="0.25">
      <c r="A922" s="3"/>
      <c r="B922" s="5" t="s">
        <v>47</v>
      </c>
      <c r="C922" s="18"/>
      <c r="D922" s="18"/>
      <c r="E922" s="18"/>
      <c r="F922" s="5"/>
      <c r="G922" s="5"/>
      <c r="H922" s="5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18"/>
      <c r="AI922" s="6"/>
    </row>
    <row r="923" spans="1:35" ht="15" customHeight="1" x14ac:dyDescent="0.25">
      <c r="A923" s="3"/>
      <c r="B923" s="42" t="str">
        <f>"0x"&amp;DEC2HEX(Sheet3!$I$4,8)</f>
        <v>0x00400320</v>
      </c>
      <c r="C923" s="42"/>
      <c r="D923" s="42"/>
      <c r="E923" s="16"/>
      <c r="F923" s="322" t="str">
        <f>F918&amp;BIN2HEX(MID(J918,3,8),2)&amp;BIN2HEX(RIGHT(J918,7)&amp;MID(O918,3,1),2)&amp;BIN2HEX(MID(O918,4,8),2)&amp;BIN2HEX(RIGHT(O918,6)&amp;T918&amp;U918,2)</f>
        <v>0x0000000000080630</v>
      </c>
      <c r="G923" s="322"/>
      <c r="H923" s="322"/>
      <c r="I923" s="322"/>
      <c r="J923" s="5"/>
      <c r="K923" s="5"/>
      <c r="L923" s="5"/>
      <c r="M923" s="5"/>
      <c r="N923" s="5"/>
      <c r="O923" s="5"/>
      <c r="P923" s="16"/>
      <c r="Q923" s="16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5"/>
      <c r="AH923" s="5"/>
      <c r="AI923" s="6"/>
    </row>
    <row r="924" spans="1:35" x14ac:dyDescent="0.25">
      <c r="A924" s="3"/>
      <c r="B924" s="37"/>
      <c r="C924" s="37"/>
      <c r="D924" s="37"/>
      <c r="E924" s="5"/>
      <c r="F924" s="38"/>
      <c r="G924" s="38"/>
      <c r="H924" s="38"/>
      <c r="I924" s="38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6"/>
    </row>
    <row r="925" spans="1:35" x14ac:dyDescent="0.25">
      <c r="A925" s="3"/>
      <c r="B925" s="37"/>
      <c r="C925" s="37"/>
      <c r="D925" s="37"/>
      <c r="E925" s="5"/>
      <c r="F925" s="38"/>
      <c r="G925" s="38"/>
      <c r="H925" s="38"/>
      <c r="I925" s="38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6"/>
    </row>
    <row r="926" spans="1:35" x14ac:dyDescent="0.25">
      <c r="A926" s="20"/>
      <c r="B926" s="21"/>
      <c r="C926" s="21"/>
      <c r="D926" s="21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2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1"/>
      <c r="AI926" s="23"/>
    </row>
    <row r="927" spans="1:35" x14ac:dyDescent="0.25">
      <c r="A927" s="24"/>
      <c r="B927" s="28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  <c r="AD927" s="25"/>
      <c r="AE927" s="25"/>
      <c r="AF927" s="25"/>
      <c r="AG927" s="25"/>
      <c r="AH927" s="25"/>
      <c r="AI927" s="26"/>
    </row>
    <row r="928" spans="1:35" x14ac:dyDescent="0.25">
      <c r="A928" s="3"/>
      <c r="B928" s="4" t="s">
        <v>174</v>
      </c>
      <c r="C928" s="5"/>
      <c r="D928" s="5"/>
      <c r="E928" s="5"/>
      <c r="F928" s="5"/>
      <c r="G928" s="5"/>
      <c r="H928" s="5"/>
      <c r="I928" s="5" t="str">
        <f>"0x"&amp;BIN2HEX(CONCATENATE(C933,D933,E933,F933,G933,H933,I933,J933),2)&amp;BIN2HEX(CONCATENATE(K933,L933,M933,N933,O933,P933,Q933,R933),2)&amp;BIN2HEX(CONCATENATE(S933,T933,U933,V933,W933,X933,Y933,Z933),2)&amp;BIN2HEX(CONCATENATE(AA933,AB933,AC933,AD933,AE933,AF933,AG933,AH933),2)&amp;"_"&amp;BIN2HEX(CONCATENATE(C937,D937,E937,F937,G937,H937,I937,J937),2)&amp;BIN2HEX(CONCATENATE(K937,L937,M937,N937,O937,P937,Q937,R937),2)&amp;BIN2HEX(CONCATENATE(S937,T937,U937,V937,W937,X937,Y937,Z937),2)&amp;BIN2HEX(CONCATENATE(AA937,AB937,AC937,AD937,AE937,AF937,AG937,AH937),2)</f>
        <v>0x00000000_00080634</v>
      </c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6"/>
    </row>
    <row r="929" spans="1:35" ht="15.75" thickBot="1" x14ac:dyDescent="0.3">
      <c r="A929" s="3"/>
      <c r="B929" s="5"/>
      <c r="C929" s="7">
        <v>0</v>
      </c>
      <c r="D929" s="7">
        <v>1</v>
      </c>
      <c r="E929" s="7">
        <v>2</v>
      </c>
      <c r="F929" s="7">
        <v>3</v>
      </c>
      <c r="G929" s="7">
        <v>4</v>
      </c>
      <c r="H929" s="7">
        <v>5</v>
      </c>
      <c r="I929" s="7">
        <v>6</v>
      </c>
      <c r="J929" s="7">
        <v>7</v>
      </c>
      <c r="K929" s="7">
        <v>8</v>
      </c>
      <c r="L929" s="7">
        <v>9</v>
      </c>
      <c r="M929" s="7">
        <v>10</v>
      </c>
      <c r="N929" s="7">
        <v>11</v>
      </c>
      <c r="O929" s="7">
        <v>12</v>
      </c>
      <c r="P929" s="7">
        <v>13</v>
      </c>
      <c r="Q929" s="7">
        <v>14</v>
      </c>
      <c r="R929" s="7">
        <v>15</v>
      </c>
      <c r="S929" s="7">
        <v>16</v>
      </c>
      <c r="T929" s="7">
        <v>17</v>
      </c>
      <c r="U929" s="7">
        <v>18</v>
      </c>
      <c r="V929" s="7">
        <v>19</v>
      </c>
      <c r="W929" s="7">
        <v>20</v>
      </c>
      <c r="X929" s="7">
        <v>21</v>
      </c>
      <c r="Y929" s="7">
        <v>22</v>
      </c>
      <c r="Z929" s="7">
        <v>23</v>
      </c>
      <c r="AA929" s="7">
        <v>24</v>
      </c>
      <c r="AB929" s="7">
        <v>25</v>
      </c>
      <c r="AC929" s="7">
        <v>26</v>
      </c>
      <c r="AD929" s="7">
        <v>27</v>
      </c>
      <c r="AE929" s="7">
        <v>28</v>
      </c>
      <c r="AF929" s="7">
        <v>29</v>
      </c>
      <c r="AG929" s="7">
        <v>30</v>
      </c>
      <c r="AH929" s="7">
        <v>31</v>
      </c>
      <c r="AI929" s="6"/>
    </row>
    <row r="930" spans="1:35" ht="15" customHeight="1" x14ac:dyDescent="0.25">
      <c r="A930" s="3"/>
      <c r="B930" s="5" t="s">
        <v>31</v>
      </c>
      <c r="C930" s="328" t="s">
        <v>161</v>
      </c>
      <c r="D930" s="330" t="s">
        <v>63</v>
      </c>
      <c r="E930" s="331"/>
      <c r="F930" s="331"/>
      <c r="G930" s="331"/>
      <c r="H930" s="331"/>
      <c r="I930" s="331"/>
      <c r="J930" s="332"/>
      <c r="K930" s="336">
        <v>0</v>
      </c>
      <c r="L930" s="337"/>
      <c r="M930" s="337"/>
      <c r="N930" s="337"/>
      <c r="O930" s="337"/>
      <c r="P930" s="337"/>
      <c r="Q930" s="337"/>
      <c r="R930" s="337"/>
      <c r="S930" s="337"/>
      <c r="T930" s="337"/>
      <c r="U930" s="337"/>
      <c r="V930" s="337"/>
      <c r="W930" s="337"/>
      <c r="X930" s="337"/>
      <c r="Y930" s="337"/>
      <c r="Z930" s="337"/>
      <c r="AA930" s="337"/>
      <c r="AB930" s="337"/>
      <c r="AC930" s="337"/>
      <c r="AD930" s="337"/>
      <c r="AE930" s="337"/>
      <c r="AF930" s="337"/>
      <c r="AG930" s="337"/>
      <c r="AH930" s="338"/>
      <c r="AI930" s="6"/>
    </row>
    <row r="931" spans="1:35" x14ac:dyDescent="0.25">
      <c r="A931" s="3"/>
      <c r="B931" s="5" t="s">
        <v>32</v>
      </c>
      <c r="C931" s="329"/>
      <c r="D931" s="333"/>
      <c r="E931" s="334"/>
      <c r="F931" s="334"/>
      <c r="G931" s="334"/>
      <c r="H931" s="334"/>
      <c r="I931" s="334"/>
      <c r="J931" s="335"/>
      <c r="K931" s="339"/>
      <c r="L931" s="340"/>
      <c r="M931" s="340"/>
      <c r="N931" s="340"/>
      <c r="O931" s="340"/>
      <c r="P931" s="340"/>
      <c r="Q931" s="340"/>
      <c r="R931" s="340"/>
      <c r="S931" s="340"/>
      <c r="T931" s="340"/>
      <c r="U931" s="340"/>
      <c r="V931" s="340"/>
      <c r="W931" s="340"/>
      <c r="X931" s="340"/>
      <c r="Y931" s="340"/>
      <c r="Z931" s="340"/>
      <c r="AA931" s="340"/>
      <c r="AB931" s="340"/>
      <c r="AC931" s="340"/>
      <c r="AD931" s="340"/>
      <c r="AE931" s="340"/>
      <c r="AF931" s="340"/>
      <c r="AG931" s="340"/>
      <c r="AH931" s="341"/>
      <c r="AI931" s="6"/>
    </row>
    <row r="932" spans="1:35" x14ac:dyDescent="0.25">
      <c r="A932" s="3"/>
      <c r="B932" s="5" t="s">
        <v>11</v>
      </c>
      <c r="C932" s="56">
        <v>0</v>
      </c>
      <c r="D932" s="57">
        <v>0</v>
      </c>
      <c r="E932" s="57">
        <v>0</v>
      </c>
      <c r="F932" s="57">
        <v>0</v>
      </c>
      <c r="G932" s="57">
        <v>0</v>
      </c>
      <c r="H932" s="57">
        <v>0</v>
      </c>
      <c r="I932" s="57">
        <v>0</v>
      </c>
      <c r="J932" s="57">
        <v>0</v>
      </c>
      <c r="K932" s="57">
        <v>0</v>
      </c>
      <c r="L932" s="57">
        <v>0</v>
      </c>
      <c r="M932" s="57">
        <v>0</v>
      </c>
      <c r="N932" s="57">
        <v>0</v>
      </c>
      <c r="O932" s="57">
        <v>0</v>
      </c>
      <c r="P932" s="57">
        <v>0</v>
      </c>
      <c r="Q932" s="57">
        <v>0</v>
      </c>
      <c r="R932" s="57">
        <v>0</v>
      </c>
      <c r="S932" s="57">
        <v>0</v>
      </c>
      <c r="T932" s="57">
        <v>0</v>
      </c>
      <c r="U932" s="57">
        <v>0</v>
      </c>
      <c r="V932" s="57">
        <v>0</v>
      </c>
      <c r="W932" s="57">
        <v>0</v>
      </c>
      <c r="X932" s="57">
        <v>0</v>
      </c>
      <c r="Y932" s="57">
        <v>0</v>
      </c>
      <c r="Z932" s="57">
        <v>0</v>
      </c>
      <c r="AA932" s="57">
        <v>0</v>
      </c>
      <c r="AB932" s="57">
        <v>0</v>
      </c>
      <c r="AC932" s="57">
        <v>0</v>
      </c>
      <c r="AD932" s="57">
        <v>0</v>
      </c>
      <c r="AE932" s="57">
        <v>0</v>
      </c>
      <c r="AF932" s="57">
        <v>0</v>
      </c>
      <c r="AG932" s="57">
        <v>0</v>
      </c>
      <c r="AH932" s="58">
        <v>0</v>
      </c>
      <c r="AI932" s="6"/>
    </row>
    <row r="933" spans="1:35" ht="15.75" thickBot="1" x14ac:dyDescent="0.3">
      <c r="A933" s="3"/>
      <c r="B933" s="5" t="s">
        <v>12</v>
      </c>
      <c r="C933" s="145">
        <v>0</v>
      </c>
      <c r="D933" s="88">
        <v>0</v>
      </c>
      <c r="E933" s="88">
        <v>0</v>
      </c>
      <c r="F933" s="88">
        <v>0</v>
      </c>
      <c r="G933" s="88">
        <v>0</v>
      </c>
      <c r="H933" s="88">
        <v>0</v>
      </c>
      <c r="I933" s="88">
        <v>0</v>
      </c>
      <c r="J933" s="88">
        <v>0</v>
      </c>
      <c r="K933" s="62">
        <v>0</v>
      </c>
      <c r="L933" s="62">
        <v>0</v>
      </c>
      <c r="M933" s="62">
        <v>0</v>
      </c>
      <c r="N933" s="62">
        <v>0</v>
      </c>
      <c r="O933" s="62">
        <v>0</v>
      </c>
      <c r="P933" s="62">
        <v>0</v>
      </c>
      <c r="Q933" s="62">
        <v>0</v>
      </c>
      <c r="R933" s="62">
        <v>0</v>
      </c>
      <c r="S933" s="62">
        <v>0</v>
      </c>
      <c r="T933" s="62">
        <v>0</v>
      </c>
      <c r="U933" s="62">
        <v>0</v>
      </c>
      <c r="V933" s="62">
        <v>0</v>
      </c>
      <c r="W933" s="62">
        <v>0</v>
      </c>
      <c r="X933" s="62">
        <v>0</v>
      </c>
      <c r="Y933" s="62">
        <v>0</v>
      </c>
      <c r="Z933" s="62">
        <v>0</v>
      </c>
      <c r="AA933" s="62">
        <v>0</v>
      </c>
      <c r="AB933" s="62">
        <v>0</v>
      </c>
      <c r="AC933" s="62">
        <v>0</v>
      </c>
      <c r="AD933" s="62">
        <v>0</v>
      </c>
      <c r="AE933" s="62">
        <v>0</v>
      </c>
      <c r="AF933" s="62">
        <v>0</v>
      </c>
      <c r="AG933" s="62">
        <v>0</v>
      </c>
      <c r="AH933" s="146">
        <v>0</v>
      </c>
      <c r="AI933" s="6"/>
    </row>
    <row r="934" spans="1:35" x14ac:dyDescent="0.25">
      <c r="A934" s="3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6"/>
    </row>
    <row r="935" spans="1:35" ht="15.75" thickBot="1" x14ac:dyDescent="0.3">
      <c r="A935" s="3"/>
      <c r="B935" s="5"/>
      <c r="C935" s="7">
        <v>32</v>
      </c>
      <c r="D935" s="7">
        <v>33</v>
      </c>
      <c r="E935" s="7">
        <v>34</v>
      </c>
      <c r="F935" s="7">
        <v>35</v>
      </c>
      <c r="G935" s="7">
        <v>36</v>
      </c>
      <c r="H935" s="7">
        <v>37</v>
      </c>
      <c r="I935" s="7">
        <v>38</v>
      </c>
      <c r="J935" s="7">
        <v>39</v>
      </c>
      <c r="K935" s="7">
        <v>40</v>
      </c>
      <c r="L935" s="7">
        <v>41</v>
      </c>
      <c r="M935" s="7">
        <v>42</v>
      </c>
      <c r="N935" s="7">
        <v>43</v>
      </c>
      <c r="O935" s="7">
        <v>44</v>
      </c>
      <c r="P935" s="7">
        <v>45</v>
      </c>
      <c r="Q935" s="7">
        <v>46</v>
      </c>
      <c r="R935" s="7">
        <v>47</v>
      </c>
      <c r="S935" s="7">
        <v>48</v>
      </c>
      <c r="T935" s="7">
        <v>49</v>
      </c>
      <c r="U935" s="7">
        <v>50</v>
      </c>
      <c r="V935" s="7">
        <v>51</v>
      </c>
      <c r="W935" s="7">
        <v>52</v>
      </c>
      <c r="X935" s="7">
        <v>53</v>
      </c>
      <c r="Y935" s="7">
        <v>54</v>
      </c>
      <c r="Z935" s="7">
        <v>55</v>
      </c>
      <c r="AA935" s="7">
        <v>56</v>
      </c>
      <c r="AB935" s="7">
        <v>57</v>
      </c>
      <c r="AC935" s="7">
        <v>58</v>
      </c>
      <c r="AD935" s="7">
        <v>59</v>
      </c>
      <c r="AE935" s="7">
        <v>60</v>
      </c>
      <c r="AF935" s="7">
        <v>61</v>
      </c>
      <c r="AG935" s="7">
        <v>62</v>
      </c>
      <c r="AH935" s="7">
        <v>63</v>
      </c>
      <c r="AI935" s="6"/>
    </row>
    <row r="936" spans="1:35" ht="15.75" thickBot="1" x14ac:dyDescent="0.3">
      <c r="A936" s="3"/>
      <c r="B936" s="5"/>
      <c r="C936" s="147" t="s">
        <v>13</v>
      </c>
      <c r="D936" s="148" t="s">
        <v>14</v>
      </c>
      <c r="E936" s="148" t="s">
        <v>15</v>
      </c>
      <c r="F936" s="148" t="s">
        <v>16</v>
      </c>
      <c r="G936" s="148" t="s">
        <v>17</v>
      </c>
      <c r="H936" s="148" t="s">
        <v>18</v>
      </c>
      <c r="I936" s="148" t="s">
        <v>19</v>
      </c>
      <c r="J936" s="148" t="s">
        <v>20</v>
      </c>
      <c r="K936" s="148" t="s">
        <v>21</v>
      </c>
      <c r="L936" s="148" t="s">
        <v>22</v>
      </c>
      <c r="M936" s="148" t="s">
        <v>23</v>
      </c>
      <c r="N936" s="148" t="s">
        <v>24</v>
      </c>
      <c r="O936" s="148" t="s">
        <v>25</v>
      </c>
      <c r="P936" s="148" t="s">
        <v>26</v>
      </c>
      <c r="Q936" s="148" t="s">
        <v>27</v>
      </c>
      <c r="R936" s="342" t="s">
        <v>30</v>
      </c>
      <c r="S936" s="343"/>
      <c r="T936" s="343"/>
      <c r="U936" s="343"/>
      <c r="V936" s="343"/>
      <c r="W936" s="343"/>
      <c r="X936" s="343"/>
      <c r="Y936" s="343"/>
      <c r="Z936" s="343"/>
      <c r="AA936" s="343"/>
      <c r="AB936" s="343"/>
      <c r="AC936" s="343"/>
      <c r="AD936" s="343"/>
      <c r="AE936" s="343"/>
      <c r="AF936" s="344"/>
      <c r="AG936" s="67" t="s">
        <v>28</v>
      </c>
      <c r="AH936" s="149" t="s">
        <v>29</v>
      </c>
      <c r="AI936" s="6"/>
    </row>
    <row r="937" spans="1:35" ht="15.75" thickBot="1" x14ac:dyDescent="0.3">
      <c r="A937" s="3"/>
      <c r="B937" s="5"/>
      <c r="C937" s="150">
        <v>0</v>
      </c>
      <c r="D937" s="151">
        <v>0</v>
      </c>
      <c r="E937" s="151">
        <v>0</v>
      </c>
      <c r="F937" s="151">
        <v>0</v>
      </c>
      <c r="G937" s="151">
        <v>0</v>
      </c>
      <c r="H937" s="151">
        <v>0</v>
      </c>
      <c r="I937" s="151">
        <v>0</v>
      </c>
      <c r="J937" s="151">
        <v>0</v>
      </c>
      <c r="K937" s="151">
        <v>0</v>
      </c>
      <c r="L937" s="151">
        <v>0</v>
      </c>
      <c r="M937" s="151">
        <v>0</v>
      </c>
      <c r="N937" s="151">
        <v>0</v>
      </c>
      <c r="O937" s="151">
        <v>1</v>
      </c>
      <c r="P937" s="151">
        <v>0</v>
      </c>
      <c r="Q937" s="151">
        <v>0</v>
      </c>
      <c r="R937" s="151">
        <v>0</v>
      </c>
      <c r="S937" s="151">
        <v>0</v>
      </c>
      <c r="T937" s="151">
        <v>0</v>
      </c>
      <c r="U937" s="151">
        <v>0</v>
      </c>
      <c r="V937" s="151">
        <v>0</v>
      </c>
      <c r="W937" s="151">
        <v>0</v>
      </c>
      <c r="X937" s="151">
        <v>1</v>
      </c>
      <c r="Y937" s="151">
        <v>1</v>
      </c>
      <c r="Z937" s="151">
        <v>0</v>
      </c>
      <c r="AA937" s="151">
        <v>0</v>
      </c>
      <c r="AB937" s="151">
        <v>0</v>
      </c>
      <c r="AC937" s="151">
        <v>1</v>
      </c>
      <c r="AD937" s="151">
        <v>1</v>
      </c>
      <c r="AE937" s="151">
        <v>0</v>
      </c>
      <c r="AF937" s="151">
        <v>1</v>
      </c>
      <c r="AG937" s="151">
        <v>0</v>
      </c>
      <c r="AH937" s="152">
        <v>0</v>
      </c>
      <c r="AI937" s="6"/>
    </row>
    <row r="938" spans="1:35" x14ac:dyDescent="0.25">
      <c r="A938" s="3"/>
      <c r="B938" s="4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6"/>
    </row>
    <row r="939" spans="1:35" x14ac:dyDescent="0.25">
      <c r="A939" s="3"/>
      <c r="B939" s="8" t="s">
        <v>43</v>
      </c>
      <c r="C939" s="9"/>
      <c r="D939" s="9"/>
      <c r="E939" s="9"/>
      <c r="F939" s="44" t="s">
        <v>44</v>
      </c>
      <c r="G939" s="44"/>
      <c r="H939" s="44"/>
      <c r="I939" s="9"/>
      <c r="J939" s="45" t="s">
        <v>45</v>
      </c>
      <c r="K939" s="45"/>
      <c r="L939" s="45"/>
      <c r="M939" s="45"/>
      <c r="N939" s="9"/>
      <c r="O939" s="46" t="s">
        <v>46</v>
      </c>
      <c r="P939" s="46"/>
      <c r="Q939" s="46"/>
      <c r="R939" s="46"/>
      <c r="S939" s="9"/>
      <c r="T939" s="1" t="s">
        <v>49</v>
      </c>
      <c r="U939" s="10" t="s">
        <v>48</v>
      </c>
      <c r="V939" s="5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  <c r="AH939" s="9"/>
      <c r="AI939" s="6"/>
    </row>
    <row r="940" spans="1:35" ht="15" customHeight="1" x14ac:dyDescent="0.25">
      <c r="A940" s="3"/>
      <c r="B940" s="42" t="str">
        <f>"0x"&amp;DEC2HEX(Sheet3!$I$4,8)</f>
        <v>0x00400320</v>
      </c>
      <c r="C940" s="42"/>
      <c r="D940" s="42"/>
      <c r="E940" s="12"/>
      <c r="F940" s="319" t="str">
        <f>"0x"&amp;BIN2HEX(CONCATENATE(C933,D933,E933,F933,G933,H933,I933,J933),2)&amp;BIN2HEX(CONCATENATE(K933,L933,M933,N933,O933,P933,Q933,R933),2)&amp;BIN2HEX(CONCATENATE(S933,T933,U933,V933,W933,X933,Y933,Z933),2)&amp;BIN2HEX(CONCATENATE(AA933,AB933,AC933,AD933,AE933,AF933,AG933,AH933),2)</f>
        <v>0x00000000</v>
      </c>
      <c r="G940" s="319"/>
      <c r="H940" s="319"/>
      <c r="I940" s="12"/>
      <c r="J940" s="319" t="str">
        <f>"0b"&amp;C937&amp;D937&amp;E937&amp;F937&amp;G937&amp;H937&amp;I937&amp;J937&amp;K937&amp;L937&amp;M937&amp;N937&amp;O937&amp;P937&amp;Q937</f>
        <v>0b000000000000100</v>
      </c>
      <c r="K940" s="319"/>
      <c r="L940" s="319"/>
      <c r="M940" s="319"/>
      <c r="N940" s="12"/>
      <c r="O940" s="319" t="str">
        <f>"0b"&amp;DEC2BIN(((AF937+AE937*2+AD937*4+AC937*8+AB937*16+AA937*32+Z937*64+Y937*128+X937*256+W937*512+V937*1024+U937*2048+T937*4096+S937*2^13+R937*2^14)/512),6)&amp;DEC2BIN(MOD((AF937+AE937*2+AD937*4+AC937*8+AB937*16+AA937*32+Z937*64+Y937*128+X937*256+W937*512+V937*1024+U937*2048+T937*4096+S937*2^13+R937*2^14),512),9)</f>
        <v>0b000000110001101</v>
      </c>
      <c r="P940" s="319"/>
      <c r="Q940" s="319"/>
      <c r="R940" s="319"/>
      <c r="S940" s="12"/>
      <c r="T940" s="13">
        <v>0</v>
      </c>
      <c r="U940" s="13">
        <f>AH937</f>
        <v>0</v>
      </c>
      <c r="V940" s="5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6"/>
    </row>
    <row r="941" spans="1:35" x14ac:dyDescent="0.25">
      <c r="A941" s="3"/>
      <c r="B941" s="42"/>
      <c r="C941" s="42"/>
      <c r="D941" s="42"/>
      <c r="E941" s="15"/>
      <c r="F941" s="43"/>
      <c r="G941" s="43"/>
      <c r="H941" s="43"/>
      <c r="I941" s="15"/>
      <c r="J941" s="42"/>
      <c r="K941" s="42"/>
      <c r="L941" s="42"/>
      <c r="M941" s="42"/>
      <c r="N941" s="15"/>
      <c r="O941" s="42"/>
      <c r="P941" s="42"/>
      <c r="Q941" s="42"/>
      <c r="R941" s="42"/>
      <c r="S941" s="15"/>
      <c r="T941" s="13"/>
      <c r="U941" s="15"/>
      <c r="V941" s="5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6"/>
    </row>
    <row r="942" spans="1:35" x14ac:dyDescent="0.25">
      <c r="A942" s="3"/>
      <c r="B942" s="42"/>
      <c r="C942" s="42"/>
      <c r="D942" s="42"/>
      <c r="E942" s="15"/>
      <c r="F942" s="43"/>
      <c r="G942" s="43"/>
      <c r="H942" s="43"/>
      <c r="I942" s="15"/>
      <c r="J942" s="42"/>
      <c r="K942" s="42"/>
      <c r="L942" s="42"/>
      <c r="M942" s="42"/>
      <c r="N942" s="15"/>
      <c r="O942" s="42"/>
      <c r="P942" s="42"/>
      <c r="Q942" s="42"/>
      <c r="R942" s="42"/>
      <c r="S942" s="15"/>
      <c r="T942" s="13"/>
      <c r="U942" s="15"/>
      <c r="V942" s="5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6"/>
    </row>
    <row r="943" spans="1:35" x14ac:dyDescent="0.25">
      <c r="A943" s="3"/>
      <c r="B943" s="5"/>
      <c r="C943" s="5"/>
      <c r="D943" s="5"/>
      <c r="E943" s="5"/>
      <c r="F943" s="17"/>
      <c r="G943" s="17"/>
      <c r="H943" s="17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6"/>
    </row>
    <row r="944" spans="1:35" x14ac:dyDescent="0.25">
      <c r="A944" s="3"/>
      <c r="B944" s="5" t="s">
        <v>47</v>
      </c>
      <c r="C944" s="18"/>
      <c r="D944" s="18"/>
      <c r="E944" s="18"/>
      <c r="F944" s="5"/>
      <c r="G944" s="5"/>
      <c r="H944" s="5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18"/>
      <c r="AI944" s="6"/>
    </row>
    <row r="945" spans="1:35" ht="15" customHeight="1" x14ac:dyDescent="0.25">
      <c r="A945" s="3"/>
      <c r="B945" s="42" t="str">
        <f>"0x"&amp;DEC2HEX(Sheet3!$I$4,8)</f>
        <v>0x00400320</v>
      </c>
      <c r="C945" s="42"/>
      <c r="D945" s="42"/>
      <c r="E945" s="16"/>
      <c r="F945" s="322" t="str">
        <f>F940&amp;BIN2HEX(MID(J940,3,8),2)&amp;BIN2HEX(RIGHT(J940,7)&amp;MID(O940,3,1),2)&amp;BIN2HEX(MID(O940,4,8),2)&amp;BIN2HEX(RIGHT(O940,6)&amp;T940&amp;U940,2)</f>
        <v>0x0000000000080634</v>
      </c>
      <c r="G945" s="322"/>
      <c r="H945" s="322"/>
      <c r="I945" s="322"/>
      <c r="J945" s="5"/>
      <c r="K945" s="5"/>
      <c r="L945" s="5"/>
      <c r="M945" s="5"/>
      <c r="N945" s="5"/>
      <c r="O945" s="5"/>
      <c r="P945" s="16"/>
      <c r="Q945" s="16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5"/>
      <c r="AH945" s="5"/>
      <c r="AI945" s="6"/>
    </row>
    <row r="946" spans="1:35" x14ac:dyDescent="0.25">
      <c r="A946" s="3"/>
      <c r="B946" s="37"/>
      <c r="C946" s="37"/>
      <c r="D946" s="37"/>
      <c r="E946" s="5"/>
      <c r="F946" s="38"/>
      <c r="G946" s="38"/>
      <c r="H946" s="38"/>
      <c r="I946" s="38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6"/>
    </row>
    <row r="947" spans="1:35" x14ac:dyDescent="0.25">
      <c r="A947" s="3"/>
      <c r="B947" s="37"/>
      <c r="C947" s="37"/>
      <c r="D947" s="37"/>
      <c r="E947" s="5"/>
      <c r="F947" s="38"/>
      <c r="G947" s="38"/>
      <c r="H947" s="38"/>
      <c r="I947" s="38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6"/>
    </row>
    <row r="948" spans="1:35" x14ac:dyDescent="0.25">
      <c r="A948" s="20"/>
      <c r="B948" s="21"/>
      <c r="C948" s="21"/>
      <c r="D948" s="21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2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1"/>
      <c r="AI948" s="23"/>
    </row>
    <row r="949" spans="1:35" x14ac:dyDescent="0.25">
      <c r="A949" s="24"/>
      <c r="B949" s="28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  <c r="AD949" s="25"/>
      <c r="AE949" s="25"/>
      <c r="AF949" s="25"/>
      <c r="AG949" s="25"/>
      <c r="AH949" s="25"/>
      <c r="AI949" s="26"/>
    </row>
    <row r="950" spans="1:35" x14ac:dyDescent="0.25">
      <c r="A950" s="3"/>
      <c r="B950" s="4" t="s">
        <v>175</v>
      </c>
      <c r="C950" s="5"/>
      <c r="D950" s="5"/>
      <c r="E950" s="5"/>
      <c r="F950" s="5"/>
      <c r="G950" s="5"/>
      <c r="H950" s="5"/>
      <c r="I950" s="5" t="str">
        <f>"0x"&amp;BIN2HEX(CONCATENATE(C955,D955,E955,F955,G955,H955,I955,J955),2)&amp;BIN2HEX(CONCATENATE(K955,L955,M955,N955,O955,P955,Q955,R955),2)&amp;BIN2HEX(CONCATENATE(S955,T955,U955,V955,W955,X955,Y955,Z955),2)&amp;BIN2HEX(CONCATENATE(AA955,AB955,AC955,AD955,AE955,AF955,AG955,AH955),2)&amp;"_"&amp;BIN2HEX(CONCATENATE(C959,D959,E959,F959,G959,H959,I959,J959),2)&amp;BIN2HEX(CONCATENATE(K959,L959,M959,N959,O959,P959,Q959,R959),2)&amp;BIN2HEX(CONCATENATE(S959,T959,U959,V959,W959,X959,Y959,Z959),2)&amp;BIN2HEX(CONCATENATE(AA959,AB959,AC959,AD959,AE959,AF959,AG959,AH959),2)</f>
        <v>0x00000000_00080638</v>
      </c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6"/>
    </row>
    <row r="951" spans="1:35" ht="15.75" thickBot="1" x14ac:dyDescent="0.3">
      <c r="A951" s="3"/>
      <c r="B951" s="5"/>
      <c r="C951" s="7">
        <v>0</v>
      </c>
      <c r="D951" s="7">
        <v>1</v>
      </c>
      <c r="E951" s="7">
        <v>2</v>
      </c>
      <c r="F951" s="7">
        <v>3</v>
      </c>
      <c r="G951" s="7">
        <v>4</v>
      </c>
      <c r="H951" s="7">
        <v>5</v>
      </c>
      <c r="I951" s="7">
        <v>6</v>
      </c>
      <c r="J951" s="7">
        <v>7</v>
      </c>
      <c r="K951" s="7">
        <v>8</v>
      </c>
      <c r="L951" s="7">
        <v>9</v>
      </c>
      <c r="M951" s="7">
        <v>10</v>
      </c>
      <c r="N951" s="7">
        <v>11</v>
      </c>
      <c r="O951" s="7">
        <v>12</v>
      </c>
      <c r="P951" s="7">
        <v>13</v>
      </c>
      <c r="Q951" s="7">
        <v>14</v>
      </c>
      <c r="R951" s="7">
        <v>15</v>
      </c>
      <c r="S951" s="7">
        <v>16</v>
      </c>
      <c r="T951" s="7">
        <v>17</v>
      </c>
      <c r="U951" s="7">
        <v>18</v>
      </c>
      <c r="V951" s="7">
        <v>19</v>
      </c>
      <c r="W951" s="7">
        <v>20</v>
      </c>
      <c r="X951" s="7">
        <v>21</v>
      </c>
      <c r="Y951" s="7">
        <v>22</v>
      </c>
      <c r="Z951" s="7">
        <v>23</v>
      </c>
      <c r="AA951" s="7">
        <v>24</v>
      </c>
      <c r="AB951" s="7">
        <v>25</v>
      </c>
      <c r="AC951" s="7">
        <v>26</v>
      </c>
      <c r="AD951" s="7">
        <v>27</v>
      </c>
      <c r="AE951" s="7">
        <v>28</v>
      </c>
      <c r="AF951" s="7">
        <v>29</v>
      </c>
      <c r="AG951" s="7">
        <v>30</v>
      </c>
      <c r="AH951" s="7">
        <v>31</v>
      </c>
      <c r="AI951" s="6"/>
    </row>
    <row r="952" spans="1:35" ht="15" customHeight="1" x14ac:dyDescent="0.25">
      <c r="A952" s="3"/>
      <c r="B952" s="5" t="s">
        <v>31</v>
      </c>
      <c r="C952" s="328" t="s">
        <v>161</v>
      </c>
      <c r="D952" s="330" t="s">
        <v>63</v>
      </c>
      <c r="E952" s="331"/>
      <c r="F952" s="331"/>
      <c r="G952" s="331"/>
      <c r="H952" s="331"/>
      <c r="I952" s="331"/>
      <c r="J952" s="332"/>
      <c r="K952" s="336">
        <v>0</v>
      </c>
      <c r="L952" s="337"/>
      <c r="M952" s="337"/>
      <c r="N952" s="337"/>
      <c r="O952" s="337"/>
      <c r="P952" s="337"/>
      <c r="Q952" s="337"/>
      <c r="R952" s="337"/>
      <c r="S952" s="337"/>
      <c r="T952" s="337"/>
      <c r="U952" s="337"/>
      <c r="V952" s="337"/>
      <c r="W952" s="337"/>
      <c r="X952" s="337"/>
      <c r="Y952" s="337"/>
      <c r="Z952" s="337"/>
      <c r="AA952" s="337"/>
      <c r="AB952" s="337"/>
      <c r="AC952" s="337"/>
      <c r="AD952" s="337"/>
      <c r="AE952" s="337"/>
      <c r="AF952" s="337"/>
      <c r="AG952" s="337"/>
      <c r="AH952" s="338"/>
      <c r="AI952" s="6"/>
    </row>
    <row r="953" spans="1:35" x14ac:dyDescent="0.25">
      <c r="A953" s="3"/>
      <c r="B953" s="5" t="s">
        <v>32</v>
      </c>
      <c r="C953" s="329"/>
      <c r="D953" s="333"/>
      <c r="E953" s="334"/>
      <c r="F953" s="334"/>
      <c r="G953" s="334"/>
      <c r="H953" s="334"/>
      <c r="I953" s="334"/>
      <c r="J953" s="335"/>
      <c r="K953" s="339"/>
      <c r="L953" s="340"/>
      <c r="M953" s="340"/>
      <c r="N953" s="340"/>
      <c r="O953" s="340"/>
      <c r="P953" s="340"/>
      <c r="Q953" s="340"/>
      <c r="R953" s="340"/>
      <c r="S953" s="340"/>
      <c r="T953" s="340"/>
      <c r="U953" s="340"/>
      <c r="V953" s="340"/>
      <c r="W953" s="340"/>
      <c r="X953" s="340"/>
      <c r="Y953" s="340"/>
      <c r="Z953" s="340"/>
      <c r="AA953" s="340"/>
      <c r="AB953" s="340"/>
      <c r="AC953" s="340"/>
      <c r="AD953" s="340"/>
      <c r="AE953" s="340"/>
      <c r="AF953" s="340"/>
      <c r="AG953" s="340"/>
      <c r="AH953" s="341"/>
      <c r="AI953" s="6"/>
    </row>
    <row r="954" spans="1:35" x14ac:dyDescent="0.25">
      <c r="A954" s="3"/>
      <c r="B954" s="5" t="s">
        <v>11</v>
      </c>
      <c r="C954" s="56">
        <v>0</v>
      </c>
      <c r="D954" s="57">
        <v>0</v>
      </c>
      <c r="E954" s="57">
        <v>0</v>
      </c>
      <c r="F954" s="57">
        <v>0</v>
      </c>
      <c r="G954" s="57">
        <v>0</v>
      </c>
      <c r="H954" s="57">
        <v>0</v>
      </c>
      <c r="I954" s="57">
        <v>0</v>
      </c>
      <c r="J954" s="57">
        <v>0</v>
      </c>
      <c r="K954" s="57">
        <v>0</v>
      </c>
      <c r="L954" s="57">
        <v>0</v>
      </c>
      <c r="M954" s="57">
        <v>0</v>
      </c>
      <c r="N954" s="57">
        <v>0</v>
      </c>
      <c r="O954" s="57">
        <v>0</v>
      </c>
      <c r="P954" s="57">
        <v>0</v>
      </c>
      <c r="Q954" s="57">
        <v>0</v>
      </c>
      <c r="R954" s="57">
        <v>0</v>
      </c>
      <c r="S954" s="57">
        <v>0</v>
      </c>
      <c r="T954" s="57">
        <v>0</v>
      </c>
      <c r="U954" s="57">
        <v>0</v>
      </c>
      <c r="V954" s="57">
        <v>0</v>
      </c>
      <c r="W954" s="57">
        <v>0</v>
      </c>
      <c r="X954" s="57">
        <v>0</v>
      </c>
      <c r="Y954" s="57">
        <v>0</v>
      </c>
      <c r="Z954" s="57">
        <v>0</v>
      </c>
      <c r="AA954" s="57">
        <v>0</v>
      </c>
      <c r="AB954" s="57">
        <v>0</v>
      </c>
      <c r="AC954" s="57">
        <v>0</v>
      </c>
      <c r="AD954" s="57">
        <v>0</v>
      </c>
      <c r="AE954" s="57">
        <v>0</v>
      </c>
      <c r="AF954" s="57">
        <v>0</v>
      </c>
      <c r="AG954" s="57">
        <v>0</v>
      </c>
      <c r="AH954" s="58">
        <v>0</v>
      </c>
      <c r="AI954" s="6"/>
    </row>
    <row r="955" spans="1:35" ht="15.75" thickBot="1" x14ac:dyDescent="0.3">
      <c r="A955" s="3"/>
      <c r="B955" s="5" t="s">
        <v>12</v>
      </c>
      <c r="C955" s="145">
        <v>0</v>
      </c>
      <c r="D955" s="88">
        <v>0</v>
      </c>
      <c r="E955" s="88">
        <v>0</v>
      </c>
      <c r="F955" s="88">
        <v>0</v>
      </c>
      <c r="G955" s="88">
        <v>0</v>
      </c>
      <c r="H955" s="88">
        <v>0</v>
      </c>
      <c r="I955" s="88">
        <v>0</v>
      </c>
      <c r="J955" s="88">
        <v>0</v>
      </c>
      <c r="K955" s="62">
        <v>0</v>
      </c>
      <c r="L955" s="62">
        <v>0</v>
      </c>
      <c r="M955" s="62">
        <v>0</v>
      </c>
      <c r="N955" s="62">
        <v>0</v>
      </c>
      <c r="O955" s="62">
        <v>0</v>
      </c>
      <c r="P955" s="62">
        <v>0</v>
      </c>
      <c r="Q955" s="62">
        <v>0</v>
      </c>
      <c r="R955" s="62">
        <v>0</v>
      </c>
      <c r="S955" s="62">
        <v>0</v>
      </c>
      <c r="T955" s="62">
        <v>0</v>
      </c>
      <c r="U955" s="62">
        <v>0</v>
      </c>
      <c r="V955" s="62">
        <v>0</v>
      </c>
      <c r="W955" s="62">
        <v>0</v>
      </c>
      <c r="X955" s="62">
        <v>0</v>
      </c>
      <c r="Y955" s="62">
        <v>0</v>
      </c>
      <c r="Z955" s="62">
        <v>0</v>
      </c>
      <c r="AA955" s="62">
        <v>0</v>
      </c>
      <c r="AB955" s="62">
        <v>0</v>
      </c>
      <c r="AC955" s="62">
        <v>0</v>
      </c>
      <c r="AD955" s="62">
        <v>0</v>
      </c>
      <c r="AE955" s="62">
        <v>0</v>
      </c>
      <c r="AF955" s="62">
        <v>0</v>
      </c>
      <c r="AG955" s="62">
        <v>0</v>
      </c>
      <c r="AH955" s="146">
        <v>0</v>
      </c>
      <c r="AI955" s="6"/>
    </row>
    <row r="956" spans="1:35" x14ac:dyDescent="0.25">
      <c r="A956" s="3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6"/>
    </row>
    <row r="957" spans="1:35" ht="15.75" thickBot="1" x14ac:dyDescent="0.3">
      <c r="A957" s="3"/>
      <c r="B957" s="5"/>
      <c r="C957" s="7">
        <v>32</v>
      </c>
      <c r="D957" s="7">
        <v>33</v>
      </c>
      <c r="E957" s="7">
        <v>34</v>
      </c>
      <c r="F957" s="7">
        <v>35</v>
      </c>
      <c r="G957" s="7">
        <v>36</v>
      </c>
      <c r="H957" s="7">
        <v>37</v>
      </c>
      <c r="I957" s="7">
        <v>38</v>
      </c>
      <c r="J957" s="7">
        <v>39</v>
      </c>
      <c r="K957" s="7">
        <v>40</v>
      </c>
      <c r="L957" s="7">
        <v>41</v>
      </c>
      <c r="M957" s="7">
        <v>42</v>
      </c>
      <c r="N957" s="7">
        <v>43</v>
      </c>
      <c r="O957" s="7">
        <v>44</v>
      </c>
      <c r="P957" s="7">
        <v>45</v>
      </c>
      <c r="Q957" s="7">
        <v>46</v>
      </c>
      <c r="R957" s="7">
        <v>47</v>
      </c>
      <c r="S957" s="7">
        <v>48</v>
      </c>
      <c r="T957" s="7">
        <v>49</v>
      </c>
      <c r="U957" s="7">
        <v>50</v>
      </c>
      <c r="V957" s="7">
        <v>51</v>
      </c>
      <c r="W957" s="7">
        <v>52</v>
      </c>
      <c r="X957" s="7">
        <v>53</v>
      </c>
      <c r="Y957" s="7">
        <v>54</v>
      </c>
      <c r="Z957" s="7">
        <v>55</v>
      </c>
      <c r="AA957" s="7">
        <v>56</v>
      </c>
      <c r="AB957" s="7">
        <v>57</v>
      </c>
      <c r="AC957" s="7">
        <v>58</v>
      </c>
      <c r="AD957" s="7">
        <v>59</v>
      </c>
      <c r="AE957" s="7">
        <v>60</v>
      </c>
      <c r="AF957" s="7">
        <v>61</v>
      </c>
      <c r="AG957" s="7">
        <v>62</v>
      </c>
      <c r="AH957" s="7">
        <v>63</v>
      </c>
      <c r="AI957" s="6"/>
    </row>
    <row r="958" spans="1:35" ht="15.75" thickBot="1" x14ac:dyDescent="0.3">
      <c r="A958" s="3"/>
      <c r="B958" s="5"/>
      <c r="C958" s="147" t="s">
        <v>13</v>
      </c>
      <c r="D958" s="148" t="s">
        <v>14</v>
      </c>
      <c r="E958" s="148" t="s">
        <v>15</v>
      </c>
      <c r="F958" s="148" t="s">
        <v>16</v>
      </c>
      <c r="G958" s="148" t="s">
        <v>17</v>
      </c>
      <c r="H958" s="148" t="s">
        <v>18</v>
      </c>
      <c r="I958" s="148" t="s">
        <v>19</v>
      </c>
      <c r="J958" s="148" t="s">
        <v>20</v>
      </c>
      <c r="K958" s="148" t="s">
        <v>21</v>
      </c>
      <c r="L958" s="148" t="s">
        <v>22</v>
      </c>
      <c r="M958" s="148" t="s">
        <v>23</v>
      </c>
      <c r="N958" s="148" t="s">
        <v>24</v>
      </c>
      <c r="O958" s="148" t="s">
        <v>25</v>
      </c>
      <c r="P958" s="148" t="s">
        <v>26</v>
      </c>
      <c r="Q958" s="148" t="s">
        <v>27</v>
      </c>
      <c r="R958" s="342" t="s">
        <v>30</v>
      </c>
      <c r="S958" s="343"/>
      <c r="T958" s="343"/>
      <c r="U958" s="343"/>
      <c r="V958" s="343"/>
      <c r="W958" s="343"/>
      <c r="X958" s="343"/>
      <c r="Y958" s="343"/>
      <c r="Z958" s="343"/>
      <c r="AA958" s="343"/>
      <c r="AB958" s="343"/>
      <c r="AC958" s="343"/>
      <c r="AD958" s="343"/>
      <c r="AE958" s="343"/>
      <c r="AF958" s="344"/>
      <c r="AG958" s="67" t="s">
        <v>28</v>
      </c>
      <c r="AH958" s="149" t="s">
        <v>29</v>
      </c>
      <c r="AI958" s="6"/>
    </row>
    <row r="959" spans="1:35" ht="15.75" thickBot="1" x14ac:dyDescent="0.3">
      <c r="A959" s="3"/>
      <c r="B959" s="5"/>
      <c r="C959" s="150">
        <v>0</v>
      </c>
      <c r="D959" s="151">
        <v>0</v>
      </c>
      <c r="E959" s="151">
        <v>0</v>
      </c>
      <c r="F959" s="151">
        <v>0</v>
      </c>
      <c r="G959" s="151">
        <v>0</v>
      </c>
      <c r="H959" s="151">
        <v>0</v>
      </c>
      <c r="I959" s="151">
        <v>0</v>
      </c>
      <c r="J959" s="151">
        <v>0</v>
      </c>
      <c r="K959" s="151">
        <v>0</v>
      </c>
      <c r="L959" s="151">
        <v>0</v>
      </c>
      <c r="M959" s="151">
        <v>0</v>
      </c>
      <c r="N959" s="151">
        <v>0</v>
      </c>
      <c r="O959" s="151">
        <v>1</v>
      </c>
      <c r="P959" s="151">
        <v>0</v>
      </c>
      <c r="Q959" s="151">
        <v>0</v>
      </c>
      <c r="R959" s="151">
        <v>0</v>
      </c>
      <c r="S959" s="151">
        <v>0</v>
      </c>
      <c r="T959" s="151">
        <v>0</v>
      </c>
      <c r="U959" s="151">
        <v>0</v>
      </c>
      <c r="V959" s="151">
        <v>0</v>
      </c>
      <c r="W959" s="151">
        <v>0</v>
      </c>
      <c r="X959" s="151">
        <v>1</v>
      </c>
      <c r="Y959" s="151">
        <v>1</v>
      </c>
      <c r="Z959" s="151">
        <v>0</v>
      </c>
      <c r="AA959" s="151">
        <v>0</v>
      </c>
      <c r="AB959" s="151">
        <v>0</v>
      </c>
      <c r="AC959" s="151">
        <v>1</v>
      </c>
      <c r="AD959" s="151">
        <v>1</v>
      </c>
      <c r="AE959" s="151">
        <v>1</v>
      </c>
      <c r="AF959" s="151">
        <v>0</v>
      </c>
      <c r="AG959" s="151">
        <v>0</v>
      </c>
      <c r="AH959" s="152">
        <v>0</v>
      </c>
      <c r="AI959" s="6"/>
    </row>
    <row r="960" spans="1:35" x14ac:dyDescent="0.25">
      <c r="A960" s="3"/>
      <c r="B960" s="4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6"/>
    </row>
    <row r="961" spans="1:35" x14ac:dyDescent="0.25">
      <c r="A961" s="3"/>
      <c r="B961" s="8" t="s">
        <v>43</v>
      </c>
      <c r="C961" s="9"/>
      <c r="D961" s="9"/>
      <c r="E961" s="9"/>
      <c r="F961" s="44" t="s">
        <v>44</v>
      </c>
      <c r="G961" s="44"/>
      <c r="H961" s="44"/>
      <c r="I961" s="9"/>
      <c r="J961" s="45" t="s">
        <v>45</v>
      </c>
      <c r="K961" s="45"/>
      <c r="L961" s="45"/>
      <c r="M961" s="45"/>
      <c r="N961" s="9"/>
      <c r="O961" s="46" t="s">
        <v>46</v>
      </c>
      <c r="P961" s="46"/>
      <c r="Q961" s="46"/>
      <c r="R961" s="46"/>
      <c r="S961" s="9"/>
      <c r="T961" s="1" t="s">
        <v>49</v>
      </c>
      <c r="U961" s="10" t="s">
        <v>48</v>
      </c>
      <c r="V961" s="5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  <c r="AH961" s="9"/>
      <c r="AI961" s="6"/>
    </row>
    <row r="962" spans="1:35" ht="15" customHeight="1" x14ac:dyDescent="0.25">
      <c r="A962" s="3"/>
      <c r="B962" s="42" t="str">
        <f>"0x"&amp;DEC2HEX(Sheet3!$I$4,8)</f>
        <v>0x00400320</v>
      </c>
      <c r="C962" s="42"/>
      <c r="D962" s="42"/>
      <c r="E962" s="12"/>
      <c r="F962" s="319" t="str">
        <f>"0x"&amp;BIN2HEX(CONCATENATE(C955,D955,E955,F955,G955,H955,I955,J955),2)&amp;BIN2HEX(CONCATENATE(K955,L955,M955,N955,O955,P955,Q955,R955),2)&amp;BIN2HEX(CONCATENATE(S955,T955,U955,V955,W955,X955,Y955,Z955),2)&amp;BIN2HEX(CONCATENATE(AA955,AB955,AC955,AD955,AE955,AF955,AG955,AH955),2)</f>
        <v>0x00000000</v>
      </c>
      <c r="G962" s="319"/>
      <c r="H962" s="319"/>
      <c r="I962" s="12"/>
      <c r="J962" s="319" t="str">
        <f>"0b"&amp;C959&amp;D959&amp;E959&amp;F959&amp;G959&amp;H959&amp;I959&amp;J959&amp;K959&amp;L959&amp;M959&amp;N959&amp;O959&amp;P959&amp;Q959</f>
        <v>0b000000000000100</v>
      </c>
      <c r="K962" s="319"/>
      <c r="L962" s="319"/>
      <c r="M962" s="319"/>
      <c r="N962" s="12"/>
      <c r="O962" s="319" t="str">
        <f>"0b"&amp;DEC2BIN(((AF959+AE959*2+AD959*4+AC959*8+AB959*16+AA959*32+Z959*64+Y959*128+X959*256+W959*512+V959*1024+U959*2048+T959*4096+S959*2^13+R959*2^14)/512),6)&amp;DEC2BIN(MOD((AF959+AE959*2+AD959*4+AC959*8+AB959*16+AA959*32+Z959*64+Y959*128+X959*256+W959*512+V959*1024+U959*2048+T959*4096+S959*2^13+R959*2^14),512),9)</f>
        <v>0b000000110001110</v>
      </c>
      <c r="P962" s="319"/>
      <c r="Q962" s="319"/>
      <c r="R962" s="319"/>
      <c r="S962" s="12"/>
      <c r="T962" s="13">
        <v>0</v>
      </c>
      <c r="U962" s="13">
        <f>AH959</f>
        <v>0</v>
      </c>
      <c r="V962" s="5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6"/>
    </row>
    <row r="963" spans="1:35" x14ac:dyDescent="0.25">
      <c r="A963" s="3"/>
      <c r="B963" s="42"/>
      <c r="C963" s="42"/>
      <c r="D963" s="42"/>
      <c r="E963" s="15"/>
      <c r="F963" s="43"/>
      <c r="G963" s="43"/>
      <c r="H963" s="43"/>
      <c r="I963" s="15"/>
      <c r="J963" s="42"/>
      <c r="K963" s="42"/>
      <c r="L963" s="42"/>
      <c r="M963" s="42"/>
      <c r="N963" s="15"/>
      <c r="O963" s="42"/>
      <c r="P963" s="42"/>
      <c r="Q963" s="42"/>
      <c r="R963" s="42"/>
      <c r="S963" s="15"/>
      <c r="T963" s="13"/>
      <c r="U963" s="15"/>
      <c r="V963" s="5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6"/>
    </row>
    <row r="964" spans="1:35" x14ac:dyDescent="0.25">
      <c r="A964" s="3"/>
      <c r="B964" s="42"/>
      <c r="C964" s="42"/>
      <c r="D964" s="42"/>
      <c r="E964" s="15"/>
      <c r="F964" s="43"/>
      <c r="G964" s="43"/>
      <c r="H964" s="43"/>
      <c r="I964" s="15"/>
      <c r="J964" s="42"/>
      <c r="K964" s="42"/>
      <c r="L964" s="42"/>
      <c r="M964" s="42"/>
      <c r="N964" s="15"/>
      <c r="O964" s="42"/>
      <c r="P964" s="42"/>
      <c r="Q964" s="42"/>
      <c r="R964" s="42"/>
      <c r="S964" s="15"/>
      <c r="T964" s="13"/>
      <c r="U964" s="15"/>
      <c r="V964" s="5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6"/>
    </row>
    <row r="965" spans="1:35" x14ac:dyDescent="0.25">
      <c r="A965" s="3"/>
      <c r="B965" s="5"/>
      <c r="C965" s="5"/>
      <c r="D965" s="5"/>
      <c r="E965" s="5"/>
      <c r="F965" s="17"/>
      <c r="G965" s="17"/>
      <c r="H965" s="17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6"/>
    </row>
    <row r="966" spans="1:35" x14ac:dyDescent="0.25">
      <c r="A966" s="3"/>
      <c r="B966" s="5" t="s">
        <v>47</v>
      </c>
      <c r="C966" s="18"/>
      <c r="D966" s="18"/>
      <c r="E966" s="18"/>
      <c r="F966" s="5"/>
      <c r="G966" s="5"/>
      <c r="H966" s="5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18"/>
      <c r="AI966" s="6"/>
    </row>
    <row r="967" spans="1:35" ht="15" customHeight="1" x14ac:dyDescent="0.25">
      <c r="A967" s="3"/>
      <c r="B967" s="42" t="str">
        <f>"0x"&amp;DEC2HEX(Sheet3!$I$4,8)</f>
        <v>0x00400320</v>
      </c>
      <c r="C967" s="42"/>
      <c r="D967" s="42"/>
      <c r="E967" s="16"/>
      <c r="F967" s="322" t="str">
        <f>F962&amp;BIN2HEX(MID(J962,3,8),2)&amp;BIN2HEX(RIGHT(J962,7)&amp;MID(O962,3,1),2)&amp;BIN2HEX(MID(O962,4,8),2)&amp;BIN2HEX(RIGHT(O962,6)&amp;T962&amp;U962,2)</f>
        <v>0x0000000000080638</v>
      </c>
      <c r="G967" s="322"/>
      <c r="H967" s="322"/>
      <c r="I967" s="322"/>
      <c r="J967" s="5"/>
      <c r="K967" s="5"/>
      <c r="L967" s="5"/>
      <c r="M967" s="5"/>
      <c r="N967" s="5"/>
      <c r="O967" s="5"/>
      <c r="P967" s="16"/>
      <c r="Q967" s="16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5"/>
      <c r="AH967" s="5"/>
      <c r="AI967" s="6"/>
    </row>
    <row r="968" spans="1:35" x14ac:dyDescent="0.25">
      <c r="A968" s="3"/>
      <c r="B968" s="37"/>
      <c r="C968" s="37"/>
      <c r="D968" s="37"/>
      <c r="E968" s="5"/>
      <c r="F968" s="38"/>
      <c r="G968" s="38"/>
      <c r="H968" s="38"/>
      <c r="I968" s="38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6"/>
    </row>
    <row r="969" spans="1:35" x14ac:dyDescent="0.25">
      <c r="A969" s="3"/>
      <c r="B969" s="37"/>
      <c r="C969" s="37"/>
      <c r="D969" s="37"/>
      <c r="E969" s="5"/>
      <c r="F969" s="38"/>
      <c r="G969" s="38"/>
      <c r="H969" s="38"/>
      <c r="I969" s="38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6"/>
    </row>
    <row r="970" spans="1:35" x14ac:dyDescent="0.25">
      <c r="A970" s="20"/>
      <c r="B970" s="21"/>
      <c r="C970" s="21"/>
      <c r="D970" s="21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2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1"/>
      <c r="AI970" s="23"/>
    </row>
    <row r="971" spans="1:35" x14ac:dyDescent="0.25">
      <c r="A971" s="24"/>
      <c r="B971" s="28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  <c r="AD971" s="25"/>
      <c r="AE971" s="25"/>
      <c r="AF971" s="25"/>
      <c r="AG971" s="25"/>
      <c r="AH971" s="25"/>
      <c r="AI971" s="26"/>
    </row>
    <row r="972" spans="1:35" x14ac:dyDescent="0.25">
      <c r="A972" s="3"/>
      <c r="B972" s="4" t="s">
        <v>176</v>
      </c>
      <c r="C972" s="5"/>
      <c r="D972" s="5"/>
      <c r="E972" s="5"/>
      <c r="F972" s="5"/>
      <c r="G972" s="5"/>
      <c r="H972" s="5"/>
      <c r="I972" s="5" t="str">
        <f>"0x"&amp;BIN2HEX(CONCATENATE(C977,D977,E977,F977,G977,H977,I977,J977),2)&amp;BIN2HEX(CONCATENATE(K977,L977,M977,N977,O977,P977,Q977,R977),2)&amp;BIN2HEX(CONCATENATE(S977,T977,U977,V977,W977,X977,Y977,Z977),2)&amp;BIN2HEX(CONCATENATE(AA977,AB977,AC977,AD977,AE977,AF977,AG977,AH977),2)&amp;"_"&amp;BIN2HEX(CONCATENATE(C981,D981,E981,F981,G981,H981,I981,J981),2)&amp;BIN2HEX(CONCATENATE(K981,L981,M981,N981,O981,P981,Q981,R981),2)&amp;BIN2HEX(CONCATENATE(S981,T981,U981,V981,W981,X981,Y981,Z981),2)&amp;BIN2HEX(CONCATENATE(AA981,AB981,AC981,AD981,AE981,AF981,AG981,AH981),2)</f>
        <v>0x00000000_0008063C</v>
      </c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6"/>
    </row>
    <row r="973" spans="1:35" ht="15.75" thickBot="1" x14ac:dyDescent="0.3">
      <c r="A973" s="3"/>
      <c r="B973" s="5"/>
      <c r="C973" s="7">
        <v>0</v>
      </c>
      <c r="D973" s="7">
        <v>1</v>
      </c>
      <c r="E973" s="7">
        <v>2</v>
      </c>
      <c r="F973" s="7">
        <v>3</v>
      </c>
      <c r="G973" s="7">
        <v>4</v>
      </c>
      <c r="H973" s="7">
        <v>5</v>
      </c>
      <c r="I973" s="7">
        <v>6</v>
      </c>
      <c r="J973" s="7">
        <v>7</v>
      </c>
      <c r="K973" s="7">
        <v>8</v>
      </c>
      <c r="L973" s="7">
        <v>9</v>
      </c>
      <c r="M973" s="7">
        <v>10</v>
      </c>
      <c r="N973" s="7">
        <v>11</v>
      </c>
      <c r="O973" s="7">
        <v>12</v>
      </c>
      <c r="P973" s="7">
        <v>13</v>
      </c>
      <c r="Q973" s="7">
        <v>14</v>
      </c>
      <c r="R973" s="7">
        <v>15</v>
      </c>
      <c r="S973" s="7">
        <v>16</v>
      </c>
      <c r="T973" s="7">
        <v>17</v>
      </c>
      <c r="U973" s="7">
        <v>18</v>
      </c>
      <c r="V973" s="7">
        <v>19</v>
      </c>
      <c r="W973" s="7">
        <v>20</v>
      </c>
      <c r="X973" s="7">
        <v>21</v>
      </c>
      <c r="Y973" s="7">
        <v>22</v>
      </c>
      <c r="Z973" s="7">
        <v>23</v>
      </c>
      <c r="AA973" s="7">
        <v>24</v>
      </c>
      <c r="AB973" s="7">
        <v>25</v>
      </c>
      <c r="AC973" s="7">
        <v>26</v>
      </c>
      <c r="AD973" s="7">
        <v>27</v>
      </c>
      <c r="AE973" s="7">
        <v>28</v>
      </c>
      <c r="AF973" s="7">
        <v>29</v>
      </c>
      <c r="AG973" s="7">
        <v>30</v>
      </c>
      <c r="AH973" s="7">
        <v>31</v>
      </c>
      <c r="AI973" s="6"/>
    </row>
    <row r="974" spans="1:35" ht="15.75" customHeight="1" x14ac:dyDescent="0.25">
      <c r="A974" s="3"/>
      <c r="B974" s="5" t="s">
        <v>31</v>
      </c>
      <c r="C974" s="328" t="s">
        <v>161</v>
      </c>
      <c r="D974" s="330" t="s">
        <v>63</v>
      </c>
      <c r="E974" s="331"/>
      <c r="F974" s="331"/>
      <c r="G974" s="331"/>
      <c r="H974" s="331"/>
      <c r="I974" s="331"/>
      <c r="J974" s="332"/>
      <c r="K974" s="336">
        <v>0</v>
      </c>
      <c r="L974" s="337"/>
      <c r="M974" s="337"/>
      <c r="N974" s="337"/>
      <c r="O974" s="337"/>
      <c r="P974" s="337"/>
      <c r="Q974" s="337"/>
      <c r="R974" s="337"/>
      <c r="S974" s="337"/>
      <c r="T974" s="337"/>
      <c r="U974" s="337"/>
      <c r="V974" s="337"/>
      <c r="W974" s="337"/>
      <c r="X974" s="337"/>
      <c r="Y974" s="337"/>
      <c r="Z974" s="337"/>
      <c r="AA974" s="337"/>
      <c r="AB974" s="337"/>
      <c r="AC974" s="337"/>
      <c r="AD974" s="337"/>
      <c r="AE974" s="337"/>
      <c r="AF974" s="337"/>
      <c r="AG974" s="337"/>
      <c r="AH974" s="338"/>
      <c r="AI974" s="6"/>
    </row>
    <row r="975" spans="1:35" x14ac:dyDescent="0.25">
      <c r="A975" s="3"/>
      <c r="B975" s="5" t="s">
        <v>32</v>
      </c>
      <c r="C975" s="329"/>
      <c r="D975" s="333"/>
      <c r="E975" s="334"/>
      <c r="F975" s="334"/>
      <c r="G975" s="334"/>
      <c r="H975" s="334"/>
      <c r="I975" s="334"/>
      <c r="J975" s="335"/>
      <c r="K975" s="339"/>
      <c r="L975" s="340"/>
      <c r="M975" s="340"/>
      <c r="N975" s="340"/>
      <c r="O975" s="340"/>
      <c r="P975" s="340"/>
      <c r="Q975" s="340"/>
      <c r="R975" s="340"/>
      <c r="S975" s="340"/>
      <c r="T975" s="340"/>
      <c r="U975" s="340"/>
      <c r="V975" s="340"/>
      <c r="W975" s="340"/>
      <c r="X975" s="340"/>
      <c r="Y975" s="340"/>
      <c r="Z975" s="340"/>
      <c r="AA975" s="340"/>
      <c r="AB975" s="340"/>
      <c r="AC975" s="340"/>
      <c r="AD975" s="340"/>
      <c r="AE975" s="340"/>
      <c r="AF975" s="340"/>
      <c r="AG975" s="340"/>
      <c r="AH975" s="341"/>
      <c r="AI975" s="6"/>
    </row>
    <row r="976" spans="1:35" x14ac:dyDescent="0.25">
      <c r="A976" s="3"/>
      <c r="B976" s="5" t="s">
        <v>11</v>
      </c>
      <c r="C976" s="56">
        <v>0</v>
      </c>
      <c r="D976" s="57">
        <v>0</v>
      </c>
      <c r="E976" s="57">
        <v>0</v>
      </c>
      <c r="F976" s="57">
        <v>0</v>
      </c>
      <c r="G976" s="57">
        <v>0</v>
      </c>
      <c r="H976" s="57">
        <v>0</v>
      </c>
      <c r="I976" s="57">
        <v>0</v>
      </c>
      <c r="J976" s="57">
        <v>0</v>
      </c>
      <c r="K976" s="57">
        <v>0</v>
      </c>
      <c r="L976" s="57">
        <v>0</v>
      </c>
      <c r="M976" s="57">
        <v>0</v>
      </c>
      <c r="N976" s="57">
        <v>0</v>
      </c>
      <c r="O976" s="57">
        <v>0</v>
      </c>
      <c r="P976" s="57">
        <v>0</v>
      </c>
      <c r="Q976" s="57">
        <v>0</v>
      </c>
      <c r="R976" s="57">
        <v>0</v>
      </c>
      <c r="S976" s="57">
        <v>0</v>
      </c>
      <c r="T976" s="57">
        <v>0</v>
      </c>
      <c r="U976" s="57">
        <v>0</v>
      </c>
      <c r="V976" s="57">
        <v>0</v>
      </c>
      <c r="W976" s="57">
        <v>0</v>
      </c>
      <c r="X976" s="57">
        <v>0</v>
      </c>
      <c r="Y976" s="57">
        <v>0</v>
      </c>
      <c r="Z976" s="57">
        <v>0</v>
      </c>
      <c r="AA976" s="57">
        <v>0</v>
      </c>
      <c r="AB976" s="57">
        <v>0</v>
      </c>
      <c r="AC976" s="57">
        <v>0</v>
      </c>
      <c r="AD976" s="57">
        <v>0</v>
      </c>
      <c r="AE976" s="57">
        <v>0</v>
      </c>
      <c r="AF976" s="57">
        <v>0</v>
      </c>
      <c r="AG976" s="57">
        <v>0</v>
      </c>
      <c r="AH976" s="58">
        <v>0</v>
      </c>
      <c r="AI976" s="6"/>
    </row>
    <row r="977" spans="1:35" ht="15.75" thickBot="1" x14ac:dyDescent="0.3">
      <c r="A977" s="3"/>
      <c r="B977" s="5" t="s">
        <v>12</v>
      </c>
      <c r="C977" s="145">
        <v>0</v>
      </c>
      <c r="D977" s="88">
        <v>0</v>
      </c>
      <c r="E977" s="88">
        <v>0</v>
      </c>
      <c r="F977" s="88">
        <v>0</v>
      </c>
      <c r="G977" s="88">
        <v>0</v>
      </c>
      <c r="H977" s="88">
        <v>0</v>
      </c>
      <c r="I977" s="88">
        <v>0</v>
      </c>
      <c r="J977" s="88">
        <v>0</v>
      </c>
      <c r="K977" s="62">
        <v>0</v>
      </c>
      <c r="L977" s="62">
        <v>0</v>
      </c>
      <c r="M977" s="62">
        <v>0</v>
      </c>
      <c r="N977" s="62">
        <v>0</v>
      </c>
      <c r="O977" s="62">
        <v>0</v>
      </c>
      <c r="P977" s="62">
        <v>0</v>
      </c>
      <c r="Q977" s="62">
        <v>0</v>
      </c>
      <c r="R977" s="62">
        <v>0</v>
      </c>
      <c r="S977" s="62">
        <v>0</v>
      </c>
      <c r="T977" s="62">
        <v>0</v>
      </c>
      <c r="U977" s="62">
        <v>0</v>
      </c>
      <c r="V977" s="62">
        <v>0</v>
      </c>
      <c r="W977" s="62">
        <v>0</v>
      </c>
      <c r="X977" s="62">
        <v>0</v>
      </c>
      <c r="Y977" s="62">
        <v>0</v>
      </c>
      <c r="Z977" s="62">
        <v>0</v>
      </c>
      <c r="AA977" s="62">
        <v>0</v>
      </c>
      <c r="AB977" s="62">
        <v>0</v>
      </c>
      <c r="AC977" s="62">
        <v>0</v>
      </c>
      <c r="AD977" s="62">
        <v>0</v>
      </c>
      <c r="AE977" s="62">
        <v>0</v>
      </c>
      <c r="AF977" s="62">
        <v>0</v>
      </c>
      <c r="AG977" s="62">
        <v>0</v>
      </c>
      <c r="AH977" s="146">
        <v>0</v>
      </c>
      <c r="AI977" s="6"/>
    </row>
    <row r="978" spans="1:35" x14ac:dyDescent="0.25">
      <c r="A978" s="3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6"/>
    </row>
    <row r="979" spans="1:35" ht="15.75" thickBot="1" x14ac:dyDescent="0.3">
      <c r="A979" s="3"/>
      <c r="B979" s="5"/>
      <c r="C979" s="7">
        <v>32</v>
      </c>
      <c r="D979" s="7">
        <v>33</v>
      </c>
      <c r="E979" s="7">
        <v>34</v>
      </c>
      <c r="F979" s="7">
        <v>35</v>
      </c>
      <c r="G979" s="7">
        <v>36</v>
      </c>
      <c r="H979" s="7">
        <v>37</v>
      </c>
      <c r="I979" s="7">
        <v>38</v>
      </c>
      <c r="J979" s="7">
        <v>39</v>
      </c>
      <c r="K979" s="7">
        <v>40</v>
      </c>
      <c r="L979" s="7">
        <v>41</v>
      </c>
      <c r="M979" s="7">
        <v>42</v>
      </c>
      <c r="N979" s="7">
        <v>43</v>
      </c>
      <c r="O979" s="7">
        <v>44</v>
      </c>
      <c r="P979" s="7">
        <v>45</v>
      </c>
      <c r="Q979" s="7">
        <v>46</v>
      </c>
      <c r="R979" s="7">
        <v>47</v>
      </c>
      <c r="S979" s="7">
        <v>48</v>
      </c>
      <c r="T979" s="7">
        <v>49</v>
      </c>
      <c r="U979" s="7">
        <v>50</v>
      </c>
      <c r="V979" s="7">
        <v>51</v>
      </c>
      <c r="W979" s="7">
        <v>52</v>
      </c>
      <c r="X979" s="7">
        <v>53</v>
      </c>
      <c r="Y979" s="7">
        <v>54</v>
      </c>
      <c r="Z979" s="7">
        <v>55</v>
      </c>
      <c r="AA979" s="7">
        <v>56</v>
      </c>
      <c r="AB979" s="7">
        <v>57</v>
      </c>
      <c r="AC979" s="7">
        <v>58</v>
      </c>
      <c r="AD979" s="7">
        <v>59</v>
      </c>
      <c r="AE979" s="7">
        <v>60</v>
      </c>
      <c r="AF979" s="7">
        <v>61</v>
      </c>
      <c r="AG979" s="7">
        <v>62</v>
      </c>
      <c r="AH979" s="7">
        <v>63</v>
      </c>
      <c r="AI979" s="6"/>
    </row>
    <row r="980" spans="1:35" ht="15.75" thickBot="1" x14ac:dyDescent="0.3">
      <c r="A980" s="3"/>
      <c r="B980" s="5"/>
      <c r="C980" s="147" t="s">
        <v>13</v>
      </c>
      <c r="D980" s="148" t="s">
        <v>14</v>
      </c>
      <c r="E980" s="148" t="s">
        <v>15</v>
      </c>
      <c r="F980" s="148" t="s">
        <v>16</v>
      </c>
      <c r="G980" s="148" t="s">
        <v>17</v>
      </c>
      <c r="H980" s="148" t="s">
        <v>18</v>
      </c>
      <c r="I980" s="148" t="s">
        <v>19</v>
      </c>
      <c r="J980" s="148" t="s">
        <v>20</v>
      </c>
      <c r="K980" s="148" t="s">
        <v>21</v>
      </c>
      <c r="L980" s="148" t="s">
        <v>22</v>
      </c>
      <c r="M980" s="148" t="s">
        <v>23</v>
      </c>
      <c r="N980" s="148" t="s">
        <v>24</v>
      </c>
      <c r="O980" s="148" t="s">
        <v>25</v>
      </c>
      <c r="P980" s="148" t="s">
        <v>26</v>
      </c>
      <c r="Q980" s="148" t="s">
        <v>27</v>
      </c>
      <c r="R980" s="342" t="s">
        <v>30</v>
      </c>
      <c r="S980" s="343"/>
      <c r="T980" s="343"/>
      <c r="U980" s="343"/>
      <c r="V980" s="343"/>
      <c r="W980" s="343"/>
      <c r="X980" s="343"/>
      <c r="Y980" s="343"/>
      <c r="Z980" s="343"/>
      <c r="AA980" s="343"/>
      <c r="AB980" s="343"/>
      <c r="AC980" s="343"/>
      <c r="AD980" s="343"/>
      <c r="AE980" s="343"/>
      <c r="AF980" s="344"/>
      <c r="AG980" s="67" t="s">
        <v>28</v>
      </c>
      <c r="AH980" s="149" t="s">
        <v>29</v>
      </c>
      <c r="AI980" s="6"/>
    </row>
    <row r="981" spans="1:35" ht="15.75" thickBot="1" x14ac:dyDescent="0.3">
      <c r="A981" s="3"/>
      <c r="B981" s="5"/>
      <c r="C981" s="150">
        <v>0</v>
      </c>
      <c r="D981" s="151">
        <v>0</v>
      </c>
      <c r="E981" s="151">
        <v>0</v>
      </c>
      <c r="F981" s="151">
        <v>0</v>
      </c>
      <c r="G981" s="151">
        <v>0</v>
      </c>
      <c r="H981" s="151">
        <v>0</v>
      </c>
      <c r="I981" s="151">
        <v>0</v>
      </c>
      <c r="J981" s="151">
        <v>0</v>
      </c>
      <c r="K981" s="151">
        <v>0</v>
      </c>
      <c r="L981" s="151">
        <v>0</v>
      </c>
      <c r="M981" s="151">
        <v>0</v>
      </c>
      <c r="N981" s="151">
        <v>0</v>
      </c>
      <c r="O981" s="151">
        <v>1</v>
      </c>
      <c r="P981" s="151">
        <v>0</v>
      </c>
      <c r="Q981" s="151">
        <v>0</v>
      </c>
      <c r="R981" s="151">
        <v>0</v>
      </c>
      <c r="S981" s="151">
        <v>0</v>
      </c>
      <c r="T981" s="151">
        <v>0</v>
      </c>
      <c r="U981" s="151">
        <v>0</v>
      </c>
      <c r="V981" s="151">
        <v>0</v>
      </c>
      <c r="W981" s="151">
        <v>0</v>
      </c>
      <c r="X981" s="151">
        <v>1</v>
      </c>
      <c r="Y981" s="151">
        <v>1</v>
      </c>
      <c r="Z981" s="151">
        <v>0</v>
      </c>
      <c r="AA981" s="151">
        <v>0</v>
      </c>
      <c r="AB981" s="151">
        <v>0</v>
      </c>
      <c r="AC981" s="151">
        <v>1</v>
      </c>
      <c r="AD981" s="151">
        <v>1</v>
      </c>
      <c r="AE981" s="151">
        <v>1</v>
      </c>
      <c r="AF981" s="151">
        <v>1</v>
      </c>
      <c r="AG981" s="151">
        <v>0</v>
      </c>
      <c r="AH981" s="152">
        <v>0</v>
      </c>
      <c r="AI981" s="6"/>
    </row>
    <row r="982" spans="1:35" x14ac:dyDescent="0.25">
      <c r="A982" s="3"/>
      <c r="B982" s="4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6"/>
    </row>
    <row r="983" spans="1:35" x14ac:dyDescent="0.25">
      <c r="A983" s="3"/>
      <c r="B983" s="8" t="s">
        <v>43</v>
      </c>
      <c r="C983" s="9"/>
      <c r="D983" s="9"/>
      <c r="E983" s="9"/>
      <c r="F983" s="44" t="s">
        <v>44</v>
      </c>
      <c r="G983" s="44"/>
      <c r="H983" s="44"/>
      <c r="I983" s="9"/>
      <c r="J983" s="45" t="s">
        <v>45</v>
      </c>
      <c r="K983" s="45"/>
      <c r="L983" s="45"/>
      <c r="M983" s="45"/>
      <c r="N983" s="9"/>
      <c r="O983" s="46" t="s">
        <v>46</v>
      </c>
      <c r="P983" s="46"/>
      <c r="Q983" s="46"/>
      <c r="R983" s="46"/>
      <c r="S983" s="9"/>
      <c r="T983" s="1" t="s">
        <v>49</v>
      </c>
      <c r="U983" s="10" t="s">
        <v>48</v>
      </c>
      <c r="V983" s="5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  <c r="AH983" s="9"/>
      <c r="AI983" s="6"/>
    </row>
    <row r="984" spans="1:35" ht="15" customHeight="1" x14ac:dyDescent="0.25">
      <c r="A984" s="3"/>
      <c r="B984" s="42" t="str">
        <f>"0x"&amp;DEC2HEX(Sheet3!$I$4,8)</f>
        <v>0x00400320</v>
      </c>
      <c r="C984" s="42"/>
      <c r="D984" s="42"/>
      <c r="E984" s="12"/>
      <c r="F984" s="319" t="str">
        <f>"0x"&amp;BIN2HEX(CONCATENATE(C977,D977,E977,F977,G977,H977,I977,J977),2)&amp;BIN2HEX(CONCATENATE(K977,L977,M977,N977,O977,P977,Q977,R977),2)&amp;BIN2HEX(CONCATENATE(S977,T977,U977,V977,W977,X977,Y977,Z977),2)&amp;BIN2HEX(CONCATENATE(AA977,AB977,AC977,AD977,AE977,AF977,AG977,AH977),2)</f>
        <v>0x00000000</v>
      </c>
      <c r="G984" s="319"/>
      <c r="H984" s="319"/>
      <c r="I984" s="12"/>
      <c r="J984" s="319" t="str">
        <f>"0b"&amp;C981&amp;D981&amp;E981&amp;F981&amp;G981&amp;H981&amp;I981&amp;J981&amp;K981&amp;L981&amp;M981&amp;N981&amp;O981&amp;P981&amp;Q981</f>
        <v>0b000000000000100</v>
      </c>
      <c r="K984" s="319"/>
      <c r="L984" s="319"/>
      <c r="M984" s="319"/>
      <c r="N984" s="12"/>
      <c r="O984" s="319" t="str">
        <f>"0b"&amp;DEC2BIN(((AF981+AE981*2+AD981*4+AC981*8+AB981*16+AA981*32+Z981*64+Y981*128+X981*256+W981*512+V981*1024+U981*2048+T981*4096+S981*2^13+R981*2^14)/512),6)&amp;DEC2BIN(MOD((AF981+AE981*2+AD981*4+AC981*8+AB981*16+AA981*32+Z981*64+Y981*128+X981*256+W981*512+V981*1024+U981*2048+T981*4096+S981*2^13+R981*2^14),512),9)</f>
        <v>0b000000110001111</v>
      </c>
      <c r="P984" s="319"/>
      <c r="Q984" s="319"/>
      <c r="R984" s="319"/>
      <c r="S984" s="12"/>
      <c r="T984" s="13">
        <v>0</v>
      </c>
      <c r="U984" s="13">
        <f>AH981</f>
        <v>0</v>
      </c>
      <c r="V984" s="5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6"/>
    </row>
    <row r="985" spans="1:35" x14ac:dyDescent="0.25">
      <c r="A985" s="3"/>
      <c r="B985" s="42"/>
      <c r="C985" s="42"/>
      <c r="D985" s="42"/>
      <c r="E985" s="15"/>
      <c r="F985" s="43"/>
      <c r="G985" s="43"/>
      <c r="H985" s="43"/>
      <c r="I985" s="15"/>
      <c r="J985" s="42"/>
      <c r="K985" s="42"/>
      <c r="L985" s="42"/>
      <c r="M985" s="42"/>
      <c r="N985" s="15"/>
      <c r="O985" s="42"/>
      <c r="P985" s="42"/>
      <c r="Q985" s="42"/>
      <c r="R985" s="42"/>
      <c r="S985" s="15"/>
      <c r="T985" s="13"/>
      <c r="U985" s="15"/>
      <c r="V985" s="5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6"/>
    </row>
    <row r="986" spans="1:35" x14ac:dyDescent="0.25">
      <c r="A986" s="3"/>
      <c r="B986" s="42"/>
      <c r="C986" s="42"/>
      <c r="D986" s="42"/>
      <c r="E986" s="15"/>
      <c r="F986" s="43"/>
      <c r="G986" s="43"/>
      <c r="H986" s="43"/>
      <c r="I986" s="15"/>
      <c r="J986" s="42"/>
      <c r="K986" s="42"/>
      <c r="L986" s="42"/>
      <c r="M986" s="42"/>
      <c r="N986" s="15"/>
      <c r="O986" s="42"/>
      <c r="P986" s="42"/>
      <c r="Q986" s="42"/>
      <c r="R986" s="42"/>
      <c r="S986" s="15"/>
      <c r="T986" s="13"/>
      <c r="U986" s="15"/>
      <c r="V986" s="5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6"/>
    </row>
    <row r="987" spans="1:35" x14ac:dyDescent="0.25">
      <c r="A987" s="3"/>
      <c r="B987" s="5"/>
      <c r="C987" s="5"/>
      <c r="D987" s="5"/>
      <c r="E987" s="5"/>
      <c r="F987" s="17"/>
      <c r="G987" s="17"/>
      <c r="H987" s="17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6"/>
    </row>
    <row r="988" spans="1:35" x14ac:dyDescent="0.25">
      <c r="A988" s="3"/>
      <c r="B988" s="5" t="s">
        <v>47</v>
      </c>
      <c r="C988" s="18"/>
      <c r="D988" s="18"/>
      <c r="E988" s="18"/>
      <c r="F988" s="5"/>
      <c r="G988" s="5"/>
      <c r="H988" s="5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18"/>
      <c r="AI988" s="6"/>
    </row>
    <row r="989" spans="1:35" ht="15" customHeight="1" x14ac:dyDescent="0.25">
      <c r="A989" s="3"/>
      <c r="B989" s="42" t="str">
        <f>"0x"&amp;DEC2HEX(Sheet3!$I$4,8)</f>
        <v>0x00400320</v>
      </c>
      <c r="C989" s="42"/>
      <c r="D989" s="42"/>
      <c r="E989" s="16"/>
      <c r="F989" s="322" t="str">
        <f>F984&amp;BIN2HEX(MID(J984,3,8),2)&amp;BIN2HEX(RIGHT(J984,7)&amp;MID(O984,3,1),2)&amp;BIN2HEX(MID(O984,4,8),2)&amp;BIN2HEX(RIGHT(O984,6)&amp;T984&amp;U984,2)</f>
        <v>0x000000000008063C</v>
      </c>
      <c r="G989" s="322"/>
      <c r="H989" s="322"/>
      <c r="I989" s="322"/>
      <c r="J989" s="5"/>
      <c r="K989" s="5"/>
      <c r="L989" s="5"/>
      <c r="M989" s="5"/>
      <c r="N989" s="5"/>
      <c r="O989" s="5"/>
      <c r="P989" s="16"/>
      <c r="Q989" s="16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5"/>
      <c r="AH989" s="5"/>
      <c r="AI989" s="6"/>
    </row>
    <row r="990" spans="1:35" x14ac:dyDescent="0.25">
      <c r="A990" s="3"/>
      <c r="B990" s="37"/>
      <c r="C990" s="37"/>
      <c r="D990" s="37"/>
      <c r="E990" s="5"/>
      <c r="F990" s="38"/>
      <c r="G990" s="38"/>
      <c r="H990" s="38"/>
      <c r="I990" s="38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6"/>
    </row>
    <row r="991" spans="1:35" x14ac:dyDescent="0.25">
      <c r="A991" s="3"/>
      <c r="B991" s="37"/>
      <c r="C991" s="37"/>
      <c r="D991" s="37"/>
      <c r="E991" s="5"/>
      <c r="F991" s="38"/>
      <c r="G991" s="38"/>
      <c r="H991" s="38"/>
      <c r="I991" s="38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6"/>
    </row>
    <row r="992" spans="1:35" x14ac:dyDescent="0.25">
      <c r="A992" s="20"/>
      <c r="B992" s="21"/>
      <c r="C992" s="21"/>
      <c r="D992" s="21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2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1"/>
      <c r="AI992" s="23"/>
    </row>
    <row r="993" spans="1:35" x14ac:dyDescent="0.25">
      <c r="A993" s="24"/>
      <c r="B993" s="28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  <c r="AD993" s="25"/>
      <c r="AE993" s="25"/>
      <c r="AF993" s="25"/>
      <c r="AG993" s="25"/>
      <c r="AH993" s="25"/>
      <c r="AI993" s="26"/>
    </row>
    <row r="994" spans="1:35" x14ac:dyDescent="0.25">
      <c r="A994" s="3"/>
      <c r="B994" s="4" t="s">
        <v>177</v>
      </c>
      <c r="C994" s="5"/>
      <c r="D994" s="5"/>
      <c r="E994" s="5"/>
      <c r="F994" s="5"/>
      <c r="G994" s="5"/>
      <c r="H994" s="5"/>
      <c r="I994" s="5" t="str">
        <f>"0x"&amp;BIN2HEX(CONCATENATE(C999,D999,E999,F999,G999,H999,I999,J999),2)&amp;BIN2HEX(CONCATENATE(K999,L999,M999,N999,O999,P999,Q999,R999),2)&amp;BIN2HEX(CONCATENATE(S999,T999,U999,V999,W999,X999,Y999,Z999),2)&amp;BIN2HEX(CONCATENATE(AA999,AB999,AC999,AD999,AE999,AF999,AG999,AH999),2)&amp;"_"&amp;BIN2HEX(CONCATENATE(C1003,D1003,E1003,F1003,G1003,H1003,I1003,J1003),2)&amp;BIN2HEX(CONCATENATE(K1003,L1003,M1003,N1003,O1003,P1003,Q1003,R1003),2)&amp;BIN2HEX(CONCATENATE(S1003,T1003,U1003,V1003,W1003,X1003,Y1003,Z1003),2)&amp;BIN2HEX(CONCATENATE(AA1003,AB1003,AC1003,AD1003,AE1003,AF1003,AG1003,AH1003),2)</f>
        <v>0x00000000_00080640</v>
      </c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6"/>
    </row>
    <row r="995" spans="1:35" ht="15.75" thickBot="1" x14ac:dyDescent="0.3">
      <c r="A995" s="3"/>
      <c r="B995" s="5"/>
      <c r="C995" s="7">
        <v>0</v>
      </c>
      <c r="D995" s="7">
        <v>1</v>
      </c>
      <c r="E995" s="7">
        <v>2</v>
      </c>
      <c r="F995" s="7">
        <v>3</v>
      </c>
      <c r="G995" s="7">
        <v>4</v>
      </c>
      <c r="H995" s="7">
        <v>5</v>
      </c>
      <c r="I995" s="7">
        <v>6</v>
      </c>
      <c r="J995" s="7">
        <v>7</v>
      </c>
      <c r="K995" s="7">
        <v>8</v>
      </c>
      <c r="L995" s="7">
        <v>9</v>
      </c>
      <c r="M995" s="7">
        <v>10</v>
      </c>
      <c r="N995" s="7">
        <v>11</v>
      </c>
      <c r="O995" s="7">
        <v>12</v>
      </c>
      <c r="P995" s="7">
        <v>13</v>
      </c>
      <c r="Q995" s="7">
        <v>14</v>
      </c>
      <c r="R995" s="7">
        <v>15</v>
      </c>
      <c r="S995" s="7">
        <v>16</v>
      </c>
      <c r="T995" s="7">
        <v>17</v>
      </c>
      <c r="U995" s="7">
        <v>18</v>
      </c>
      <c r="V995" s="7">
        <v>19</v>
      </c>
      <c r="W995" s="7">
        <v>20</v>
      </c>
      <c r="X995" s="7">
        <v>21</v>
      </c>
      <c r="Y995" s="7">
        <v>22</v>
      </c>
      <c r="Z995" s="7">
        <v>23</v>
      </c>
      <c r="AA995" s="7">
        <v>24</v>
      </c>
      <c r="AB995" s="7">
        <v>25</v>
      </c>
      <c r="AC995" s="7">
        <v>26</v>
      </c>
      <c r="AD995" s="7">
        <v>27</v>
      </c>
      <c r="AE995" s="7">
        <v>28</v>
      </c>
      <c r="AF995" s="7">
        <v>29</v>
      </c>
      <c r="AG995" s="7">
        <v>30</v>
      </c>
      <c r="AH995" s="7">
        <v>31</v>
      </c>
      <c r="AI995" s="6"/>
    </row>
    <row r="996" spans="1:35" x14ac:dyDescent="0.25">
      <c r="A996" s="3"/>
      <c r="B996" s="5" t="s">
        <v>31</v>
      </c>
      <c r="C996" s="328" t="s">
        <v>161</v>
      </c>
      <c r="D996" s="330" t="s">
        <v>63</v>
      </c>
      <c r="E996" s="331"/>
      <c r="F996" s="331"/>
      <c r="G996" s="331"/>
      <c r="H996" s="331"/>
      <c r="I996" s="331"/>
      <c r="J996" s="332"/>
      <c r="K996" s="336">
        <v>0</v>
      </c>
      <c r="L996" s="337"/>
      <c r="M996" s="337"/>
      <c r="N996" s="337"/>
      <c r="O996" s="337"/>
      <c r="P996" s="337"/>
      <c r="Q996" s="337"/>
      <c r="R996" s="337"/>
      <c r="S996" s="337"/>
      <c r="T996" s="337"/>
      <c r="U996" s="337"/>
      <c r="V996" s="337"/>
      <c r="W996" s="337"/>
      <c r="X996" s="337"/>
      <c r="Y996" s="337"/>
      <c r="Z996" s="337"/>
      <c r="AA996" s="337"/>
      <c r="AB996" s="337"/>
      <c r="AC996" s="337"/>
      <c r="AD996" s="337"/>
      <c r="AE996" s="337"/>
      <c r="AF996" s="337"/>
      <c r="AG996" s="337"/>
      <c r="AH996" s="338"/>
      <c r="AI996" s="6"/>
    </row>
    <row r="997" spans="1:35" x14ac:dyDescent="0.25">
      <c r="A997" s="3"/>
      <c r="B997" s="5" t="s">
        <v>32</v>
      </c>
      <c r="C997" s="329"/>
      <c r="D997" s="333"/>
      <c r="E997" s="334"/>
      <c r="F997" s="334"/>
      <c r="G997" s="334"/>
      <c r="H997" s="334"/>
      <c r="I997" s="334"/>
      <c r="J997" s="335"/>
      <c r="K997" s="339"/>
      <c r="L997" s="340"/>
      <c r="M997" s="340"/>
      <c r="N997" s="340"/>
      <c r="O997" s="340"/>
      <c r="P997" s="340"/>
      <c r="Q997" s="340"/>
      <c r="R997" s="340"/>
      <c r="S997" s="340"/>
      <c r="T997" s="340"/>
      <c r="U997" s="340"/>
      <c r="V997" s="340"/>
      <c r="W997" s="340"/>
      <c r="X997" s="340"/>
      <c r="Y997" s="340"/>
      <c r="Z997" s="340"/>
      <c r="AA997" s="340"/>
      <c r="AB997" s="340"/>
      <c r="AC997" s="340"/>
      <c r="AD997" s="340"/>
      <c r="AE997" s="340"/>
      <c r="AF997" s="340"/>
      <c r="AG997" s="340"/>
      <c r="AH997" s="341"/>
      <c r="AI997" s="6"/>
    </row>
    <row r="998" spans="1:35" x14ac:dyDescent="0.25">
      <c r="A998" s="3"/>
      <c r="B998" s="5" t="s">
        <v>11</v>
      </c>
      <c r="C998" s="56">
        <v>0</v>
      </c>
      <c r="D998" s="57">
        <v>0</v>
      </c>
      <c r="E998" s="57">
        <v>0</v>
      </c>
      <c r="F998" s="57">
        <v>0</v>
      </c>
      <c r="G998" s="57">
        <v>0</v>
      </c>
      <c r="H998" s="57">
        <v>0</v>
      </c>
      <c r="I998" s="57">
        <v>0</v>
      </c>
      <c r="J998" s="57">
        <v>0</v>
      </c>
      <c r="K998" s="57">
        <v>0</v>
      </c>
      <c r="L998" s="57">
        <v>0</v>
      </c>
      <c r="M998" s="57">
        <v>0</v>
      </c>
      <c r="N998" s="57">
        <v>0</v>
      </c>
      <c r="O998" s="57">
        <v>0</v>
      </c>
      <c r="P998" s="57">
        <v>0</v>
      </c>
      <c r="Q998" s="57">
        <v>0</v>
      </c>
      <c r="R998" s="57">
        <v>0</v>
      </c>
      <c r="S998" s="57">
        <v>0</v>
      </c>
      <c r="T998" s="57">
        <v>0</v>
      </c>
      <c r="U998" s="57">
        <v>0</v>
      </c>
      <c r="V998" s="57">
        <v>0</v>
      </c>
      <c r="W998" s="57">
        <v>0</v>
      </c>
      <c r="X998" s="57">
        <v>0</v>
      </c>
      <c r="Y998" s="57">
        <v>0</v>
      </c>
      <c r="Z998" s="57">
        <v>0</v>
      </c>
      <c r="AA998" s="57">
        <v>0</v>
      </c>
      <c r="AB998" s="57">
        <v>0</v>
      </c>
      <c r="AC998" s="57">
        <v>0</v>
      </c>
      <c r="AD998" s="57">
        <v>0</v>
      </c>
      <c r="AE998" s="57">
        <v>0</v>
      </c>
      <c r="AF998" s="57">
        <v>0</v>
      </c>
      <c r="AG998" s="57">
        <v>0</v>
      </c>
      <c r="AH998" s="58">
        <v>0</v>
      </c>
      <c r="AI998" s="6"/>
    </row>
    <row r="999" spans="1:35" ht="15.75" thickBot="1" x14ac:dyDescent="0.3">
      <c r="A999" s="3"/>
      <c r="B999" s="5" t="s">
        <v>12</v>
      </c>
      <c r="C999" s="145">
        <v>0</v>
      </c>
      <c r="D999" s="88">
        <v>0</v>
      </c>
      <c r="E999" s="88">
        <v>0</v>
      </c>
      <c r="F999" s="88">
        <v>0</v>
      </c>
      <c r="G999" s="88">
        <v>0</v>
      </c>
      <c r="H999" s="88">
        <v>0</v>
      </c>
      <c r="I999" s="88">
        <v>0</v>
      </c>
      <c r="J999" s="88">
        <v>0</v>
      </c>
      <c r="K999" s="62">
        <v>0</v>
      </c>
      <c r="L999" s="62">
        <v>0</v>
      </c>
      <c r="M999" s="62">
        <v>0</v>
      </c>
      <c r="N999" s="62">
        <v>0</v>
      </c>
      <c r="O999" s="62">
        <v>0</v>
      </c>
      <c r="P999" s="62">
        <v>0</v>
      </c>
      <c r="Q999" s="62">
        <v>0</v>
      </c>
      <c r="R999" s="62">
        <v>0</v>
      </c>
      <c r="S999" s="62">
        <v>0</v>
      </c>
      <c r="T999" s="62">
        <v>0</v>
      </c>
      <c r="U999" s="62">
        <v>0</v>
      </c>
      <c r="V999" s="62">
        <v>0</v>
      </c>
      <c r="W999" s="62">
        <v>0</v>
      </c>
      <c r="X999" s="62">
        <v>0</v>
      </c>
      <c r="Y999" s="62">
        <v>0</v>
      </c>
      <c r="Z999" s="62">
        <v>0</v>
      </c>
      <c r="AA999" s="62">
        <v>0</v>
      </c>
      <c r="AB999" s="62">
        <v>0</v>
      </c>
      <c r="AC999" s="62">
        <v>0</v>
      </c>
      <c r="AD999" s="62">
        <v>0</v>
      </c>
      <c r="AE999" s="62">
        <v>0</v>
      </c>
      <c r="AF999" s="62">
        <v>0</v>
      </c>
      <c r="AG999" s="62">
        <v>0</v>
      </c>
      <c r="AH999" s="146">
        <v>0</v>
      </c>
      <c r="AI999" s="6"/>
    </row>
    <row r="1000" spans="1:35" x14ac:dyDescent="0.25">
      <c r="A1000" s="3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6"/>
    </row>
    <row r="1001" spans="1:35" ht="15.75" thickBot="1" x14ac:dyDescent="0.3">
      <c r="A1001" s="3"/>
      <c r="B1001" s="5"/>
      <c r="C1001" s="7">
        <v>32</v>
      </c>
      <c r="D1001" s="7">
        <v>33</v>
      </c>
      <c r="E1001" s="7">
        <v>34</v>
      </c>
      <c r="F1001" s="7">
        <v>35</v>
      </c>
      <c r="G1001" s="7">
        <v>36</v>
      </c>
      <c r="H1001" s="7">
        <v>37</v>
      </c>
      <c r="I1001" s="7">
        <v>38</v>
      </c>
      <c r="J1001" s="7">
        <v>39</v>
      </c>
      <c r="K1001" s="7">
        <v>40</v>
      </c>
      <c r="L1001" s="7">
        <v>41</v>
      </c>
      <c r="M1001" s="7">
        <v>42</v>
      </c>
      <c r="N1001" s="7">
        <v>43</v>
      </c>
      <c r="O1001" s="7">
        <v>44</v>
      </c>
      <c r="P1001" s="7">
        <v>45</v>
      </c>
      <c r="Q1001" s="7">
        <v>46</v>
      </c>
      <c r="R1001" s="7">
        <v>47</v>
      </c>
      <c r="S1001" s="7">
        <v>48</v>
      </c>
      <c r="T1001" s="7">
        <v>49</v>
      </c>
      <c r="U1001" s="7">
        <v>50</v>
      </c>
      <c r="V1001" s="7">
        <v>51</v>
      </c>
      <c r="W1001" s="7">
        <v>52</v>
      </c>
      <c r="X1001" s="7">
        <v>53</v>
      </c>
      <c r="Y1001" s="7">
        <v>54</v>
      </c>
      <c r="Z1001" s="7">
        <v>55</v>
      </c>
      <c r="AA1001" s="7">
        <v>56</v>
      </c>
      <c r="AB1001" s="7">
        <v>57</v>
      </c>
      <c r="AC1001" s="7">
        <v>58</v>
      </c>
      <c r="AD1001" s="7">
        <v>59</v>
      </c>
      <c r="AE1001" s="7">
        <v>60</v>
      </c>
      <c r="AF1001" s="7">
        <v>61</v>
      </c>
      <c r="AG1001" s="7">
        <v>62</v>
      </c>
      <c r="AH1001" s="7">
        <v>63</v>
      </c>
      <c r="AI1001" s="6"/>
    </row>
    <row r="1002" spans="1:35" ht="15.75" thickBot="1" x14ac:dyDescent="0.3">
      <c r="A1002" s="3"/>
      <c r="B1002" s="5"/>
      <c r="C1002" s="147" t="s">
        <v>13</v>
      </c>
      <c r="D1002" s="148" t="s">
        <v>14</v>
      </c>
      <c r="E1002" s="148" t="s">
        <v>15</v>
      </c>
      <c r="F1002" s="148" t="s">
        <v>16</v>
      </c>
      <c r="G1002" s="148" t="s">
        <v>17</v>
      </c>
      <c r="H1002" s="148" t="s">
        <v>18</v>
      </c>
      <c r="I1002" s="148" t="s">
        <v>19</v>
      </c>
      <c r="J1002" s="148" t="s">
        <v>20</v>
      </c>
      <c r="K1002" s="148" t="s">
        <v>21</v>
      </c>
      <c r="L1002" s="148" t="s">
        <v>22</v>
      </c>
      <c r="M1002" s="148" t="s">
        <v>23</v>
      </c>
      <c r="N1002" s="148" t="s">
        <v>24</v>
      </c>
      <c r="O1002" s="148" t="s">
        <v>25</v>
      </c>
      <c r="P1002" s="148" t="s">
        <v>26</v>
      </c>
      <c r="Q1002" s="148" t="s">
        <v>27</v>
      </c>
      <c r="R1002" s="342" t="s">
        <v>30</v>
      </c>
      <c r="S1002" s="343"/>
      <c r="T1002" s="343"/>
      <c r="U1002" s="343"/>
      <c r="V1002" s="343"/>
      <c r="W1002" s="343"/>
      <c r="X1002" s="343"/>
      <c r="Y1002" s="343"/>
      <c r="Z1002" s="343"/>
      <c r="AA1002" s="343"/>
      <c r="AB1002" s="343"/>
      <c r="AC1002" s="343"/>
      <c r="AD1002" s="343"/>
      <c r="AE1002" s="343"/>
      <c r="AF1002" s="344"/>
      <c r="AG1002" s="67" t="s">
        <v>28</v>
      </c>
      <c r="AH1002" s="149" t="s">
        <v>29</v>
      </c>
      <c r="AI1002" s="6"/>
    </row>
    <row r="1003" spans="1:35" ht="15.75" thickBot="1" x14ac:dyDescent="0.3">
      <c r="A1003" s="3"/>
      <c r="B1003" s="5"/>
      <c r="C1003" s="150">
        <v>0</v>
      </c>
      <c r="D1003" s="151">
        <v>0</v>
      </c>
      <c r="E1003" s="151">
        <v>0</v>
      </c>
      <c r="F1003" s="151">
        <v>0</v>
      </c>
      <c r="G1003" s="151">
        <v>0</v>
      </c>
      <c r="H1003" s="151">
        <v>0</v>
      </c>
      <c r="I1003" s="151">
        <v>0</v>
      </c>
      <c r="J1003" s="151">
        <v>0</v>
      </c>
      <c r="K1003" s="151">
        <v>0</v>
      </c>
      <c r="L1003" s="151">
        <v>0</v>
      </c>
      <c r="M1003" s="151">
        <v>0</v>
      </c>
      <c r="N1003" s="151">
        <v>0</v>
      </c>
      <c r="O1003" s="151">
        <v>1</v>
      </c>
      <c r="P1003" s="151">
        <v>0</v>
      </c>
      <c r="Q1003" s="151">
        <v>0</v>
      </c>
      <c r="R1003" s="151">
        <v>0</v>
      </c>
      <c r="S1003" s="151">
        <v>0</v>
      </c>
      <c r="T1003" s="151">
        <v>0</v>
      </c>
      <c r="U1003" s="151">
        <v>0</v>
      </c>
      <c r="V1003" s="151">
        <v>0</v>
      </c>
      <c r="W1003" s="151">
        <v>0</v>
      </c>
      <c r="X1003" s="151">
        <v>1</v>
      </c>
      <c r="Y1003" s="151">
        <v>1</v>
      </c>
      <c r="Z1003" s="151">
        <v>0</v>
      </c>
      <c r="AA1003" s="151">
        <v>0</v>
      </c>
      <c r="AB1003" s="151">
        <v>1</v>
      </c>
      <c r="AC1003" s="151">
        <v>0</v>
      </c>
      <c r="AD1003" s="151">
        <v>0</v>
      </c>
      <c r="AE1003" s="151">
        <v>0</v>
      </c>
      <c r="AF1003" s="151">
        <v>0</v>
      </c>
      <c r="AG1003" s="151">
        <v>0</v>
      </c>
      <c r="AH1003" s="152">
        <v>0</v>
      </c>
      <c r="AI1003" s="6"/>
    </row>
    <row r="1004" spans="1:35" x14ac:dyDescent="0.25">
      <c r="A1004" s="3"/>
      <c r="B1004" s="4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6"/>
    </row>
    <row r="1005" spans="1:35" x14ac:dyDescent="0.25">
      <c r="A1005" s="3"/>
      <c r="B1005" s="8" t="s">
        <v>43</v>
      </c>
      <c r="C1005" s="9"/>
      <c r="D1005" s="9"/>
      <c r="E1005" s="9"/>
      <c r="F1005" s="44" t="s">
        <v>44</v>
      </c>
      <c r="G1005" s="44"/>
      <c r="H1005" s="44"/>
      <c r="I1005" s="9"/>
      <c r="J1005" s="45" t="s">
        <v>45</v>
      </c>
      <c r="K1005" s="45"/>
      <c r="L1005" s="45"/>
      <c r="M1005" s="45"/>
      <c r="N1005" s="9"/>
      <c r="O1005" s="46" t="s">
        <v>46</v>
      </c>
      <c r="P1005" s="46"/>
      <c r="Q1005" s="46"/>
      <c r="R1005" s="46"/>
      <c r="S1005" s="9"/>
      <c r="T1005" s="1" t="s">
        <v>49</v>
      </c>
      <c r="U1005" s="10" t="s">
        <v>48</v>
      </c>
      <c r="V1005" s="5"/>
      <c r="W1005" s="9"/>
      <c r="X1005" s="9"/>
      <c r="Y1005" s="9"/>
      <c r="Z1005" s="9"/>
      <c r="AA1005" s="9"/>
      <c r="AB1005" s="9"/>
      <c r="AC1005" s="9"/>
      <c r="AD1005" s="9"/>
      <c r="AE1005" s="9"/>
      <c r="AF1005" s="9"/>
      <c r="AG1005" s="9"/>
      <c r="AH1005" s="9"/>
      <c r="AI1005" s="6"/>
    </row>
    <row r="1006" spans="1:35" ht="15" customHeight="1" x14ac:dyDescent="0.25">
      <c r="A1006" s="3"/>
      <c r="B1006" s="42" t="str">
        <f>"0x"&amp;DEC2HEX(Sheet3!$I$4,8)</f>
        <v>0x00400320</v>
      </c>
      <c r="C1006" s="42"/>
      <c r="D1006" s="42"/>
      <c r="E1006" s="12"/>
      <c r="F1006" s="319" t="str">
        <f>"0x"&amp;BIN2HEX(CONCATENATE(C999,D999,E999,F999,G999,H999,I999,J999),2)&amp;BIN2HEX(CONCATENATE(K999,L999,M999,N999,O999,P999,Q999,R999),2)&amp;BIN2HEX(CONCATENATE(S999,T999,U999,V999,W999,X999,Y999,Z999),2)&amp;BIN2HEX(CONCATENATE(AA999,AB999,AC999,AD999,AE999,AF999,AG999,AH999),2)</f>
        <v>0x00000000</v>
      </c>
      <c r="G1006" s="319"/>
      <c r="H1006" s="319"/>
      <c r="I1006" s="12"/>
      <c r="J1006" s="319" t="str">
        <f>"0b"&amp;C1003&amp;D1003&amp;E1003&amp;F1003&amp;G1003&amp;H1003&amp;I1003&amp;J1003&amp;K1003&amp;L1003&amp;M1003&amp;N1003&amp;O1003&amp;P1003&amp;Q1003</f>
        <v>0b000000000000100</v>
      </c>
      <c r="K1006" s="319"/>
      <c r="L1006" s="319"/>
      <c r="M1006" s="319"/>
      <c r="N1006" s="12"/>
      <c r="O1006" s="319" t="str">
        <f>"0b"&amp;DEC2BIN(((AF1003+AE1003*2+AD1003*4+AC1003*8+AB1003*16+AA1003*32+Z1003*64+Y1003*128+X1003*256+W1003*512+V1003*1024+U1003*2048+T1003*4096+S1003*2^13+R1003*2^14)/512),6)&amp;DEC2BIN(MOD((AF1003+AE1003*2+AD1003*4+AC1003*8+AB1003*16+AA1003*32+Z1003*64+Y1003*128+X1003*256+W1003*512+V1003*1024+U1003*2048+T1003*4096+S1003*2^13+R1003*2^14),512),9)</f>
        <v>0b000000110010000</v>
      </c>
      <c r="P1006" s="319"/>
      <c r="Q1006" s="319"/>
      <c r="R1006" s="319"/>
      <c r="S1006" s="12"/>
      <c r="T1006" s="13">
        <v>0</v>
      </c>
      <c r="U1006" s="13">
        <f>AH1003</f>
        <v>0</v>
      </c>
      <c r="V1006" s="5"/>
      <c r="W1006" s="14"/>
      <c r="X1006" s="14"/>
      <c r="Y1006" s="14"/>
      <c r="Z1006" s="14"/>
      <c r="AA1006" s="14"/>
      <c r="AB1006" s="14"/>
      <c r="AC1006" s="14"/>
      <c r="AD1006" s="14"/>
      <c r="AE1006" s="14"/>
      <c r="AF1006" s="14"/>
      <c r="AG1006" s="14"/>
      <c r="AH1006" s="14"/>
      <c r="AI1006" s="6"/>
    </row>
    <row r="1007" spans="1:35" x14ac:dyDescent="0.25">
      <c r="A1007" s="3"/>
      <c r="B1007" s="42"/>
      <c r="C1007" s="42"/>
      <c r="D1007" s="42"/>
      <c r="E1007" s="15"/>
      <c r="F1007" s="43"/>
      <c r="G1007" s="43"/>
      <c r="H1007" s="43"/>
      <c r="I1007" s="15"/>
      <c r="J1007" s="42"/>
      <c r="K1007" s="42"/>
      <c r="L1007" s="42"/>
      <c r="M1007" s="42"/>
      <c r="N1007" s="15"/>
      <c r="O1007" s="42"/>
      <c r="P1007" s="42"/>
      <c r="Q1007" s="42"/>
      <c r="R1007" s="42"/>
      <c r="S1007" s="15"/>
      <c r="T1007" s="13"/>
      <c r="U1007" s="15"/>
      <c r="V1007" s="5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6"/>
    </row>
    <row r="1008" spans="1:35" x14ac:dyDescent="0.25">
      <c r="A1008" s="3"/>
      <c r="B1008" s="42"/>
      <c r="C1008" s="42"/>
      <c r="D1008" s="42"/>
      <c r="E1008" s="15"/>
      <c r="F1008" s="43"/>
      <c r="G1008" s="43"/>
      <c r="H1008" s="43"/>
      <c r="I1008" s="15"/>
      <c r="J1008" s="42"/>
      <c r="K1008" s="42"/>
      <c r="L1008" s="42"/>
      <c r="M1008" s="42"/>
      <c r="N1008" s="15"/>
      <c r="O1008" s="42"/>
      <c r="P1008" s="42"/>
      <c r="Q1008" s="42"/>
      <c r="R1008" s="42"/>
      <c r="S1008" s="15"/>
      <c r="T1008" s="13"/>
      <c r="U1008" s="15"/>
      <c r="V1008" s="5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6"/>
    </row>
    <row r="1009" spans="1:35" x14ac:dyDescent="0.25">
      <c r="A1009" s="3"/>
      <c r="B1009" s="5"/>
      <c r="C1009" s="5"/>
      <c r="D1009" s="5"/>
      <c r="E1009" s="5"/>
      <c r="F1009" s="17"/>
      <c r="G1009" s="17"/>
      <c r="H1009" s="17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6"/>
    </row>
    <row r="1010" spans="1:35" x14ac:dyDescent="0.25">
      <c r="A1010" s="3"/>
      <c r="B1010" s="5" t="s">
        <v>47</v>
      </c>
      <c r="C1010" s="18"/>
      <c r="D1010" s="18"/>
      <c r="E1010" s="18"/>
      <c r="F1010" s="5"/>
      <c r="G1010" s="5"/>
      <c r="H1010" s="5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  <c r="AB1010" s="18"/>
      <c r="AC1010" s="18"/>
      <c r="AD1010" s="18"/>
      <c r="AE1010" s="18"/>
      <c r="AF1010" s="18"/>
      <c r="AG1010" s="18"/>
      <c r="AH1010" s="18"/>
      <c r="AI1010" s="6"/>
    </row>
    <row r="1011" spans="1:35" ht="15" customHeight="1" x14ac:dyDescent="0.25">
      <c r="A1011" s="3"/>
      <c r="B1011" s="42" t="str">
        <f>"0x"&amp;DEC2HEX(Sheet3!$I$4,8)</f>
        <v>0x00400320</v>
      </c>
      <c r="C1011" s="42"/>
      <c r="D1011" s="42"/>
      <c r="E1011" s="16"/>
      <c r="F1011" s="322" t="str">
        <f>F1006&amp;BIN2HEX(MID(J1006,3,8),2)&amp;BIN2HEX(RIGHT(J1006,7)&amp;MID(O1006,3,1),2)&amp;BIN2HEX(MID(O1006,4,8),2)&amp;BIN2HEX(RIGHT(O1006,6)&amp;T1006&amp;U1006,2)</f>
        <v>0x0000000000080640</v>
      </c>
      <c r="G1011" s="322"/>
      <c r="H1011" s="322"/>
      <c r="I1011" s="322"/>
      <c r="J1011" s="5"/>
      <c r="K1011" s="5"/>
      <c r="L1011" s="5"/>
      <c r="M1011" s="5"/>
      <c r="N1011" s="5"/>
      <c r="O1011" s="5"/>
      <c r="P1011" s="16"/>
      <c r="Q1011" s="16"/>
      <c r="R1011" s="19"/>
      <c r="S1011" s="19"/>
      <c r="T1011" s="19"/>
      <c r="U1011" s="19"/>
      <c r="V1011" s="19"/>
      <c r="W1011" s="19"/>
      <c r="X1011" s="19"/>
      <c r="Y1011" s="19"/>
      <c r="Z1011" s="19"/>
      <c r="AA1011" s="19"/>
      <c r="AB1011" s="19"/>
      <c r="AC1011" s="19"/>
      <c r="AD1011" s="19"/>
      <c r="AE1011" s="19"/>
      <c r="AF1011" s="19"/>
      <c r="AG1011" s="5"/>
      <c r="AH1011" s="5"/>
      <c r="AI1011" s="6"/>
    </row>
    <row r="1012" spans="1:35" x14ac:dyDescent="0.25">
      <c r="A1012" s="3"/>
      <c r="B1012" s="37"/>
      <c r="C1012" s="37"/>
      <c r="D1012" s="37"/>
      <c r="E1012" s="5"/>
      <c r="F1012" s="38"/>
      <c r="G1012" s="38"/>
      <c r="H1012" s="38"/>
      <c r="I1012" s="38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6"/>
    </row>
    <row r="1013" spans="1:35" x14ac:dyDescent="0.25">
      <c r="A1013" s="3"/>
      <c r="B1013" s="37"/>
      <c r="C1013" s="37"/>
      <c r="D1013" s="37"/>
      <c r="E1013" s="5"/>
      <c r="F1013" s="38"/>
      <c r="G1013" s="38"/>
      <c r="H1013" s="38"/>
      <c r="I1013" s="38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6"/>
    </row>
    <row r="1014" spans="1:35" x14ac:dyDescent="0.25">
      <c r="A1014" s="20"/>
      <c r="B1014" s="21"/>
      <c r="C1014" s="21"/>
      <c r="D1014" s="21"/>
      <c r="E1014" s="21"/>
      <c r="F1014" s="21"/>
      <c r="G1014" s="21"/>
      <c r="H1014" s="21"/>
      <c r="I1014" s="21"/>
      <c r="J1014" s="21"/>
      <c r="K1014" s="21"/>
      <c r="L1014" s="21"/>
      <c r="M1014" s="21"/>
      <c r="N1014" s="21"/>
      <c r="O1014" s="22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  <c r="AF1014" s="21"/>
      <c r="AG1014" s="21"/>
      <c r="AH1014" s="21"/>
      <c r="AI1014" s="23"/>
    </row>
    <row r="1015" spans="1:35" x14ac:dyDescent="0.25">
      <c r="A1015" s="24"/>
      <c r="B1015" s="28"/>
      <c r="C1015" s="25"/>
      <c r="D1015" s="25"/>
      <c r="E1015" s="25"/>
      <c r="F1015" s="25"/>
      <c r="G1015" s="25"/>
      <c r="H1015" s="25"/>
      <c r="I1015" s="25"/>
      <c r="J1015" s="25"/>
      <c r="K1015" s="25"/>
      <c r="L1015" s="25"/>
      <c r="M1015" s="25"/>
      <c r="N1015" s="25"/>
      <c r="O1015" s="25"/>
      <c r="P1015" s="25"/>
      <c r="Q1015" s="25"/>
      <c r="R1015" s="25"/>
      <c r="S1015" s="25"/>
      <c r="T1015" s="25"/>
      <c r="U1015" s="25"/>
      <c r="V1015" s="25"/>
      <c r="W1015" s="25"/>
      <c r="X1015" s="25"/>
      <c r="Y1015" s="25"/>
      <c r="Z1015" s="25"/>
      <c r="AA1015" s="25"/>
      <c r="AB1015" s="25"/>
      <c r="AC1015" s="25"/>
      <c r="AD1015" s="25"/>
      <c r="AE1015" s="25"/>
      <c r="AF1015" s="25"/>
      <c r="AG1015" s="25"/>
      <c r="AH1015" s="25"/>
      <c r="AI1015" s="26"/>
    </row>
    <row r="1016" spans="1:35" x14ac:dyDescent="0.25">
      <c r="A1016" s="3"/>
      <c r="B1016" s="4" t="s">
        <v>178</v>
      </c>
      <c r="C1016" s="5"/>
      <c r="D1016" s="5"/>
      <c r="E1016" s="5"/>
      <c r="F1016" s="5"/>
      <c r="G1016" s="5"/>
      <c r="H1016" s="5"/>
      <c r="I1016" s="5" t="str">
        <f>"0x"&amp;BIN2HEX(CONCATENATE(C1021,D1021,E1021,F1021,G1021,H1021,I1021,J1021),2)&amp;BIN2HEX(CONCATENATE(K1021,L1021,M1021,N1021,O1021,P1021,Q1021,R1021),2)&amp;BIN2HEX(CONCATENATE(S1021,T1021,U1021,V1021,W1021,X1021,Y1021,Z1021),2)&amp;BIN2HEX(CONCATENATE(AA1021,AB1021,AC1021,AD1021,AE1021,AF1021,AG1021,AH1021),2)&amp;"_"&amp;BIN2HEX(CONCATENATE(C1025,D1025,E1025,F1025,G1025,H1025,I1025,J1025),2)&amp;BIN2HEX(CONCATENATE(K1025,L1025,M1025,N1025,O1025,P1025,Q1025,R1025),2)&amp;BIN2HEX(CONCATENATE(S1025,T1025,U1025,V1025,W1025,X1025,Y1025,Z1025),2)&amp;BIN2HEX(CONCATENATE(AA1025,AB1025,AC1025,AD1025,AE1025,AF1025,AG1025,AH1025),2)</f>
        <v>0x00000000_00080644</v>
      </c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6"/>
    </row>
    <row r="1017" spans="1:35" ht="15.75" thickBot="1" x14ac:dyDescent="0.3">
      <c r="A1017" s="3"/>
      <c r="B1017" s="5"/>
      <c r="C1017" s="7">
        <v>0</v>
      </c>
      <c r="D1017" s="7">
        <v>1</v>
      </c>
      <c r="E1017" s="7">
        <v>2</v>
      </c>
      <c r="F1017" s="7">
        <v>3</v>
      </c>
      <c r="G1017" s="7">
        <v>4</v>
      </c>
      <c r="H1017" s="7">
        <v>5</v>
      </c>
      <c r="I1017" s="7">
        <v>6</v>
      </c>
      <c r="J1017" s="7">
        <v>7</v>
      </c>
      <c r="K1017" s="7">
        <v>8</v>
      </c>
      <c r="L1017" s="7">
        <v>9</v>
      </c>
      <c r="M1017" s="7">
        <v>10</v>
      </c>
      <c r="N1017" s="7">
        <v>11</v>
      </c>
      <c r="O1017" s="7">
        <v>12</v>
      </c>
      <c r="P1017" s="7">
        <v>13</v>
      </c>
      <c r="Q1017" s="7">
        <v>14</v>
      </c>
      <c r="R1017" s="7">
        <v>15</v>
      </c>
      <c r="S1017" s="7">
        <v>16</v>
      </c>
      <c r="T1017" s="7">
        <v>17</v>
      </c>
      <c r="U1017" s="7">
        <v>18</v>
      </c>
      <c r="V1017" s="7">
        <v>19</v>
      </c>
      <c r="W1017" s="7">
        <v>20</v>
      </c>
      <c r="X1017" s="7">
        <v>21</v>
      </c>
      <c r="Y1017" s="7">
        <v>22</v>
      </c>
      <c r="Z1017" s="7">
        <v>23</v>
      </c>
      <c r="AA1017" s="7">
        <v>24</v>
      </c>
      <c r="AB1017" s="7">
        <v>25</v>
      </c>
      <c r="AC1017" s="7">
        <v>26</v>
      </c>
      <c r="AD1017" s="7">
        <v>27</v>
      </c>
      <c r="AE1017" s="7">
        <v>28</v>
      </c>
      <c r="AF1017" s="7">
        <v>29</v>
      </c>
      <c r="AG1017" s="7">
        <v>30</v>
      </c>
      <c r="AH1017" s="7">
        <v>31</v>
      </c>
      <c r="AI1017" s="6"/>
    </row>
    <row r="1018" spans="1:35" x14ac:dyDescent="0.25">
      <c r="A1018" s="3"/>
      <c r="B1018" s="5" t="s">
        <v>31</v>
      </c>
      <c r="C1018" s="328" t="s">
        <v>161</v>
      </c>
      <c r="D1018" s="330" t="s">
        <v>63</v>
      </c>
      <c r="E1018" s="331"/>
      <c r="F1018" s="331"/>
      <c r="G1018" s="331"/>
      <c r="H1018" s="331"/>
      <c r="I1018" s="331"/>
      <c r="J1018" s="332"/>
      <c r="K1018" s="336">
        <v>0</v>
      </c>
      <c r="L1018" s="337"/>
      <c r="M1018" s="337"/>
      <c r="N1018" s="337"/>
      <c r="O1018" s="337"/>
      <c r="P1018" s="337"/>
      <c r="Q1018" s="337"/>
      <c r="R1018" s="337"/>
      <c r="S1018" s="337"/>
      <c r="T1018" s="337"/>
      <c r="U1018" s="337"/>
      <c r="V1018" s="337"/>
      <c r="W1018" s="337"/>
      <c r="X1018" s="337"/>
      <c r="Y1018" s="337"/>
      <c r="Z1018" s="337"/>
      <c r="AA1018" s="337"/>
      <c r="AB1018" s="337"/>
      <c r="AC1018" s="337"/>
      <c r="AD1018" s="337"/>
      <c r="AE1018" s="337"/>
      <c r="AF1018" s="337"/>
      <c r="AG1018" s="337"/>
      <c r="AH1018" s="338"/>
      <c r="AI1018" s="6"/>
    </row>
    <row r="1019" spans="1:35" x14ac:dyDescent="0.25">
      <c r="A1019" s="3"/>
      <c r="B1019" s="5" t="s">
        <v>32</v>
      </c>
      <c r="C1019" s="329"/>
      <c r="D1019" s="333"/>
      <c r="E1019" s="334"/>
      <c r="F1019" s="334"/>
      <c r="G1019" s="334"/>
      <c r="H1019" s="334"/>
      <c r="I1019" s="334"/>
      <c r="J1019" s="335"/>
      <c r="K1019" s="339"/>
      <c r="L1019" s="340"/>
      <c r="M1019" s="340"/>
      <c r="N1019" s="340"/>
      <c r="O1019" s="340"/>
      <c r="P1019" s="340"/>
      <c r="Q1019" s="340"/>
      <c r="R1019" s="340"/>
      <c r="S1019" s="340"/>
      <c r="T1019" s="340"/>
      <c r="U1019" s="340"/>
      <c r="V1019" s="340"/>
      <c r="W1019" s="340"/>
      <c r="X1019" s="340"/>
      <c r="Y1019" s="340"/>
      <c r="Z1019" s="340"/>
      <c r="AA1019" s="340"/>
      <c r="AB1019" s="340"/>
      <c r="AC1019" s="340"/>
      <c r="AD1019" s="340"/>
      <c r="AE1019" s="340"/>
      <c r="AF1019" s="340"/>
      <c r="AG1019" s="340"/>
      <c r="AH1019" s="341"/>
      <c r="AI1019" s="6"/>
    </row>
    <row r="1020" spans="1:35" x14ac:dyDescent="0.25">
      <c r="A1020" s="3"/>
      <c r="B1020" s="5" t="s">
        <v>11</v>
      </c>
      <c r="C1020" s="56">
        <v>0</v>
      </c>
      <c r="D1020" s="57">
        <v>0</v>
      </c>
      <c r="E1020" s="57">
        <v>0</v>
      </c>
      <c r="F1020" s="57">
        <v>0</v>
      </c>
      <c r="G1020" s="57">
        <v>0</v>
      </c>
      <c r="H1020" s="57">
        <v>0</v>
      </c>
      <c r="I1020" s="57">
        <v>0</v>
      </c>
      <c r="J1020" s="57">
        <v>0</v>
      </c>
      <c r="K1020" s="57">
        <v>0</v>
      </c>
      <c r="L1020" s="57">
        <v>0</v>
      </c>
      <c r="M1020" s="57">
        <v>0</v>
      </c>
      <c r="N1020" s="57">
        <v>0</v>
      </c>
      <c r="O1020" s="57">
        <v>0</v>
      </c>
      <c r="P1020" s="57">
        <v>0</v>
      </c>
      <c r="Q1020" s="57">
        <v>0</v>
      </c>
      <c r="R1020" s="57">
        <v>0</v>
      </c>
      <c r="S1020" s="57">
        <v>0</v>
      </c>
      <c r="T1020" s="57">
        <v>0</v>
      </c>
      <c r="U1020" s="57">
        <v>0</v>
      </c>
      <c r="V1020" s="57">
        <v>0</v>
      </c>
      <c r="W1020" s="57">
        <v>0</v>
      </c>
      <c r="X1020" s="57">
        <v>0</v>
      </c>
      <c r="Y1020" s="57">
        <v>0</v>
      </c>
      <c r="Z1020" s="57">
        <v>0</v>
      </c>
      <c r="AA1020" s="57">
        <v>0</v>
      </c>
      <c r="AB1020" s="57">
        <v>0</v>
      </c>
      <c r="AC1020" s="57">
        <v>0</v>
      </c>
      <c r="AD1020" s="57">
        <v>0</v>
      </c>
      <c r="AE1020" s="57">
        <v>0</v>
      </c>
      <c r="AF1020" s="57">
        <v>0</v>
      </c>
      <c r="AG1020" s="57">
        <v>0</v>
      </c>
      <c r="AH1020" s="58">
        <v>0</v>
      </c>
      <c r="AI1020" s="6"/>
    </row>
    <row r="1021" spans="1:35" ht="15.75" thickBot="1" x14ac:dyDescent="0.3">
      <c r="A1021" s="3"/>
      <c r="B1021" s="5" t="s">
        <v>12</v>
      </c>
      <c r="C1021" s="145">
        <v>0</v>
      </c>
      <c r="D1021" s="88">
        <v>0</v>
      </c>
      <c r="E1021" s="88">
        <v>0</v>
      </c>
      <c r="F1021" s="88">
        <v>0</v>
      </c>
      <c r="G1021" s="88">
        <v>0</v>
      </c>
      <c r="H1021" s="88">
        <v>0</v>
      </c>
      <c r="I1021" s="88">
        <v>0</v>
      </c>
      <c r="J1021" s="88">
        <v>0</v>
      </c>
      <c r="K1021" s="62">
        <v>0</v>
      </c>
      <c r="L1021" s="62">
        <v>0</v>
      </c>
      <c r="M1021" s="62">
        <v>0</v>
      </c>
      <c r="N1021" s="62">
        <v>0</v>
      </c>
      <c r="O1021" s="62">
        <v>0</v>
      </c>
      <c r="P1021" s="62">
        <v>0</v>
      </c>
      <c r="Q1021" s="62">
        <v>0</v>
      </c>
      <c r="R1021" s="62">
        <v>0</v>
      </c>
      <c r="S1021" s="62">
        <v>0</v>
      </c>
      <c r="T1021" s="62">
        <v>0</v>
      </c>
      <c r="U1021" s="62">
        <v>0</v>
      </c>
      <c r="V1021" s="62">
        <v>0</v>
      </c>
      <c r="W1021" s="62">
        <v>0</v>
      </c>
      <c r="X1021" s="62">
        <v>0</v>
      </c>
      <c r="Y1021" s="62">
        <v>0</v>
      </c>
      <c r="Z1021" s="62">
        <v>0</v>
      </c>
      <c r="AA1021" s="62">
        <v>0</v>
      </c>
      <c r="AB1021" s="62">
        <v>0</v>
      </c>
      <c r="AC1021" s="62">
        <v>0</v>
      </c>
      <c r="AD1021" s="62">
        <v>0</v>
      </c>
      <c r="AE1021" s="62">
        <v>0</v>
      </c>
      <c r="AF1021" s="62">
        <v>0</v>
      </c>
      <c r="AG1021" s="62">
        <v>0</v>
      </c>
      <c r="AH1021" s="146">
        <v>0</v>
      </c>
      <c r="AI1021" s="6"/>
    </row>
    <row r="1022" spans="1:35" x14ac:dyDescent="0.25">
      <c r="A1022" s="3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6"/>
    </row>
    <row r="1023" spans="1:35" ht="15.75" thickBot="1" x14ac:dyDescent="0.3">
      <c r="A1023" s="3"/>
      <c r="B1023" s="5"/>
      <c r="C1023" s="7">
        <v>32</v>
      </c>
      <c r="D1023" s="7">
        <v>33</v>
      </c>
      <c r="E1023" s="7">
        <v>34</v>
      </c>
      <c r="F1023" s="7">
        <v>35</v>
      </c>
      <c r="G1023" s="7">
        <v>36</v>
      </c>
      <c r="H1023" s="7">
        <v>37</v>
      </c>
      <c r="I1023" s="7">
        <v>38</v>
      </c>
      <c r="J1023" s="7">
        <v>39</v>
      </c>
      <c r="K1023" s="7">
        <v>40</v>
      </c>
      <c r="L1023" s="7">
        <v>41</v>
      </c>
      <c r="M1023" s="7">
        <v>42</v>
      </c>
      <c r="N1023" s="7">
        <v>43</v>
      </c>
      <c r="O1023" s="7">
        <v>44</v>
      </c>
      <c r="P1023" s="7">
        <v>45</v>
      </c>
      <c r="Q1023" s="7">
        <v>46</v>
      </c>
      <c r="R1023" s="7">
        <v>47</v>
      </c>
      <c r="S1023" s="7">
        <v>48</v>
      </c>
      <c r="T1023" s="7">
        <v>49</v>
      </c>
      <c r="U1023" s="7">
        <v>50</v>
      </c>
      <c r="V1023" s="7">
        <v>51</v>
      </c>
      <c r="W1023" s="7">
        <v>52</v>
      </c>
      <c r="X1023" s="7">
        <v>53</v>
      </c>
      <c r="Y1023" s="7">
        <v>54</v>
      </c>
      <c r="Z1023" s="7">
        <v>55</v>
      </c>
      <c r="AA1023" s="7">
        <v>56</v>
      </c>
      <c r="AB1023" s="7">
        <v>57</v>
      </c>
      <c r="AC1023" s="7">
        <v>58</v>
      </c>
      <c r="AD1023" s="7">
        <v>59</v>
      </c>
      <c r="AE1023" s="7">
        <v>60</v>
      </c>
      <c r="AF1023" s="7">
        <v>61</v>
      </c>
      <c r="AG1023" s="7">
        <v>62</v>
      </c>
      <c r="AH1023" s="7">
        <v>63</v>
      </c>
      <c r="AI1023" s="6"/>
    </row>
    <row r="1024" spans="1:35" ht="15.75" thickBot="1" x14ac:dyDescent="0.3">
      <c r="A1024" s="3"/>
      <c r="B1024" s="5"/>
      <c r="C1024" s="147" t="s">
        <v>13</v>
      </c>
      <c r="D1024" s="148" t="s">
        <v>14</v>
      </c>
      <c r="E1024" s="148" t="s">
        <v>15</v>
      </c>
      <c r="F1024" s="148" t="s">
        <v>16</v>
      </c>
      <c r="G1024" s="148" t="s">
        <v>17</v>
      </c>
      <c r="H1024" s="148" t="s">
        <v>18</v>
      </c>
      <c r="I1024" s="148" t="s">
        <v>19</v>
      </c>
      <c r="J1024" s="148" t="s">
        <v>20</v>
      </c>
      <c r="K1024" s="148" t="s">
        <v>21</v>
      </c>
      <c r="L1024" s="148" t="s">
        <v>22</v>
      </c>
      <c r="M1024" s="148" t="s">
        <v>23</v>
      </c>
      <c r="N1024" s="148" t="s">
        <v>24</v>
      </c>
      <c r="O1024" s="148" t="s">
        <v>25</v>
      </c>
      <c r="P1024" s="148" t="s">
        <v>26</v>
      </c>
      <c r="Q1024" s="148" t="s">
        <v>27</v>
      </c>
      <c r="R1024" s="342" t="s">
        <v>30</v>
      </c>
      <c r="S1024" s="343"/>
      <c r="T1024" s="343"/>
      <c r="U1024" s="343"/>
      <c r="V1024" s="343"/>
      <c r="W1024" s="343"/>
      <c r="X1024" s="343"/>
      <c r="Y1024" s="343"/>
      <c r="Z1024" s="343"/>
      <c r="AA1024" s="343"/>
      <c r="AB1024" s="343"/>
      <c r="AC1024" s="343"/>
      <c r="AD1024" s="343"/>
      <c r="AE1024" s="343"/>
      <c r="AF1024" s="344"/>
      <c r="AG1024" s="67" t="s">
        <v>28</v>
      </c>
      <c r="AH1024" s="149" t="s">
        <v>29</v>
      </c>
      <c r="AI1024" s="6"/>
    </row>
    <row r="1025" spans="1:35" ht="15.75" thickBot="1" x14ac:dyDescent="0.3">
      <c r="A1025" s="3"/>
      <c r="B1025" s="5"/>
      <c r="C1025" s="150">
        <v>0</v>
      </c>
      <c r="D1025" s="151">
        <v>0</v>
      </c>
      <c r="E1025" s="151">
        <v>0</v>
      </c>
      <c r="F1025" s="151">
        <v>0</v>
      </c>
      <c r="G1025" s="151">
        <v>0</v>
      </c>
      <c r="H1025" s="151">
        <v>0</v>
      </c>
      <c r="I1025" s="151">
        <v>0</v>
      </c>
      <c r="J1025" s="151">
        <v>0</v>
      </c>
      <c r="K1025" s="151">
        <v>0</v>
      </c>
      <c r="L1025" s="151">
        <v>0</v>
      </c>
      <c r="M1025" s="151">
        <v>0</v>
      </c>
      <c r="N1025" s="151">
        <v>0</v>
      </c>
      <c r="O1025" s="151">
        <v>1</v>
      </c>
      <c r="P1025" s="151">
        <v>0</v>
      </c>
      <c r="Q1025" s="151">
        <v>0</v>
      </c>
      <c r="R1025" s="151">
        <v>0</v>
      </c>
      <c r="S1025" s="151">
        <v>0</v>
      </c>
      <c r="T1025" s="151">
        <v>0</v>
      </c>
      <c r="U1025" s="151">
        <v>0</v>
      </c>
      <c r="V1025" s="151">
        <v>0</v>
      </c>
      <c r="W1025" s="151">
        <v>0</v>
      </c>
      <c r="X1025" s="151">
        <v>1</v>
      </c>
      <c r="Y1025" s="151">
        <v>1</v>
      </c>
      <c r="Z1025" s="151">
        <v>0</v>
      </c>
      <c r="AA1025" s="151">
        <v>0</v>
      </c>
      <c r="AB1025" s="151">
        <v>1</v>
      </c>
      <c r="AC1025" s="151">
        <v>0</v>
      </c>
      <c r="AD1025" s="151">
        <v>0</v>
      </c>
      <c r="AE1025" s="151">
        <v>0</v>
      </c>
      <c r="AF1025" s="151">
        <v>1</v>
      </c>
      <c r="AG1025" s="151">
        <v>0</v>
      </c>
      <c r="AH1025" s="152">
        <v>0</v>
      </c>
      <c r="AI1025" s="6"/>
    </row>
    <row r="1026" spans="1:35" x14ac:dyDescent="0.25">
      <c r="A1026" s="3"/>
      <c r="B1026" s="4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6"/>
    </row>
    <row r="1027" spans="1:35" x14ac:dyDescent="0.25">
      <c r="A1027" s="3"/>
      <c r="B1027" s="8" t="s">
        <v>43</v>
      </c>
      <c r="C1027" s="9"/>
      <c r="D1027" s="9"/>
      <c r="E1027" s="9"/>
      <c r="F1027" s="44" t="s">
        <v>44</v>
      </c>
      <c r="G1027" s="44"/>
      <c r="H1027" s="44"/>
      <c r="I1027" s="9"/>
      <c r="J1027" s="45" t="s">
        <v>45</v>
      </c>
      <c r="K1027" s="45"/>
      <c r="L1027" s="45"/>
      <c r="M1027" s="45"/>
      <c r="N1027" s="9"/>
      <c r="O1027" s="46" t="s">
        <v>46</v>
      </c>
      <c r="P1027" s="46"/>
      <c r="Q1027" s="46"/>
      <c r="R1027" s="46"/>
      <c r="S1027" s="9"/>
      <c r="T1027" s="1" t="s">
        <v>49</v>
      </c>
      <c r="U1027" s="10" t="s">
        <v>48</v>
      </c>
      <c r="V1027" s="5"/>
      <c r="W1027" s="9"/>
      <c r="X1027" s="9"/>
      <c r="Y1027" s="9"/>
      <c r="Z1027" s="9"/>
      <c r="AA1027" s="9"/>
      <c r="AB1027" s="9"/>
      <c r="AC1027" s="9"/>
      <c r="AD1027" s="9"/>
      <c r="AE1027" s="9"/>
      <c r="AF1027" s="9"/>
      <c r="AG1027" s="9"/>
      <c r="AH1027" s="9"/>
      <c r="AI1027" s="6"/>
    </row>
    <row r="1028" spans="1:35" ht="15" customHeight="1" x14ac:dyDescent="0.25">
      <c r="A1028" s="3"/>
      <c r="B1028" s="42" t="str">
        <f>"0x"&amp;DEC2HEX(Sheet3!$I$4,8)</f>
        <v>0x00400320</v>
      </c>
      <c r="C1028" s="42"/>
      <c r="D1028" s="42"/>
      <c r="E1028" s="12"/>
      <c r="F1028" s="319" t="str">
        <f>"0x"&amp;BIN2HEX(CONCATENATE(C1021,D1021,E1021,F1021,G1021,H1021,I1021,J1021),2)&amp;BIN2HEX(CONCATENATE(K1021,L1021,M1021,N1021,O1021,P1021,Q1021,R1021),2)&amp;BIN2HEX(CONCATENATE(S1021,T1021,U1021,V1021,W1021,X1021,Y1021,Z1021),2)&amp;BIN2HEX(CONCATENATE(AA1021,AB1021,AC1021,AD1021,AE1021,AF1021,AG1021,AH1021),2)</f>
        <v>0x00000000</v>
      </c>
      <c r="G1028" s="319"/>
      <c r="H1028" s="319"/>
      <c r="I1028" s="12"/>
      <c r="J1028" s="319" t="str">
        <f>"0b"&amp;C1025&amp;D1025&amp;E1025&amp;F1025&amp;G1025&amp;H1025&amp;I1025&amp;J1025&amp;K1025&amp;L1025&amp;M1025&amp;N1025&amp;O1025&amp;P1025&amp;Q1025</f>
        <v>0b000000000000100</v>
      </c>
      <c r="K1028" s="319"/>
      <c r="L1028" s="319"/>
      <c r="M1028" s="319"/>
      <c r="N1028" s="12"/>
      <c r="O1028" s="319" t="str">
        <f>"0b"&amp;DEC2BIN(((AF1025+AE1025*2+AD1025*4+AC1025*8+AB1025*16+AA1025*32+Z1025*64+Y1025*128+X1025*256+W1025*512+V1025*1024+U1025*2048+T1025*4096+S1025*2^13+R1025*2^14)/512),6)&amp;DEC2BIN(MOD((AF1025+AE1025*2+AD1025*4+AC1025*8+AB1025*16+AA1025*32+Z1025*64+Y1025*128+X1025*256+W1025*512+V1025*1024+U1025*2048+T1025*4096+S1025*2^13+R1025*2^14),512),9)</f>
        <v>0b000000110010001</v>
      </c>
      <c r="P1028" s="319"/>
      <c r="Q1028" s="319"/>
      <c r="R1028" s="319"/>
      <c r="S1028" s="12"/>
      <c r="T1028" s="13">
        <v>0</v>
      </c>
      <c r="U1028" s="13">
        <f>AH1025</f>
        <v>0</v>
      </c>
      <c r="V1028" s="5"/>
      <c r="W1028" s="14"/>
      <c r="X1028" s="14"/>
      <c r="Y1028" s="14"/>
      <c r="Z1028" s="14"/>
      <c r="AA1028" s="14"/>
      <c r="AB1028" s="14"/>
      <c r="AC1028" s="14"/>
      <c r="AD1028" s="14"/>
      <c r="AE1028" s="14"/>
      <c r="AF1028" s="14"/>
      <c r="AG1028" s="14"/>
      <c r="AH1028" s="14"/>
      <c r="AI1028" s="6"/>
    </row>
    <row r="1029" spans="1:35" x14ac:dyDescent="0.25">
      <c r="A1029" s="3"/>
      <c r="B1029" s="42"/>
      <c r="C1029" s="42"/>
      <c r="D1029" s="42"/>
      <c r="E1029" s="15"/>
      <c r="F1029" s="43"/>
      <c r="G1029" s="43"/>
      <c r="H1029" s="43"/>
      <c r="I1029" s="15"/>
      <c r="J1029" s="42"/>
      <c r="K1029" s="42"/>
      <c r="L1029" s="42"/>
      <c r="M1029" s="42"/>
      <c r="N1029" s="15"/>
      <c r="O1029" s="42"/>
      <c r="P1029" s="42"/>
      <c r="Q1029" s="42"/>
      <c r="R1029" s="42"/>
      <c r="S1029" s="15"/>
      <c r="T1029" s="13"/>
      <c r="U1029" s="15"/>
      <c r="V1029" s="5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6"/>
    </row>
    <row r="1030" spans="1:35" x14ac:dyDescent="0.25">
      <c r="A1030" s="3"/>
      <c r="B1030" s="42"/>
      <c r="C1030" s="42"/>
      <c r="D1030" s="42"/>
      <c r="E1030" s="15"/>
      <c r="F1030" s="43"/>
      <c r="G1030" s="43"/>
      <c r="H1030" s="43"/>
      <c r="I1030" s="15"/>
      <c r="J1030" s="42"/>
      <c r="K1030" s="42"/>
      <c r="L1030" s="42"/>
      <c r="M1030" s="42"/>
      <c r="N1030" s="15"/>
      <c r="O1030" s="42"/>
      <c r="P1030" s="42"/>
      <c r="Q1030" s="42"/>
      <c r="R1030" s="42"/>
      <c r="S1030" s="15"/>
      <c r="T1030" s="13"/>
      <c r="U1030" s="15"/>
      <c r="V1030" s="5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6"/>
    </row>
    <row r="1031" spans="1:35" x14ac:dyDescent="0.25">
      <c r="A1031" s="3"/>
      <c r="B1031" s="5"/>
      <c r="C1031" s="5"/>
      <c r="D1031" s="5"/>
      <c r="E1031" s="5"/>
      <c r="F1031" s="17"/>
      <c r="G1031" s="17"/>
      <c r="H1031" s="17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6"/>
    </row>
    <row r="1032" spans="1:35" x14ac:dyDescent="0.25">
      <c r="A1032" s="3"/>
      <c r="B1032" s="5" t="s">
        <v>47</v>
      </c>
      <c r="C1032" s="18"/>
      <c r="D1032" s="18"/>
      <c r="E1032" s="18"/>
      <c r="F1032" s="5"/>
      <c r="G1032" s="5"/>
      <c r="H1032" s="5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  <c r="AB1032" s="18"/>
      <c r="AC1032" s="18"/>
      <c r="AD1032" s="18"/>
      <c r="AE1032" s="18"/>
      <c r="AF1032" s="18"/>
      <c r="AG1032" s="18"/>
      <c r="AH1032" s="18"/>
      <c r="AI1032" s="6"/>
    </row>
    <row r="1033" spans="1:35" ht="15" customHeight="1" x14ac:dyDescent="0.25">
      <c r="A1033" s="3"/>
      <c r="B1033" s="42" t="str">
        <f>"0x"&amp;DEC2HEX(Sheet3!$I$4,8)</f>
        <v>0x00400320</v>
      </c>
      <c r="C1033" s="42"/>
      <c r="D1033" s="42"/>
      <c r="E1033" s="16"/>
      <c r="F1033" s="322" t="str">
        <f>F1028&amp;BIN2HEX(MID(J1028,3,8),2)&amp;BIN2HEX(RIGHT(J1028,7)&amp;MID(O1028,3,1),2)&amp;BIN2HEX(MID(O1028,4,8),2)&amp;BIN2HEX(RIGHT(O1028,6)&amp;T1028&amp;U1028,2)</f>
        <v>0x0000000000080644</v>
      </c>
      <c r="G1033" s="322"/>
      <c r="H1033" s="322"/>
      <c r="I1033" s="322"/>
      <c r="J1033" s="5"/>
      <c r="K1033" s="5"/>
      <c r="L1033" s="5"/>
      <c r="M1033" s="5"/>
      <c r="N1033" s="5"/>
      <c r="O1033" s="5"/>
      <c r="P1033" s="16"/>
      <c r="Q1033" s="16"/>
      <c r="R1033" s="19"/>
      <c r="S1033" s="19"/>
      <c r="T1033" s="19"/>
      <c r="U1033" s="19"/>
      <c r="V1033" s="19"/>
      <c r="W1033" s="19"/>
      <c r="X1033" s="19"/>
      <c r="Y1033" s="19"/>
      <c r="Z1033" s="19"/>
      <c r="AA1033" s="19"/>
      <c r="AB1033" s="19"/>
      <c r="AC1033" s="19"/>
      <c r="AD1033" s="19"/>
      <c r="AE1033" s="19"/>
      <c r="AF1033" s="19"/>
      <c r="AG1033" s="5"/>
      <c r="AH1033" s="5"/>
      <c r="AI1033" s="6"/>
    </row>
    <row r="1034" spans="1:35" x14ac:dyDescent="0.25">
      <c r="A1034" s="3"/>
      <c r="B1034" s="37"/>
      <c r="C1034" s="37"/>
      <c r="D1034" s="37"/>
      <c r="E1034" s="5"/>
      <c r="F1034" s="38"/>
      <c r="G1034" s="38"/>
      <c r="H1034" s="38"/>
      <c r="I1034" s="38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6"/>
    </row>
    <row r="1035" spans="1:35" x14ac:dyDescent="0.25">
      <c r="A1035" s="3"/>
      <c r="B1035" s="37"/>
      <c r="C1035" s="37"/>
      <c r="D1035" s="37"/>
      <c r="E1035" s="5"/>
      <c r="F1035" s="38"/>
      <c r="G1035" s="38"/>
      <c r="H1035" s="38"/>
      <c r="I1035" s="38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6"/>
    </row>
    <row r="1036" spans="1:35" x14ac:dyDescent="0.25">
      <c r="A1036" s="20"/>
      <c r="B1036" s="21"/>
      <c r="C1036" s="21"/>
      <c r="D1036" s="21"/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2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  <c r="AF1036" s="21"/>
      <c r="AG1036" s="21"/>
      <c r="AH1036" s="21"/>
      <c r="AI1036" s="23"/>
    </row>
    <row r="1037" spans="1:35" x14ac:dyDescent="0.25">
      <c r="A1037" s="24"/>
      <c r="B1037" s="28"/>
      <c r="C1037" s="25"/>
      <c r="D1037" s="25"/>
      <c r="E1037" s="25"/>
      <c r="F1037" s="25"/>
      <c r="G1037" s="25"/>
      <c r="H1037" s="25"/>
      <c r="I1037" s="25"/>
      <c r="J1037" s="25"/>
      <c r="K1037" s="25"/>
      <c r="L1037" s="25"/>
      <c r="M1037" s="25"/>
      <c r="N1037" s="25"/>
      <c r="O1037" s="25"/>
      <c r="P1037" s="25"/>
      <c r="Q1037" s="25"/>
      <c r="R1037" s="25"/>
      <c r="S1037" s="25"/>
      <c r="T1037" s="25"/>
      <c r="U1037" s="25"/>
      <c r="V1037" s="25"/>
      <c r="W1037" s="25"/>
      <c r="X1037" s="25"/>
      <c r="Y1037" s="25"/>
      <c r="Z1037" s="25"/>
      <c r="AA1037" s="25"/>
      <c r="AB1037" s="25"/>
      <c r="AC1037" s="25"/>
      <c r="AD1037" s="25"/>
      <c r="AE1037" s="25"/>
      <c r="AF1037" s="25"/>
      <c r="AG1037" s="25"/>
      <c r="AH1037" s="25"/>
      <c r="AI1037" s="26"/>
    </row>
    <row r="1038" spans="1:35" x14ac:dyDescent="0.25">
      <c r="A1038" s="3"/>
      <c r="B1038" s="4" t="s">
        <v>179</v>
      </c>
      <c r="C1038" s="5"/>
      <c r="D1038" s="5"/>
      <c r="E1038" s="5"/>
      <c r="F1038" s="5"/>
      <c r="G1038" s="5"/>
      <c r="H1038" s="5"/>
      <c r="I1038" s="5" t="str">
        <f>"0x"&amp;BIN2HEX(CONCATENATE(C1043,D1043,E1043,F1043,G1043,H1043,I1043,J1043),2)&amp;BIN2HEX(CONCATENATE(K1043,L1043,M1043,N1043,O1043,P1043,Q1043,R1043),2)&amp;BIN2HEX(CONCATENATE(S1043,T1043,U1043,V1043,W1043,X1043,Y1043,Z1043),2)&amp;BIN2HEX(CONCATENATE(AA1043,AB1043,AC1043,AD1043,AE1043,AF1043,AG1043,AH1043),2)&amp;"_"&amp;BIN2HEX(CONCATENATE(C1047,D1047,E1047,F1047,G1047,H1047,I1047,J1047),2)&amp;BIN2HEX(CONCATENATE(K1047,L1047,M1047,N1047,O1047,P1047,Q1047,R1047),2)&amp;BIN2HEX(CONCATENATE(S1047,T1047,U1047,V1047,W1047,X1047,Y1047,Z1047),2)&amp;BIN2HEX(CONCATENATE(AA1047,AB1047,AC1047,AD1047,AE1047,AF1047,AG1047,AH1047),2)</f>
        <v>0x00000000_00080648</v>
      </c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6"/>
    </row>
    <row r="1039" spans="1:35" ht="15.75" thickBot="1" x14ac:dyDescent="0.3">
      <c r="A1039" s="3"/>
      <c r="B1039" s="5"/>
      <c r="C1039" s="7">
        <v>0</v>
      </c>
      <c r="D1039" s="7">
        <v>1</v>
      </c>
      <c r="E1039" s="7">
        <v>2</v>
      </c>
      <c r="F1039" s="7">
        <v>3</v>
      </c>
      <c r="G1039" s="7">
        <v>4</v>
      </c>
      <c r="H1039" s="7">
        <v>5</v>
      </c>
      <c r="I1039" s="7">
        <v>6</v>
      </c>
      <c r="J1039" s="7">
        <v>7</v>
      </c>
      <c r="K1039" s="7">
        <v>8</v>
      </c>
      <c r="L1039" s="7">
        <v>9</v>
      </c>
      <c r="M1039" s="7">
        <v>10</v>
      </c>
      <c r="N1039" s="7">
        <v>11</v>
      </c>
      <c r="O1039" s="7">
        <v>12</v>
      </c>
      <c r="P1039" s="7">
        <v>13</v>
      </c>
      <c r="Q1039" s="7">
        <v>14</v>
      </c>
      <c r="R1039" s="7">
        <v>15</v>
      </c>
      <c r="S1039" s="7">
        <v>16</v>
      </c>
      <c r="T1039" s="7">
        <v>17</v>
      </c>
      <c r="U1039" s="7">
        <v>18</v>
      </c>
      <c r="V1039" s="7">
        <v>19</v>
      </c>
      <c r="W1039" s="7">
        <v>20</v>
      </c>
      <c r="X1039" s="7">
        <v>21</v>
      </c>
      <c r="Y1039" s="7">
        <v>22</v>
      </c>
      <c r="Z1039" s="7">
        <v>23</v>
      </c>
      <c r="AA1039" s="7">
        <v>24</v>
      </c>
      <c r="AB1039" s="7">
        <v>25</v>
      </c>
      <c r="AC1039" s="7">
        <v>26</v>
      </c>
      <c r="AD1039" s="7">
        <v>27</v>
      </c>
      <c r="AE1039" s="7">
        <v>28</v>
      </c>
      <c r="AF1039" s="7">
        <v>29</v>
      </c>
      <c r="AG1039" s="7">
        <v>30</v>
      </c>
      <c r="AH1039" s="7">
        <v>31</v>
      </c>
      <c r="AI1039" s="6"/>
    </row>
    <row r="1040" spans="1:35" x14ac:dyDescent="0.25">
      <c r="A1040" s="3"/>
      <c r="B1040" s="5" t="s">
        <v>31</v>
      </c>
      <c r="C1040" s="328" t="s">
        <v>161</v>
      </c>
      <c r="D1040" s="330" t="s">
        <v>63</v>
      </c>
      <c r="E1040" s="331"/>
      <c r="F1040" s="331"/>
      <c r="G1040" s="331"/>
      <c r="H1040" s="331"/>
      <c r="I1040" s="331"/>
      <c r="J1040" s="332"/>
      <c r="K1040" s="336">
        <v>0</v>
      </c>
      <c r="L1040" s="337"/>
      <c r="M1040" s="337"/>
      <c r="N1040" s="337"/>
      <c r="O1040" s="337"/>
      <c r="P1040" s="337"/>
      <c r="Q1040" s="337"/>
      <c r="R1040" s="337"/>
      <c r="S1040" s="337"/>
      <c r="T1040" s="337"/>
      <c r="U1040" s="337"/>
      <c r="V1040" s="337"/>
      <c r="W1040" s="337"/>
      <c r="X1040" s="337"/>
      <c r="Y1040" s="337"/>
      <c r="Z1040" s="337"/>
      <c r="AA1040" s="337"/>
      <c r="AB1040" s="337"/>
      <c r="AC1040" s="337"/>
      <c r="AD1040" s="337"/>
      <c r="AE1040" s="337"/>
      <c r="AF1040" s="337"/>
      <c r="AG1040" s="337"/>
      <c r="AH1040" s="338"/>
      <c r="AI1040" s="6"/>
    </row>
    <row r="1041" spans="1:35" x14ac:dyDescent="0.25">
      <c r="A1041" s="3"/>
      <c r="B1041" s="5" t="s">
        <v>32</v>
      </c>
      <c r="C1041" s="329"/>
      <c r="D1041" s="333"/>
      <c r="E1041" s="334"/>
      <c r="F1041" s="334"/>
      <c r="G1041" s="334"/>
      <c r="H1041" s="334"/>
      <c r="I1041" s="334"/>
      <c r="J1041" s="335"/>
      <c r="K1041" s="339"/>
      <c r="L1041" s="340"/>
      <c r="M1041" s="340"/>
      <c r="N1041" s="340"/>
      <c r="O1041" s="340"/>
      <c r="P1041" s="340"/>
      <c r="Q1041" s="340"/>
      <c r="R1041" s="340"/>
      <c r="S1041" s="340"/>
      <c r="T1041" s="340"/>
      <c r="U1041" s="340"/>
      <c r="V1041" s="340"/>
      <c r="W1041" s="340"/>
      <c r="X1041" s="340"/>
      <c r="Y1041" s="340"/>
      <c r="Z1041" s="340"/>
      <c r="AA1041" s="340"/>
      <c r="AB1041" s="340"/>
      <c r="AC1041" s="340"/>
      <c r="AD1041" s="340"/>
      <c r="AE1041" s="340"/>
      <c r="AF1041" s="340"/>
      <c r="AG1041" s="340"/>
      <c r="AH1041" s="341"/>
      <c r="AI1041" s="6"/>
    </row>
    <row r="1042" spans="1:35" x14ac:dyDescent="0.25">
      <c r="A1042" s="3"/>
      <c r="B1042" s="5" t="s">
        <v>11</v>
      </c>
      <c r="C1042" s="56">
        <v>0</v>
      </c>
      <c r="D1042" s="57">
        <v>0</v>
      </c>
      <c r="E1042" s="57">
        <v>0</v>
      </c>
      <c r="F1042" s="57">
        <v>0</v>
      </c>
      <c r="G1042" s="57">
        <v>0</v>
      </c>
      <c r="H1042" s="57">
        <v>0</v>
      </c>
      <c r="I1042" s="57">
        <v>0</v>
      </c>
      <c r="J1042" s="57">
        <v>0</v>
      </c>
      <c r="K1042" s="57">
        <v>0</v>
      </c>
      <c r="L1042" s="57">
        <v>0</v>
      </c>
      <c r="M1042" s="57">
        <v>0</v>
      </c>
      <c r="N1042" s="57">
        <v>0</v>
      </c>
      <c r="O1042" s="57">
        <v>0</v>
      </c>
      <c r="P1042" s="57">
        <v>0</v>
      </c>
      <c r="Q1042" s="57">
        <v>0</v>
      </c>
      <c r="R1042" s="57">
        <v>0</v>
      </c>
      <c r="S1042" s="57">
        <v>0</v>
      </c>
      <c r="T1042" s="57">
        <v>0</v>
      </c>
      <c r="U1042" s="57">
        <v>0</v>
      </c>
      <c r="V1042" s="57">
        <v>0</v>
      </c>
      <c r="W1042" s="57">
        <v>0</v>
      </c>
      <c r="X1042" s="57">
        <v>0</v>
      </c>
      <c r="Y1042" s="57">
        <v>0</v>
      </c>
      <c r="Z1042" s="57">
        <v>0</v>
      </c>
      <c r="AA1042" s="57">
        <v>0</v>
      </c>
      <c r="AB1042" s="57">
        <v>0</v>
      </c>
      <c r="AC1042" s="57">
        <v>0</v>
      </c>
      <c r="AD1042" s="57">
        <v>0</v>
      </c>
      <c r="AE1042" s="57">
        <v>0</v>
      </c>
      <c r="AF1042" s="57">
        <v>0</v>
      </c>
      <c r="AG1042" s="57">
        <v>0</v>
      </c>
      <c r="AH1042" s="58">
        <v>0</v>
      </c>
      <c r="AI1042" s="6"/>
    </row>
    <row r="1043" spans="1:35" ht="15.75" thickBot="1" x14ac:dyDescent="0.3">
      <c r="A1043" s="3"/>
      <c r="B1043" s="5" t="s">
        <v>12</v>
      </c>
      <c r="C1043" s="145">
        <v>0</v>
      </c>
      <c r="D1043" s="88">
        <v>0</v>
      </c>
      <c r="E1043" s="88">
        <v>0</v>
      </c>
      <c r="F1043" s="88">
        <v>0</v>
      </c>
      <c r="G1043" s="88">
        <v>0</v>
      </c>
      <c r="H1043" s="88">
        <v>0</v>
      </c>
      <c r="I1043" s="88">
        <v>0</v>
      </c>
      <c r="J1043" s="88">
        <v>0</v>
      </c>
      <c r="K1043" s="62">
        <v>0</v>
      </c>
      <c r="L1043" s="62">
        <v>0</v>
      </c>
      <c r="M1043" s="62">
        <v>0</v>
      </c>
      <c r="N1043" s="62">
        <v>0</v>
      </c>
      <c r="O1043" s="62">
        <v>0</v>
      </c>
      <c r="P1043" s="62">
        <v>0</v>
      </c>
      <c r="Q1043" s="62">
        <v>0</v>
      </c>
      <c r="R1043" s="62">
        <v>0</v>
      </c>
      <c r="S1043" s="62">
        <v>0</v>
      </c>
      <c r="T1043" s="62">
        <v>0</v>
      </c>
      <c r="U1043" s="62">
        <v>0</v>
      </c>
      <c r="V1043" s="62">
        <v>0</v>
      </c>
      <c r="W1043" s="62">
        <v>0</v>
      </c>
      <c r="X1043" s="62">
        <v>0</v>
      </c>
      <c r="Y1043" s="62">
        <v>0</v>
      </c>
      <c r="Z1043" s="62">
        <v>0</v>
      </c>
      <c r="AA1043" s="62">
        <v>0</v>
      </c>
      <c r="AB1043" s="62">
        <v>0</v>
      </c>
      <c r="AC1043" s="62">
        <v>0</v>
      </c>
      <c r="AD1043" s="62">
        <v>0</v>
      </c>
      <c r="AE1043" s="62">
        <v>0</v>
      </c>
      <c r="AF1043" s="62">
        <v>0</v>
      </c>
      <c r="AG1043" s="62">
        <v>0</v>
      </c>
      <c r="AH1043" s="146">
        <v>0</v>
      </c>
      <c r="AI1043" s="6"/>
    </row>
    <row r="1044" spans="1:35" x14ac:dyDescent="0.25">
      <c r="A1044" s="3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6"/>
    </row>
    <row r="1045" spans="1:35" ht="15.75" thickBot="1" x14ac:dyDescent="0.3">
      <c r="A1045" s="3"/>
      <c r="B1045" s="5"/>
      <c r="C1045" s="7">
        <v>32</v>
      </c>
      <c r="D1045" s="7">
        <v>33</v>
      </c>
      <c r="E1045" s="7">
        <v>34</v>
      </c>
      <c r="F1045" s="7">
        <v>35</v>
      </c>
      <c r="G1045" s="7">
        <v>36</v>
      </c>
      <c r="H1045" s="7">
        <v>37</v>
      </c>
      <c r="I1045" s="7">
        <v>38</v>
      </c>
      <c r="J1045" s="7">
        <v>39</v>
      </c>
      <c r="K1045" s="7">
        <v>40</v>
      </c>
      <c r="L1045" s="7">
        <v>41</v>
      </c>
      <c r="M1045" s="7">
        <v>42</v>
      </c>
      <c r="N1045" s="7">
        <v>43</v>
      </c>
      <c r="O1045" s="7">
        <v>44</v>
      </c>
      <c r="P1045" s="7">
        <v>45</v>
      </c>
      <c r="Q1045" s="7">
        <v>46</v>
      </c>
      <c r="R1045" s="7">
        <v>47</v>
      </c>
      <c r="S1045" s="7">
        <v>48</v>
      </c>
      <c r="T1045" s="7">
        <v>49</v>
      </c>
      <c r="U1045" s="7">
        <v>50</v>
      </c>
      <c r="V1045" s="7">
        <v>51</v>
      </c>
      <c r="W1045" s="7">
        <v>52</v>
      </c>
      <c r="X1045" s="7">
        <v>53</v>
      </c>
      <c r="Y1045" s="7">
        <v>54</v>
      </c>
      <c r="Z1045" s="7">
        <v>55</v>
      </c>
      <c r="AA1045" s="7">
        <v>56</v>
      </c>
      <c r="AB1045" s="7">
        <v>57</v>
      </c>
      <c r="AC1045" s="7">
        <v>58</v>
      </c>
      <c r="AD1045" s="7">
        <v>59</v>
      </c>
      <c r="AE1045" s="7">
        <v>60</v>
      </c>
      <c r="AF1045" s="7">
        <v>61</v>
      </c>
      <c r="AG1045" s="7">
        <v>62</v>
      </c>
      <c r="AH1045" s="7">
        <v>63</v>
      </c>
      <c r="AI1045" s="6"/>
    </row>
    <row r="1046" spans="1:35" ht="15.75" thickBot="1" x14ac:dyDescent="0.3">
      <c r="A1046" s="3"/>
      <c r="B1046" s="5"/>
      <c r="C1046" s="147" t="s">
        <v>13</v>
      </c>
      <c r="D1046" s="148" t="s">
        <v>14</v>
      </c>
      <c r="E1046" s="148" t="s">
        <v>15</v>
      </c>
      <c r="F1046" s="148" t="s">
        <v>16</v>
      </c>
      <c r="G1046" s="148" t="s">
        <v>17</v>
      </c>
      <c r="H1046" s="148" t="s">
        <v>18</v>
      </c>
      <c r="I1046" s="148" t="s">
        <v>19</v>
      </c>
      <c r="J1046" s="148" t="s">
        <v>20</v>
      </c>
      <c r="K1046" s="148" t="s">
        <v>21</v>
      </c>
      <c r="L1046" s="148" t="s">
        <v>22</v>
      </c>
      <c r="M1046" s="148" t="s">
        <v>23</v>
      </c>
      <c r="N1046" s="148" t="s">
        <v>24</v>
      </c>
      <c r="O1046" s="148" t="s">
        <v>25</v>
      </c>
      <c r="P1046" s="148" t="s">
        <v>26</v>
      </c>
      <c r="Q1046" s="148" t="s">
        <v>27</v>
      </c>
      <c r="R1046" s="342" t="s">
        <v>30</v>
      </c>
      <c r="S1046" s="343"/>
      <c r="T1046" s="343"/>
      <c r="U1046" s="343"/>
      <c r="V1046" s="343"/>
      <c r="W1046" s="343"/>
      <c r="X1046" s="343"/>
      <c r="Y1046" s="343"/>
      <c r="Z1046" s="343"/>
      <c r="AA1046" s="343"/>
      <c r="AB1046" s="343"/>
      <c r="AC1046" s="343"/>
      <c r="AD1046" s="343"/>
      <c r="AE1046" s="343"/>
      <c r="AF1046" s="344"/>
      <c r="AG1046" s="67" t="s">
        <v>28</v>
      </c>
      <c r="AH1046" s="149" t="s">
        <v>29</v>
      </c>
      <c r="AI1046" s="6"/>
    </row>
    <row r="1047" spans="1:35" ht="15.75" thickBot="1" x14ac:dyDescent="0.3">
      <c r="A1047" s="3"/>
      <c r="B1047" s="5"/>
      <c r="C1047" s="150">
        <v>0</v>
      </c>
      <c r="D1047" s="151">
        <v>0</v>
      </c>
      <c r="E1047" s="151">
        <v>0</v>
      </c>
      <c r="F1047" s="151">
        <v>0</v>
      </c>
      <c r="G1047" s="151">
        <v>0</v>
      </c>
      <c r="H1047" s="151">
        <v>0</v>
      </c>
      <c r="I1047" s="151">
        <v>0</v>
      </c>
      <c r="J1047" s="151">
        <v>0</v>
      </c>
      <c r="K1047" s="151">
        <v>0</v>
      </c>
      <c r="L1047" s="151">
        <v>0</v>
      </c>
      <c r="M1047" s="151">
        <v>0</v>
      </c>
      <c r="N1047" s="151">
        <v>0</v>
      </c>
      <c r="O1047" s="151">
        <v>1</v>
      </c>
      <c r="P1047" s="151">
        <v>0</v>
      </c>
      <c r="Q1047" s="151">
        <v>0</v>
      </c>
      <c r="R1047" s="151">
        <v>0</v>
      </c>
      <c r="S1047" s="151">
        <v>0</v>
      </c>
      <c r="T1047" s="151">
        <v>0</v>
      </c>
      <c r="U1047" s="151">
        <v>0</v>
      </c>
      <c r="V1047" s="151">
        <v>0</v>
      </c>
      <c r="W1047" s="151">
        <v>0</v>
      </c>
      <c r="X1047" s="151">
        <v>1</v>
      </c>
      <c r="Y1047" s="151">
        <v>1</v>
      </c>
      <c r="Z1047" s="151">
        <v>0</v>
      </c>
      <c r="AA1047" s="151">
        <v>0</v>
      </c>
      <c r="AB1047" s="151">
        <v>1</v>
      </c>
      <c r="AC1047" s="151">
        <v>0</v>
      </c>
      <c r="AD1047" s="151">
        <v>0</v>
      </c>
      <c r="AE1047" s="151">
        <v>1</v>
      </c>
      <c r="AF1047" s="151">
        <v>0</v>
      </c>
      <c r="AG1047" s="151">
        <v>0</v>
      </c>
      <c r="AH1047" s="152">
        <v>0</v>
      </c>
      <c r="AI1047" s="6"/>
    </row>
    <row r="1048" spans="1:35" x14ac:dyDescent="0.25">
      <c r="A1048" s="3"/>
      <c r="B1048" s="4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6"/>
    </row>
    <row r="1049" spans="1:35" x14ac:dyDescent="0.25">
      <c r="A1049" s="3"/>
      <c r="B1049" s="8" t="s">
        <v>43</v>
      </c>
      <c r="C1049" s="9"/>
      <c r="D1049" s="9"/>
      <c r="E1049" s="9"/>
      <c r="F1049" s="44" t="s">
        <v>44</v>
      </c>
      <c r="G1049" s="44"/>
      <c r="H1049" s="44"/>
      <c r="I1049" s="9"/>
      <c r="J1049" s="45" t="s">
        <v>45</v>
      </c>
      <c r="K1049" s="45"/>
      <c r="L1049" s="45"/>
      <c r="M1049" s="45"/>
      <c r="N1049" s="9"/>
      <c r="O1049" s="46" t="s">
        <v>46</v>
      </c>
      <c r="P1049" s="46"/>
      <c r="Q1049" s="46"/>
      <c r="R1049" s="46"/>
      <c r="S1049" s="9"/>
      <c r="T1049" s="1" t="s">
        <v>49</v>
      </c>
      <c r="U1049" s="10" t="s">
        <v>48</v>
      </c>
      <c r="V1049" s="5"/>
      <c r="W1049" s="9"/>
      <c r="X1049" s="9"/>
      <c r="Y1049" s="9"/>
      <c r="Z1049" s="9"/>
      <c r="AA1049" s="9"/>
      <c r="AB1049" s="9"/>
      <c r="AC1049" s="9"/>
      <c r="AD1049" s="9"/>
      <c r="AE1049" s="9"/>
      <c r="AF1049" s="9"/>
      <c r="AG1049" s="9"/>
      <c r="AH1049" s="9"/>
      <c r="AI1049" s="6"/>
    </row>
    <row r="1050" spans="1:35" ht="15" customHeight="1" x14ac:dyDescent="0.25">
      <c r="A1050" s="3"/>
      <c r="B1050" s="42" t="str">
        <f>"0x"&amp;DEC2HEX(Sheet3!$I$4,8)</f>
        <v>0x00400320</v>
      </c>
      <c r="C1050" s="42"/>
      <c r="D1050" s="42"/>
      <c r="E1050" s="12"/>
      <c r="F1050" s="319" t="str">
        <f>"0x"&amp;BIN2HEX(CONCATENATE(C1043,D1043,E1043,F1043,G1043,H1043,I1043,J1043),2)&amp;BIN2HEX(CONCATENATE(K1043,L1043,M1043,N1043,O1043,P1043,Q1043,R1043),2)&amp;BIN2HEX(CONCATENATE(S1043,T1043,U1043,V1043,W1043,X1043,Y1043,Z1043),2)&amp;BIN2HEX(CONCATENATE(AA1043,AB1043,AC1043,AD1043,AE1043,AF1043,AG1043,AH1043),2)</f>
        <v>0x00000000</v>
      </c>
      <c r="G1050" s="319"/>
      <c r="H1050" s="319"/>
      <c r="I1050" s="12"/>
      <c r="J1050" s="319" t="str">
        <f>"0b"&amp;C1047&amp;D1047&amp;E1047&amp;F1047&amp;G1047&amp;H1047&amp;I1047&amp;J1047&amp;K1047&amp;L1047&amp;M1047&amp;N1047&amp;O1047&amp;P1047&amp;Q1047</f>
        <v>0b000000000000100</v>
      </c>
      <c r="K1050" s="319"/>
      <c r="L1050" s="319"/>
      <c r="M1050" s="319"/>
      <c r="N1050" s="12"/>
      <c r="O1050" s="319" t="str">
        <f>"0b"&amp;DEC2BIN(((AF1047+AE1047*2+AD1047*4+AC1047*8+AB1047*16+AA1047*32+Z1047*64+Y1047*128+X1047*256+W1047*512+V1047*1024+U1047*2048+T1047*4096+S1047*2^13+R1047*2^14)/512),6)&amp;DEC2BIN(MOD((AF1047+AE1047*2+AD1047*4+AC1047*8+AB1047*16+AA1047*32+Z1047*64+Y1047*128+X1047*256+W1047*512+V1047*1024+U1047*2048+T1047*4096+S1047*2^13+R1047*2^14),512),9)</f>
        <v>0b000000110010010</v>
      </c>
      <c r="P1050" s="319"/>
      <c r="Q1050" s="319"/>
      <c r="R1050" s="319"/>
      <c r="S1050" s="12"/>
      <c r="T1050" s="13">
        <v>0</v>
      </c>
      <c r="U1050" s="13">
        <f>AH1047</f>
        <v>0</v>
      </c>
      <c r="V1050" s="5"/>
      <c r="W1050" s="14"/>
      <c r="X1050" s="14"/>
      <c r="Y1050" s="14"/>
      <c r="Z1050" s="14"/>
      <c r="AA1050" s="14"/>
      <c r="AB1050" s="14"/>
      <c r="AC1050" s="14"/>
      <c r="AD1050" s="14"/>
      <c r="AE1050" s="14"/>
      <c r="AF1050" s="14"/>
      <c r="AG1050" s="14"/>
      <c r="AH1050" s="14"/>
      <c r="AI1050" s="6"/>
    </row>
    <row r="1051" spans="1:35" x14ac:dyDescent="0.25">
      <c r="A1051" s="3"/>
      <c r="B1051" s="42"/>
      <c r="C1051" s="42"/>
      <c r="D1051" s="42"/>
      <c r="E1051" s="15"/>
      <c r="F1051" s="43"/>
      <c r="G1051" s="43"/>
      <c r="H1051" s="43"/>
      <c r="I1051" s="15"/>
      <c r="J1051" s="42"/>
      <c r="K1051" s="42"/>
      <c r="L1051" s="42"/>
      <c r="M1051" s="42"/>
      <c r="N1051" s="15"/>
      <c r="O1051" s="42"/>
      <c r="P1051" s="42"/>
      <c r="Q1051" s="42"/>
      <c r="R1051" s="42"/>
      <c r="S1051" s="15"/>
      <c r="T1051" s="13"/>
      <c r="U1051" s="15"/>
      <c r="V1051" s="5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6"/>
    </row>
    <row r="1052" spans="1:35" x14ac:dyDescent="0.25">
      <c r="A1052" s="3"/>
      <c r="B1052" s="42"/>
      <c r="C1052" s="42"/>
      <c r="D1052" s="42"/>
      <c r="E1052" s="15"/>
      <c r="F1052" s="43"/>
      <c r="G1052" s="43"/>
      <c r="H1052" s="43"/>
      <c r="I1052" s="15"/>
      <c r="J1052" s="42"/>
      <c r="K1052" s="42"/>
      <c r="L1052" s="42"/>
      <c r="M1052" s="42"/>
      <c r="N1052" s="15"/>
      <c r="O1052" s="42"/>
      <c r="P1052" s="42"/>
      <c r="Q1052" s="42"/>
      <c r="R1052" s="42"/>
      <c r="S1052" s="15"/>
      <c r="T1052" s="13"/>
      <c r="U1052" s="15"/>
      <c r="V1052" s="5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6"/>
    </row>
    <row r="1053" spans="1:35" x14ac:dyDescent="0.25">
      <c r="A1053" s="3"/>
      <c r="B1053" s="5"/>
      <c r="C1053" s="5"/>
      <c r="D1053" s="5"/>
      <c r="E1053" s="5"/>
      <c r="F1053" s="17"/>
      <c r="G1053" s="17"/>
      <c r="H1053" s="17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6"/>
    </row>
    <row r="1054" spans="1:35" x14ac:dyDescent="0.25">
      <c r="A1054" s="3"/>
      <c r="B1054" s="5" t="s">
        <v>47</v>
      </c>
      <c r="C1054" s="18"/>
      <c r="D1054" s="18"/>
      <c r="E1054" s="18"/>
      <c r="F1054" s="5"/>
      <c r="G1054" s="5"/>
      <c r="H1054" s="5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  <c r="AB1054" s="18"/>
      <c r="AC1054" s="18"/>
      <c r="AD1054" s="18"/>
      <c r="AE1054" s="18"/>
      <c r="AF1054" s="18"/>
      <c r="AG1054" s="18"/>
      <c r="AH1054" s="18"/>
      <c r="AI1054" s="6"/>
    </row>
    <row r="1055" spans="1:35" ht="15" customHeight="1" x14ac:dyDescent="0.25">
      <c r="A1055" s="3"/>
      <c r="B1055" s="42" t="str">
        <f>"0x"&amp;DEC2HEX(Sheet3!$I$4,8)</f>
        <v>0x00400320</v>
      </c>
      <c r="C1055" s="42"/>
      <c r="D1055" s="42"/>
      <c r="E1055" s="16"/>
      <c r="F1055" s="322" t="str">
        <f>F1050&amp;BIN2HEX(MID(J1050,3,8),2)&amp;BIN2HEX(RIGHT(J1050,7)&amp;MID(O1050,3,1),2)&amp;BIN2HEX(MID(O1050,4,8),2)&amp;BIN2HEX(RIGHT(O1050,6)&amp;T1050&amp;U1050,2)</f>
        <v>0x0000000000080648</v>
      </c>
      <c r="G1055" s="322"/>
      <c r="H1055" s="322"/>
      <c r="I1055" s="322"/>
      <c r="J1055" s="5"/>
      <c r="K1055" s="5"/>
      <c r="L1055" s="5"/>
      <c r="M1055" s="5"/>
      <c r="N1055" s="5"/>
      <c r="O1055" s="5"/>
      <c r="P1055" s="16"/>
      <c r="Q1055" s="16"/>
      <c r="R1055" s="19"/>
      <c r="S1055" s="19"/>
      <c r="T1055" s="19"/>
      <c r="U1055" s="19"/>
      <c r="V1055" s="19"/>
      <c r="W1055" s="19"/>
      <c r="X1055" s="19"/>
      <c r="Y1055" s="19"/>
      <c r="Z1055" s="19"/>
      <c r="AA1055" s="19"/>
      <c r="AB1055" s="19"/>
      <c r="AC1055" s="19"/>
      <c r="AD1055" s="19"/>
      <c r="AE1055" s="19"/>
      <c r="AF1055" s="19"/>
      <c r="AG1055" s="5"/>
      <c r="AH1055" s="5"/>
      <c r="AI1055" s="6"/>
    </row>
    <row r="1056" spans="1:35" x14ac:dyDescent="0.25">
      <c r="A1056" s="3"/>
      <c r="B1056" s="37"/>
      <c r="C1056" s="37"/>
      <c r="D1056" s="37"/>
      <c r="E1056" s="5"/>
      <c r="F1056" s="38"/>
      <c r="G1056" s="38"/>
      <c r="H1056" s="38"/>
      <c r="I1056" s="38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6"/>
    </row>
    <row r="1057" spans="1:35" x14ac:dyDescent="0.25">
      <c r="A1057" s="3"/>
      <c r="B1057" s="37"/>
      <c r="C1057" s="37"/>
      <c r="D1057" s="37"/>
      <c r="E1057" s="5"/>
      <c r="F1057" s="38"/>
      <c r="G1057" s="38"/>
      <c r="H1057" s="38"/>
      <c r="I1057" s="38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6"/>
    </row>
    <row r="1058" spans="1:35" x14ac:dyDescent="0.25">
      <c r="A1058" s="20"/>
      <c r="B1058" s="21"/>
      <c r="C1058" s="21"/>
      <c r="D1058" s="21"/>
      <c r="E1058" s="21"/>
      <c r="F1058" s="21"/>
      <c r="G1058" s="21"/>
      <c r="H1058" s="21"/>
      <c r="I1058" s="21"/>
      <c r="J1058" s="21"/>
      <c r="K1058" s="21"/>
      <c r="L1058" s="21"/>
      <c r="M1058" s="21"/>
      <c r="N1058" s="21"/>
      <c r="O1058" s="22"/>
      <c r="P1058" s="21"/>
      <c r="Q1058" s="21"/>
      <c r="R1058" s="21"/>
      <c r="S1058" s="21"/>
      <c r="T1058" s="21"/>
      <c r="U1058" s="21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  <c r="AF1058" s="21"/>
      <c r="AG1058" s="21"/>
      <c r="AH1058" s="21"/>
      <c r="AI1058" s="23"/>
    </row>
    <row r="1059" spans="1:35" x14ac:dyDescent="0.25">
      <c r="A1059" s="24"/>
      <c r="B1059" s="28"/>
      <c r="C1059" s="25"/>
      <c r="D1059" s="25"/>
      <c r="E1059" s="25"/>
      <c r="F1059" s="25"/>
      <c r="G1059" s="25"/>
      <c r="H1059" s="25"/>
      <c r="I1059" s="25"/>
      <c r="J1059" s="25"/>
      <c r="K1059" s="25"/>
      <c r="L1059" s="25"/>
      <c r="M1059" s="25"/>
      <c r="N1059" s="25"/>
      <c r="O1059" s="25"/>
      <c r="P1059" s="25"/>
      <c r="Q1059" s="25"/>
      <c r="R1059" s="25"/>
      <c r="S1059" s="25"/>
      <c r="T1059" s="25"/>
      <c r="U1059" s="25"/>
      <c r="V1059" s="25"/>
      <c r="W1059" s="25"/>
      <c r="X1059" s="25"/>
      <c r="Y1059" s="25"/>
      <c r="Z1059" s="25"/>
      <c r="AA1059" s="25"/>
      <c r="AB1059" s="25"/>
      <c r="AC1059" s="25"/>
      <c r="AD1059" s="25"/>
      <c r="AE1059" s="25"/>
      <c r="AF1059" s="25"/>
      <c r="AG1059" s="25"/>
      <c r="AH1059" s="25"/>
      <c r="AI1059" s="26"/>
    </row>
    <row r="1060" spans="1:35" x14ac:dyDescent="0.25">
      <c r="A1060" s="3"/>
      <c r="B1060" s="4" t="s">
        <v>180</v>
      </c>
      <c r="C1060" s="5"/>
      <c r="D1060" s="5"/>
      <c r="E1060" s="5"/>
      <c r="F1060" s="5"/>
      <c r="G1060" s="5"/>
      <c r="H1060" s="5"/>
      <c r="I1060" s="5" t="str">
        <f>"0x"&amp;BIN2HEX(CONCATENATE(C1065,D1065,E1065,F1065,G1065,H1065,I1065,J1065),2)&amp;BIN2HEX(CONCATENATE(K1065,L1065,M1065,N1065,O1065,P1065,Q1065,R1065),2)&amp;BIN2HEX(CONCATENATE(S1065,T1065,U1065,V1065,W1065,X1065,Y1065,Z1065),2)&amp;BIN2HEX(CONCATENATE(AA1065,AB1065,AC1065,AD1065,AE1065,AF1065,AG1065,AH1065),2)&amp;"_"&amp;BIN2HEX(CONCATENATE(C1069,D1069,E1069,F1069,G1069,H1069,I1069,J1069),2)&amp;BIN2HEX(CONCATENATE(K1069,L1069,M1069,N1069,O1069,P1069,Q1069,R1069),2)&amp;BIN2HEX(CONCATENATE(S1069,T1069,U1069,V1069,W1069,X1069,Y1069,Z1069),2)&amp;BIN2HEX(CONCATENATE(AA1069,AB1069,AC1069,AD1069,AE1069,AF1069,AG1069,AH1069),2)</f>
        <v>0x00000000_0008064C</v>
      </c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6"/>
    </row>
    <row r="1061" spans="1:35" ht="15.75" thickBot="1" x14ac:dyDescent="0.3">
      <c r="A1061" s="3"/>
      <c r="B1061" s="5"/>
      <c r="C1061" s="7">
        <v>0</v>
      </c>
      <c r="D1061" s="7">
        <v>1</v>
      </c>
      <c r="E1061" s="7">
        <v>2</v>
      </c>
      <c r="F1061" s="7">
        <v>3</v>
      </c>
      <c r="G1061" s="7">
        <v>4</v>
      </c>
      <c r="H1061" s="7">
        <v>5</v>
      </c>
      <c r="I1061" s="7">
        <v>6</v>
      </c>
      <c r="J1061" s="7">
        <v>7</v>
      </c>
      <c r="K1061" s="7">
        <v>8</v>
      </c>
      <c r="L1061" s="7">
        <v>9</v>
      </c>
      <c r="M1061" s="7">
        <v>10</v>
      </c>
      <c r="N1061" s="7">
        <v>11</v>
      </c>
      <c r="O1061" s="7">
        <v>12</v>
      </c>
      <c r="P1061" s="7">
        <v>13</v>
      </c>
      <c r="Q1061" s="7">
        <v>14</v>
      </c>
      <c r="R1061" s="7">
        <v>15</v>
      </c>
      <c r="S1061" s="7">
        <v>16</v>
      </c>
      <c r="T1061" s="7">
        <v>17</v>
      </c>
      <c r="U1061" s="7">
        <v>18</v>
      </c>
      <c r="V1061" s="7">
        <v>19</v>
      </c>
      <c r="W1061" s="7">
        <v>20</v>
      </c>
      <c r="X1061" s="7">
        <v>21</v>
      </c>
      <c r="Y1061" s="7">
        <v>22</v>
      </c>
      <c r="Z1061" s="7">
        <v>23</v>
      </c>
      <c r="AA1061" s="7">
        <v>24</v>
      </c>
      <c r="AB1061" s="7">
        <v>25</v>
      </c>
      <c r="AC1061" s="7">
        <v>26</v>
      </c>
      <c r="AD1061" s="7">
        <v>27</v>
      </c>
      <c r="AE1061" s="7">
        <v>28</v>
      </c>
      <c r="AF1061" s="7">
        <v>29</v>
      </c>
      <c r="AG1061" s="7">
        <v>30</v>
      </c>
      <c r="AH1061" s="7">
        <v>31</v>
      </c>
      <c r="AI1061" s="6"/>
    </row>
    <row r="1062" spans="1:35" x14ac:dyDescent="0.25">
      <c r="A1062" s="3"/>
      <c r="B1062" s="5" t="s">
        <v>31</v>
      </c>
      <c r="C1062" s="328" t="s">
        <v>161</v>
      </c>
      <c r="D1062" s="330" t="s">
        <v>63</v>
      </c>
      <c r="E1062" s="331"/>
      <c r="F1062" s="331"/>
      <c r="G1062" s="331"/>
      <c r="H1062" s="331"/>
      <c r="I1062" s="331"/>
      <c r="J1062" s="332"/>
      <c r="K1062" s="336">
        <v>0</v>
      </c>
      <c r="L1062" s="337"/>
      <c r="M1062" s="337"/>
      <c r="N1062" s="337"/>
      <c r="O1062" s="337"/>
      <c r="P1062" s="337"/>
      <c r="Q1062" s="337"/>
      <c r="R1062" s="337"/>
      <c r="S1062" s="337"/>
      <c r="T1062" s="337"/>
      <c r="U1062" s="337"/>
      <c r="V1062" s="337"/>
      <c r="W1062" s="337"/>
      <c r="X1062" s="337"/>
      <c r="Y1062" s="337"/>
      <c r="Z1062" s="337"/>
      <c r="AA1062" s="337"/>
      <c r="AB1062" s="337"/>
      <c r="AC1062" s="337"/>
      <c r="AD1062" s="337"/>
      <c r="AE1062" s="337"/>
      <c r="AF1062" s="337"/>
      <c r="AG1062" s="337"/>
      <c r="AH1062" s="338"/>
      <c r="AI1062" s="6"/>
    </row>
    <row r="1063" spans="1:35" x14ac:dyDescent="0.25">
      <c r="A1063" s="3"/>
      <c r="B1063" s="5" t="s">
        <v>32</v>
      </c>
      <c r="C1063" s="329"/>
      <c r="D1063" s="333"/>
      <c r="E1063" s="334"/>
      <c r="F1063" s="334"/>
      <c r="G1063" s="334"/>
      <c r="H1063" s="334"/>
      <c r="I1063" s="334"/>
      <c r="J1063" s="335"/>
      <c r="K1063" s="339"/>
      <c r="L1063" s="340"/>
      <c r="M1063" s="340"/>
      <c r="N1063" s="340"/>
      <c r="O1063" s="340"/>
      <c r="P1063" s="340"/>
      <c r="Q1063" s="340"/>
      <c r="R1063" s="340"/>
      <c r="S1063" s="340"/>
      <c r="T1063" s="340"/>
      <c r="U1063" s="340"/>
      <c r="V1063" s="340"/>
      <c r="W1063" s="340"/>
      <c r="X1063" s="340"/>
      <c r="Y1063" s="340"/>
      <c r="Z1063" s="340"/>
      <c r="AA1063" s="340"/>
      <c r="AB1063" s="340"/>
      <c r="AC1063" s="340"/>
      <c r="AD1063" s="340"/>
      <c r="AE1063" s="340"/>
      <c r="AF1063" s="340"/>
      <c r="AG1063" s="340"/>
      <c r="AH1063" s="341"/>
      <c r="AI1063" s="6"/>
    </row>
    <row r="1064" spans="1:35" x14ac:dyDescent="0.25">
      <c r="A1064" s="3"/>
      <c r="B1064" s="5" t="s">
        <v>11</v>
      </c>
      <c r="C1064" s="56">
        <v>0</v>
      </c>
      <c r="D1064" s="57">
        <v>0</v>
      </c>
      <c r="E1064" s="57">
        <v>0</v>
      </c>
      <c r="F1064" s="57">
        <v>0</v>
      </c>
      <c r="G1064" s="57">
        <v>0</v>
      </c>
      <c r="H1064" s="57">
        <v>0</v>
      </c>
      <c r="I1064" s="57">
        <v>0</v>
      </c>
      <c r="J1064" s="57">
        <v>0</v>
      </c>
      <c r="K1064" s="57">
        <v>0</v>
      </c>
      <c r="L1064" s="57">
        <v>0</v>
      </c>
      <c r="M1064" s="57">
        <v>0</v>
      </c>
      <c r="N1064" s="57">
        <v>0</v>
      </c>
      <c r="O1064" s="57">
        <v>0</v>
      </c>
      <c r="P1064" s="57">
        <v>0</v>
      </c>
      <c r="Q1064" s="57">
        <v>0</v>
      </c>
      <c r="R1064" s="57">
        <v>0</v>
      </c>
      <c r="S1064" s="57">
        <v>0</v>
      </c>
      <c r="T1064" s="57">
        <v>0</v>
      </c>
      <c r="U1064" s="57">
        <v>0</v>
      </c>
      <c r="V1064" s="57">
        <v>0</v>
      </c>
      <c r="W1064" s="57">
        <v>0</v>
      </c>
      <c r="X1064" s="57">
        <v>0</v>
      </c>
      <c r="Y1064" s="57">
        <v>0</v>
      </c>
      <c r="Z1064" s="57">
        <v>0</v>
      </c>
      <c r="AA1064" s="57">
        <v>0</v>
      </c>
      <c r="AB1064" s="57">
        <v>0</v>
      </c>
      <c r="AC1064" s="57">
        <v>0</v>
      </c>
      <c r="AD1064" s="57">
        <v>0</v>
      </c>
      <c r="AE1064" s="57">
        <v>0</v>
      </c>
      <c r="AF1064" s="57">
        <v>0</v>
      </c>
      <c r="AG1064" s="57">
        <v>0</v>
      </c>
      <c r="AH1064" s="58">
        <v>0</v>
      </c>
      <c r="AI1064" s="6"/>
    </row>
    <row r="1065" spans="1:35" ht="15.75" thickBot="1" x14ac:dyDescent="0.3">
      <c r="A1065" s="3"/>
      <c r="B1065" s="5" t="s">
        <v>12</v>
      </c>
      <c r="C1065" s="145">
        <v>0</v>
      </c>
      <c r="D1065" s="88">
        <v>0</v>
      </c>
      <c r="E1065" s="88">
        <v>0</v>
      </c>
      <c r="F1065" s="88">
        <v>0</v>
      </c>
      <c r="G1065" s="88">
        <v>0</v>
      </c>
      <c r="H1065" s="88">
        <v>0</v>
      </c>
      <c r="I1065" s="88">
        <v>0</v>
      </c>
      <c r="J1065" s="88">
        <v>0</v>
      </c>
      <c r="K1065" s="62">
        <v>0</v>
      </c>
      <c r="L1065" s="62">
        <v>0</v>
      </c>
      <c r="M1065" s="62">
        <v>0</v>
      </c>
      <c r="N1065" s="62">
        <v>0</v>
      </c>
      <c r="O1065" s="62">
        <v>0</v>
      </c>
      <c r="P1065" s="62">
        <v>0</v>
      </c>
      <c r="Q1065" s="62">
        <v>0</v>
      </c>
      <c r="R1065" s="62">
        <v>0</v>
      </c>
      <c r="S1065" s="62">
        <v>0</v>
      </c>
      <c r="T1065" s="62">
        <v>0</v>
      </c>
      <c r="U1065" s="62">
        <v>0</v>
      </c>
      <c r="V1065" s="62">
        <v>0</v>
      </c>
      <c r="W1065" s="62">
        <v>0</v>
      </c>
      <c r="X1065" s="62">
        <v>0</v>
      </c>
      <c r="Y1065" s="62">
        <v>0</v>
      </c>
      <c r="Z1065" s="62">
        <v>0</v>
      </c>
      <c r="AA1065" s="62">
        <v>0</v>
      </c>
      <c r="AB1065" s="62">
        <v>0</v>
      </c>
      <c r="AC1065" s="62">
        <v>0</v>
      </c>
      <c r="AD1065" s="62">
        <v>0</v>
      </c>
      <c r="AE1065" s="62">
        <v>0</v>
      </c>
      <c r="AF1065" s="62">
        <v>0</v>
      </c>
      <c r="AG1065" s="62">
        <v>0</v>
      </c>
      <c r="AH1065" s="146">
        <v>0</v>
      </c>
      <c r="AI1065" s="6"/>
    </row>
    <row r="1066" spans="1:35" x14ac:dyDescent="0.25">
      <c r="A1066" s="3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6"/>
    </row>
    <row r="1067" spans="1:35" ht="15.75" thickBot="1" x14ac:dyDescent="0.3">
      <c r="A1067" s="3"/>
      <c r="B1067" s="5"/>
      <c r="C1067" s="7">
        <v>32</v>
      </c>
      <c r="D1067" s="7">
        <v>33</v>
      </c>
      <c r="E1067" s="7">
        <v>34</v>
      </c>
      <c r="F1067" s="7">
        <v>35</v>
      </c>
      <c r="G1067" s="7">
        <v>36</v>
      </c>
      <c r="H1067" s="7">
        <v>37</v>
      </c>
      <c r="I1067" s="7">
        <v>38</v>
      </c>
      <c r="J1067" s="7">
        <v>39</v>
      </c>
      <c r="K1067" s="7">
        <v>40</v>
      </c>
      <c r="L1067" s="7">
        <v>41</v>
      </c>
      <c r="M1067" s="7">
        <v>42</v>
      </c>
      <c r="N1067" s="7">
        <v>43</v>
      </c>
      <c r="O1067" s="7">
        <v>44</v>
      </c>
      <c r="P1067" s="7">
        <v>45</v>
      </c>
      <c r="Q1067" s="7">
        <v>46</v>
      </c>
      <c r="R1067" s="7">
        <v>47</v>
      </c>
      <c r="S1067" s="7">
        <v>48</v>
      </c>
      <c r="T1067" s="7">
        <v>49</v>
      </c>
      <c r="U1067" s="7">
        <v>50</v>
      </c>
      <c r="V1067" s="7">
        <v>51</v>
      </c>
      <c r="W1067" s="7">
        <v>52</v>
      </c>
      <c r="X1067" s="7">
        <v>53</v>
      </c>
      <c r="Y1067" s="7">
        <v>54</v>
      </c>
      <c r="Z1067" s="7">
        <v>55</v>
      </c>
      <c r="AA1067" s="7">
        <v>56</v>
      </c>
      <c r="AB1067" s="7">
        <v>57</v>
      </c>
      <c r="AC1067" s="7">
        <v>58</v>
      </c>
      <c r="AD1067" s="7">
        <v>59</v>
      </c>
      <c r="AE1067" s="7">
        <v>60</v>
      </c>
      <c r="AF1067" s="7">
        <v>61</v>
      </c>
      <c r="AG1067" s="7">
        <v>62</v>
      </c>
      <c r="AH1067" s="7">
        <v>63</v>
      </c>
      <c r="AI1067" s="6"/>
    </row>
    <row r="1068" spans="1:35" ht="15.75" thickBot="1" x14ac:dyDescent="0.3">
      <c r="A1068" s="3"/>
      <c r="B1068" s="5"/>
      <c r="C1068" s="147" t="s">
        <v>13</v>
      </c>
      <c r="D1068" s="148" t="s">
        <v>14</v>
      </c>
      <c r="E1068" s="148" t="s">
        <v>15</v>
      </c>
      <c r="F1068" s="148" t="s">
        <v>16</v>
      </c>
      <c r="G1068" s="148" t="s">
        <v>17</v>
      </c>
      <c r="H1068" s="148" t="s">
        <v>18</v>
      </c>
      <c r="I1068" s="148" t="s">
        <v>19</v>
      </c>
      <c r="J1068" s="148" t="s">
        <v>20</v>
      </c>
      <c r="K1068" s="148" t="s">
        <v>21</v>
      </c>
      <c r="L1068" s="148" t="s">
        <v>22</v>
      </c>
      <c r="M1068" s="148" t="s">
        <v>23</v>
      </c>
      <c r="N1068" s="148" t="s">
        <v>24</v>
      </c>
      <c r="O1068" s="148" t="s">
        <v>25</v>
      </c>
      <c r="P1068" s="148" t="s">
        <v>26</v>
      </c>
      <c r="Q1068" s="148" t="s">
        <v>27</v>
      </c>
      <c r="R1068" s="342" t="s">
        <v>30</v>
      </c>
      <c r="S1068" s="343"/>
      <c r="T1068" s="343"/>
      <c r="U1068" s="343"/>
      <c r="V1068" s="343"/>
      <c r="W1068" s="343"/>
      <c r="X1068" s="343"/>
      <c r="Y1068" s="343"/>
      <c r="Z1068" s="343"/>
      <c r="AA1068" s="343"/>
      <c r="AB1068" s="343"/>
      <c r="AC1068" s="343"/>
      <c r="AD1068" s="343"/>
      <c r="AE1068" s="343"/>
      <c r="AF1068" s="344"/>
      <c r="AG1068" s="67" t="s">
        <v>28</v>
      </c>
      <c r="AH1068" s="149" t="s">
        <v>29</v>
      </c>
      <c r="AI1068" s="6"/>
    </row>
    <row r="1069" spans="1:35" ht="15.75" thickBot="1" x14ac:dyDescent="0.3">
      <c r="A1069" s="3"/>
      <c r="B1069" s="5"/>
      <c r="C1069" s="150">
        <v>0</v>
      </c>
      <c r="D1069" s="151">
        <v>0</v>
      </c>
      <c r="E1069" s="151">
        <v>0</v>
      </c>
      <c r="F1069" s="151">
        <v>0</v>
      </c>
      <c r="G1069" s="151">
        <v>0</v>
      </c>
      <c r="H1069" s="151">
        <v>0</v>
      </c>
      <c r="I1069" s="151">
        <v>0</v>
      </c>
      <c r="J1069" s="151">
        <v>0</v>
      </c>
      <c r="K1069" s="151">
        <v>0</v>
      </c>
      <c r="L1069" s="151">
        <v>0</v>
      </c>
      <c r="M1069" s="151">
        <v>0</v>
      </c>
      <c r="N1069" s="151">
        <v>0</v>
      </c>
      <c r="O1069" s="151">
        <v>1</v>
      </c>
      <c r="P1069" s="151">
        <v>0</v>
      </c>
      <c r="Q1069" s="151">
        <v>0</v>
      </c>
      <c r="R1069" s="151">
        <v>0</v>
      </c>
      <c r="S1069" s="151">
        <v>0</v>
      </c>
      <c r="T1069" s="151">
        <v>0</v>
      </c>
      <c r="U1069" s="151">
        <v>0</v>
      </c>
      <c r="V1069" s="151">
        <v>0</v>
      </c>
      <c r="W1069" s="151">
        <v>0</v>
      </c>
      <c r="X1069" s="151">
        <v>1</v>
      </c>
      <c r="Y1069" s="151">
        <v>1</v>
      </c>
      <c r="Z1069" s="151">
        <v>0</v>
      </c>
      <c r="AA1069" s="151">
        <v>0</v>
      </c>
      <c r="AB1069" s="151">
        <v>1</v>
      </c>
      <c r="AC1069" s="151">
        <v>0</v>
      </c>
      <c r="AD1069" s="151">
        <v>0</v>
      </c>
      <c r="AE1069" s="151">
        <v>1</v>
      </c>
      <c r="AF1069" s="151">
        <v>1</v>
      </c>
      <c r="AG1069" s="151">
        <v>0</v>
      </c>
      <c r="AH1069" s="152">
        <v>0</v>
      </c>
      <c r="AI1069" s="6"/>
    </row>
    <row r="1070" spans="1:35" x14ac:dyDescent="0.25">
      <c r="A1070" s="3"/>
      <c r="B1070" s="4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6"/>
    </row>
    <row r="1071" spans="1:35" x14ac:dyDescent="0.25">
      <c r="A1071" s="3"/>
      <c r="B1071" s="8" t="s">
        <v>43</v>
      </c>
      <c r="C1071" s="9"/>
      <c r="D1071" s="9"/>
      <c r="E1071" s="9"/>
      <c r="F1071" s="44" t="s">
        <v>44</v>
      </c>
      <c r="G1071" s="44"/>
      <c r="H1071" s="44"/>
      <c r="I1071" s="9"/>
      <c r="J1071" s="45" t="s">
        <v>45</v>
      </c>
      <c r="K1071" s="45"/>
      <c r="L1071" s="45"/>
      <c r="M1071" s="45"/>
      <c r="N1071" s="9"/>
      <c r="O1071" s="46" t="s">
        <v>46</v>
      </c>
      <c r="P1071" s="46"/>
      <c r="Q1071" s="46"/>
      <c r="R1071" s="46"/>
      <c r="S1071" s="9"/>
      <c r="T1071" s="1" t="s">
        <v>49</v>
      </c>
      <c r="U1071" s="10" t="s">
        <v>48</v>
      </c>
      <c r="V1071" s="5"/>
      <c r="W1071" s="9"/>
      <c r="X1071" s="9"/>
      <c r="Y1071" s="9"/>
      <c r="Z1071" s="9"/>
      <c r="AA1071" s="9"/>
      <c r="AB1071" s="9"/>
      <c r="AC1071" s="9"/>
      <c r="AD1071" s="9"/>
      <c r="AE1071" s="9"/>
      <c r="AF1071" s="9"/>
      <c r="AG1071" s="9"/>
      <c r="AH1071" s="9"/>
      <c r="AI1071" s="6"/>
    </row>
    <row r="1072" spans="1:35" ht="15" customHeight="1" x14ac:dyDescent="0.25">
      <c r="A1072" s="3"/>
      <c r="B1072" s="42" t="str">
        <f>"0x"&amp;DEC2HEX(Sheet3!$I$4,8)</f>
        <v>0x00400320</v>
      </c>
      <c r="C1072" s="42"/>
      <c r="D1072" s="42"/>
      <c r="E1072" s="12"/>
      <c r="F1072" s="319" t="str">
        <f>"0x"&amp;BIN2HEX(CONCATENATE(C1065,D1065,E1065,F1065,G1065,H1065,I1065,J1065),2)&amp;BIN2HEX(CONCATENATE(K1065,L1065,M1065,N1065,O1065,P1065,Q1065,R1065),2)&amp;BIN2HEX(CONCATENATE(S1065,T1065,U1065,V1065,W1065,X1065,Y1065,Z1065),2)&amp;BIN2HEX(CONCATENATE(AA1065,AB1065,AC1065,AD1065,AE1065,AF1065,AG1065,AH1065),2)</f>
        <v>0x00000000</v>
      </c>
      <c r="G1072" s="319"/>
      <c r="H1072" s="319"/>
      <c r="I1072" s="12"/>
      <c r="J1072" s="319" t="str">
        <f>"0b"&amp;C1069&amp;D1069&amp;E1069&amp;F1069&amp;G1069&amp;H1069&amp;I1069&amp;J1069&amp;K1069&amp;L1069&amp;M1069&amp;N1069&amp;O1069&amp;P1069&amp;Q1069</f>
        <v>0b000000000000100</v>
      </c>
      <c r="K1072" s="319"/>
      <c r="L1072" s="319"/>
      <c r="M1072" s="319"/>
      <c r="N1072" s="12"/>
      <c r="O1072" s="319" t="str">
        <f>"0b"&amp;DEC2BIN(((AF1069+AE1069*2+AD1069*4+AC1069*8+AB1069*16+AA1069*32+Z1069*64+Y1069*128+X1069*256+W1069*512+V1069*1024+U1069*2048+T1069*4096+S1069*2^13+R1069*2^14)/512),6)&amp;DEC2BIN(MOD((AF1069+AE1069*2+AD1069*4+AC1069*8+AB1069*16+AA1069*32+Z1069*64+Y1069*128+X1069*256+W1069*512+V1069*1024+U1069*2048+T1069*4096+S1069*2^13+R1069*2^14),512),9)</f>
        <v>0b000000110010011</v>
      </c>
      <c r="P1072" s="319"/>
      <c r="Q1072" s="319"/>
      <c r="R1072" s="319"/>
      <c r="S1072" s="12"/>
      <c r="T1072" s="13">
        <v>0</v>
      </c>
      <c r="U1072" s="13">
        <f>AH1069</f>
        <v>0</v>
      </c>
      <c r="V1072" s="5"/>
      <c r="W1072" s="14"/>
      <c r="X1072" s="14"/>
      <c r="Y1072" s="14"/>
      <c r="Z1072" s="14"/>
      <c r="AA1072" s="14"/>
      <c r="AB1072" s="14"/>
      <c r="AC1072" s="14"/>
      <c r="AD1072" s="14"/>
      <c r="AE1072" s="14"/>
      <c r="AF1072" s="14"/>
      <c r="AG1072" s="14"/>
      <c r="AH1072" s="14"/>
      <c r="AI1072" s="6"/>
    </row>
    <row r="1073" spans="1:35" x14ac:dyDescent="0.25">
      <c r="A1073" s="3"/>
      <c r="B1073" s="42"/>
      <c r="C1073" s="42"/>
      <c r="D1073" s="42"/>
      <c r="E1073" s="15"/>
      <c r="F1073" s="43"/>
      <c r="G1073" s="43"/>
      <c r="H1073" s="43"/>
      <c r="I1073" s="15"/>
      <c r="J1073" s="42"/>
      <c r="K1073" s="42"/>
      <c r="L1073" s="42"/>
      <c r="M1073" s="42"/>
      <c r="N1073" s="15"/>
      <c r="O1073" s="42"/>
      <c r="P1073" s="42"/>
      <c r="Q1073" s="42"/>
      <c r="R1073" s="42"/>
      <c r="S1073" s="15"/>
      <c r="T1073" s="13"/>
      <c r="U1073" s="15"/>
      <c r="V1073" s="5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6"/>
    </row>
    <row r="1074" spans="1:35" x14ac:dyDescent="0.25">
      <c r="A1074" s="3"/>
      <c r="B1074" s="42"/>
      <c r="C1074" s="42"/>
      <c r="D1074" s="42"/>
      <c r="E1074" s="15"/>
      <c r="F1074" s="43"/>
      <c r="G1074" s="43"/>
      <c r="H1074" s="43"/>
      <c r="I1074" s="15"/>
      <c r="J1074" s="42"/>
      <c r="K1074" s="42"/>
      <c r="L1074" s="42"/>
      <c r="M1074" s="42"/>
      <c r="N1074" s="15"/>
      <c r="O1074" s="42"/>
      <c r="P1074" s="42"/>
      <c r="Q1074" s="42"/>
      <c r="R1074" s="42"/>
      <c r="S1074" s="15"/>
      <c r="T1074" s="13"/>
      <c r="U1074" s="15"/>
      <c r="V1074" s="5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6"/>
    </row>
    <row r="1075" spans="1:35" x14ac:dyDescent="0.25">
      <c r="A1075" s="3"/>
      <c r="B1075" s="5"/>
      <c r="C1075" s="5"/>
      <c r="D1075" s="5"/>
      <c r="E1075" s="5"/>
      <c r="F1075" s="17"/>
      <c r="G1075" s="17"/>
      <c r="H1075" s="17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6"/>
    </row>
    <row r="1076" spans="1:35" x14ac:dyDescent="0.25">
      <c r="A1076" s="3"/>
      <c r="B1076" s="5" t="s">
        <v>47</v>
      </c>
      <c r="C1076" s="18"/>
      <c r="D1076" s="18"/>
      <c r="E1076" s="18"/>
      <c r="F1076" s="5"/>
      <c r="G1076" s="5"/>
      <c r="H1076" s="5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  <c r="AB1076" s="18"/>
      <c r="AC1076" s="18"/>
      <c r="AD1076" s="18"/>
      <c r="AE1076" s="18"/>
      <c r="AF1076" s="18"/>
      <c r="AG1076" s="18"/>
      <c r="AH1076" s="18"/>
      <c r="AI1076" s="6"/>
    </row>
    <row r="1077" spans="1:35" ht="15" customHeight="1" x14ac:dyDescent="0.25">
      <c r="A1077" s="3"/>
      <c r="B1077" s="42" t="str">
        <f>"0x"&amp;DEC2HEX(Sheet3!$I$4,8)</f>
        <v>0x00400320</v>
      </c>
      <c r="C1077" s="42"/>
      <c r="D1077" s="42"/>
      <c r="E1077" s="16"/>
      <c r="F1077" s="322" t="str">
        <f>F1072&amp;BIN2HEX(MID(J1072,3,8),2)&amp;BIN2HEX(RIGHT(J1072,7)&amp;MID(O1072,3,1),2)&amp;BIN2HEX(MID(O1072,4,8),2)&amp;BIN2HEX(RIGHT(O1072,6)&amp;T1072&amp;U1072,2)</f>
        <v>0x000000000008064C</v>
      </c>
      <c r="G1077" s="322"/>
      <c r="H1077" s="322"/>
      <c r="I1077" s="322"/>
      <c r="J1077" s="5"/>
      <c r="K1077" s="5"/>
      <c r="L1077" s="5"/>
      <c r="M1077" s="5"/>
      <c r="N1077" s="5"/>
      <c r="O1077" s="5"/>
      <c r="P1077" s="16"/>
      <c r="Q1077" s="16"/>
      <c r="R1077" s="19"/>
      <c r="S1077" s="19"/>
      <c r="T1077" s="19"/>
      <c r="U1077" s="19"/>
      <c r="V1077" s="19"/>
      <c r="W1077" s="19"/>
      <c r="X1077" s="19"/>
      <c r="Y1077" s="19"/>
      <c r="Z1077" s="19"/>
      <c r="AA1077" s="19"/>
      <c r="AB1077" s="19"/>
      <c r="AC1077" s="19"/>
      <c r="AD1077" s="19"/>
      <c r="AE1077" s="19"/>
      <c r="AF1077" s="19"/>
      <c r="AG1077" s="5"/>
      <c r="AH1077" s="5"/>
      <c r="AI1077" s="6"/>
    </row>
    <row r="1078" spans="1:35" x14ac:dyDescent="0.25">
      <c r="A1078" s="3"/>
      <c r="B1078" s="37"/>
      <c r="C1078" s="37"/>
      <c r="D1078" s="37"/>
      <c r="E1078" s="5"/>
      <c r="F1078" s="38"/>
      <c r="G1078" s="38"/>
      <c r="H1078" s="38"/>
      <c r="I1078" s="38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6"/>
    </row>
    <row r="1079" spans="1:35" x14ac:dyDescent="0.25">
      <c r="A1079" s="3"/>
      <c r="B1079" s="37"/>
      <c r="C1079" s="37"/>
      <c r="D1079" s="37"/>
      <c r="E1079" s="5"/>
      <c r="F1079" s="38"/>
      <c r="G1079" s="38"/>
      <c r="H1079" s="38"/>
      <c r="I1079" s="38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6"/>
    </row>
    <row r="1080" spans="1:35" x14ac:dyDescent="0.25">
      <c r="A1080" s="20"/>
      <c r="B1080" s="21"/>
      <c r="C1080" s="21"/>
      <c r="D1080" s="21"/>
      <c r="E1080" s="21"/>
      <c r="F1080" s="21"/>
      <c r="G1080" s="21"/>
      <c r="H1080" s="21"/>
      <c r="I1080" s="21"/>
      <c r="J1080" s="21"/>
      <c r="K1080" s="21"/>
      <c r="L1080" s="21"/>
      <c r="M1080" s="21"/>
      <c r="N1080" s="21"/>
      <c r="O1080" s="22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  <c r="AF1080" s="21"/>
      <c r="AG1080" s="21"/>
      <c r="AH1080" s="21"/>
      <c r="AI1080" s="23"/>
    </row>
    <row r="1081" spans="1:35" x14ac:dyDescent="0.25">
      <c r="A1081" s="24"/>
      <c r="B1081" s="28"/>
      <c r="C1081" s="25"/>
      <c r="D1081" s="25"/>
      <c r="E1081" s="25"/>
      <c r="F1081" s="25"/>
      <c r="G1081" s="25"/>
      <c r="H1081" s="25"/>
      <c r="I1081" s="25"/>
      <c r="J1081" s="25"/>
      <c r="K1081" s="25"/>
      <c r="L1081" s="25"/>
      <c r="M1081" s="25"/>
      <c r="N1081" s="25"/>
      <c r="O1081" s="25"/>
      <c r="P1081" s="25"/>
      <c r="Q1081" s="25"/>
      <c r="R1081" s="25"/>
      <c r="S1081" s="25"/>
      <c r="T1081" s="25"/>
      <c r="U1081" s="25"/>
      <c r="V1081" s="25"/>
      <c r="W1081" s="25"/>
      <c r="X1081" s="25"/>
      <c r="Y1081" s="25"/>
      <c r="Z1081" s="25"/>
      <c r="AA1081" s="25"/>
      <c r="AB1081" s="25"/>
      <c r="AC1081" s="25"/>
      <c r="AD1081" s="25"/>
      <c r="AE1081" s="25"/>
      <c r="AF1081" s="25"/>
      <c r="AG1081" s="25"/>
      <c r="AH1081" s="25"/>
      <c r="AI1081" s="26"/>
    </row>
    <row r="1082" spans="1:35" x14ac:dyDescent="0.25">
      <c r="A1082" s="3"/>
      <c r="B1082" s="4" t="s">
        <v>181</v>
      </c>
      <c r="C1082" s="5"/>
      <c r="D1082" s="5"/>
      <c r="E1082" s="5"/>
      <c r="F1082" s="5"/>
      <c r="G1082" s="5"/>
      <c r="H1082" s="5"/>
      <c r="I1082" s="5" t="str">
        <f>"0x"&amp;BIN2HEX(CONCATENATE(C1087,D1087,E1087,F1087,G1087,H1087,I1087,J1087),2)&amp;BIN2HEX(CONCATENATE(K1087,L1087,M1087,N1087,O1087,P1087,Q1087,R1087),2)&amp;BIN2HEX(CONCATENATE(S1087,T1087,U1087,V1087,W1087,X1087,Y1087,Z1087),2)&amp;BIN2HEX(CONCATENATE(AA1087,AB1087,AC1087,AD1087,AE1087,AF1087,AG1087,AH1087),2)&amp;"_"&amp;BIN2HEX(CONCATENATE(C1091,D1091,E1091,F1091,G1091,H1091,I1091,J1091),2)&amp;BIN2HEX(CONCATENATE(K1091,L1091,M1091,N1091,O1091,P1091,Q1091,R1091),2)&amp;BIN2HEX(CONCATENATE(S1091,T1091,U1091,V1091,W1091,X1091,Y1091,Z1091),2)&amp;BIN2HEX(CONCATENATE(AA1091,AB1091,AC1091,AD1091,AE1091,AF1091,AG1091,AH1091),2)</f>
        <v>0x00000000_00080650</v>
      </c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6"/>
    </row>
    <row r="1083" spans="1:35" ht="15.75" thickBot="1" x14ac:dyDescent="0.3">
      <c r="A1083" s="3"/>
      <c r="B1083" s="5"/>
      <c r="C1083" s="7">
        <v>0</v>
      </c>
      <c r="D1083" s="7">
        <v>1</v>
      </c>
      <c r="E1083" s="7">
        <v>2</v>
      </c>
      <c r="F1083" s="7">
        <v>3</v>
      </c>
      <c r="G1083" s="7">
        <v>4</v>
      </c>
      <c r="H1083" s="7">
        <v>5</v>
      </c>
      <c r="I1083" s="7">
        <v>6</v>
      </c>
      <c r="J1083" s="7">
        <v>7</v>
      </c>
      <c r="K1083" s="7">
        <v>8</v>
      </c>
      <c r="L1083" s="7">
        <v>9</v>
      </c>
      <c r="M1083" s="7">
        <v>10</v>
      </c>
      <c r="N1083" s="7">
        <v>11</v>
      </c>
      <c r="O1083" s="7">
        <v>12</v>
      </c>
      <c r="P1083" s="7">
        <v>13</v>
      </c>
      <c r="Q1083" s="7">
        <v>14</v>
      </c>
      <c r="R1083" s="7">
        <v>15</v>
      </c>
      <c r="S1083" s="7">
        <v>16</v>
      </c>
      <c r="T1083" s="7">
        <v>17</v>
      </c>
      <c r="U1083" s="7">
        <v>18</v>
      </c>
      <c r="V1083" s="7">
        <v>19</v>
      </c>
      <c r="W1083" s="7">
        <v>20</v>
      </c>
      <c r="X1083" s="7">
        <v>21</v>
      </c>
      <c r="Y1083" s="7">
        <v>22</v>
      </c>
      <c r="Z1083" s="7">
        <v>23</v>
      </c>
      <c r="AA1083" s="7">
        <v>24</v>
      </c>
      <c r="AB1083" s="7">
        <v>25</v>
      </c>
      <c r="AC1083" s="7">
        <v>26</v>
      </c>
      <c r="AD1083" s="7">
        <v>27</v>
      </c>
      <c r="AE1083" s="7">
        <v>28</v>
      </c>
      <c r="AF1083" s="7">
        <v>29</v>
      </c>
      <c r="AG1083" s="7">
        <v>30</v>
      </c>
      <c r="AH1083" s="7">
        <v>31</v>
      </c>
      <c r="AI1083" s="6"/>
    </row>
    <row r="1084" spans="1:35" x14ac:dyDescent="0.25">
      <c r="A1084" s="3"/>
      <c r="B1084" s="5" t="s">
        <v>31</v>
      </c>
      <c r="C1084" s="328" t="s">
        <v>161</v>
      </c>
      <c r="D1084" s="330" t="s">
        <v>63</v>
      </c>
      <c r="E1084" s="331"/>
      <c r="F1084" s="331"/>
      <c r="G1084" s="331"/>
      <c r="H1084" s="331"/>
      <c r="I1084" s="331"/>
      <c r="J1084" s="332"/>
      <c r="K1084" s="336">
        <v>0</v>
      </c>
      <c r="L1084" s="337"/>
      <c r="M1084" s="337"/>
      <c r="N1084" s="337"/>
      <c r="O1084" s="337"/>
      <c r="P1084" s="337"/>
      <c r="Q1084" s="337"/>
      <c r="R1084" s="337"/>
      <c r="S1084" s="337"/>
      <c r="T1084" s="337"/>
      <c r="U1084" s="337"/>
      <c r="V1084" s="337"/>
      <c r="W1084" s="337"/>
      <c r="X1084" s="337"/>
      <c r="Y1084" s="337"/>
      <c r="Z1084" s="337"/>
      <c r="AA1084" s="337"/>
      <c r="AB1084" s="337"/>
      <c r="AC1084" s="337"/>
      <c r="AD1084" s="337"/>
      <c r="AE1084" s="337"/>
      <c r="AF1084" s="337"/>
      <c r="AG1084" s="337"/>
      <c r="AH1084" s="338"/>
      <c r="AI1084" s="6"/>
    </row>
    <row r="1085" spans="1:35" x14ac:dyDescent="0.25">
      <c r="A1085" s="3"/>
      <c r="B1085" s="5" t="s">
        <v>32</v>
      </c>
      <c r="C1085" s="329"/>
      <c r="D1085" s="333"/>
      <c r="E1085" s="334"/>
      <c r="F1085" s="334"/>
      <c r="G1085" s="334"/>
      <c r="H1085" s="334"/>
      <c r="I1085" s="334"/>
      <c r="J1085" s="335"/>
      <c r="K1085" s="339"/>
      <c r="L1085" s="340"/>
      <c r="M1085" s="340"/>
      <c r="N1085" s="340"/>
      <c r="O1085" s="340"/>
      <c r="P1085" s="340"/>
      <c r="Q1085" s="340"/>
      <c r="R1085" s="340"/>
      <c r="S1085" s="340"/>
      <c r="T1085" s="340"/>
      <c r="U1085" s="340"/>
      <c r="V1085" s="340"/>
      <c r="W1085" s="340"/>
      <c r="X1085" s="340"/>
      <c r="Y1085" s="340"/>
      <c r="Z1085" s="340"/>
      <c r="AA1085" s="340"/>
      <c r="AB1085" s="340"/>
      <c r="AC1085" s="340"/>
      <c r="AD1085" s="340"/>
      <c r="AE1085" s="340"/>
      <c r="AF1085" s="340"/>
      <c r="AG1085" s="340"/>
      <c r="AH1085" s="341"/>
      <c r="AI1085" s="6"/>
    </row>
    <row r="1086" spans="1:35" x14ac:dyDescent="0.25">
      <c r="A1086" s="3"/>
      <c r="B1086" s="5" t="s">
        <v>11</v>
      </c>
      <c r="C1086" s="56">
        <v>0</v>
      </c>
      <c r="D1086" s="57">
        <v>0</v>
      </c>
      <c r="E1086" s="57">
        <v>0</v>
      </c>
      <c r="F1086" s="57">
        <v>0</v>
      </c>
      <c r="G1086" s="57">
        <v>0</v>
      </c>
      <c r="H1086" s="57">
        <v>0</v>
      </c>
      <c r="I1086" s="57">
        <v>0</v>
      </c>
      <c r="J1086" s="57">
        <v>0</v>
      </c>
      <c r="K1086" s="57">
        <v>0</v>
      </c>
      <c r="L1086" s="57">
        <v>0</v>
      </c>
      <c r="M1086" s="57">
        <v>0</v>
      </c>
      <c r="N1086" s="57">
        <v>0</v>
      </c>
      <c r="O1086" s="57">
        <v>0</v>
      </c>
      <c r="P1086" s="57">
        <v>0</v>
      </c>
      <c r="Q1086" s="57">
        <v>0</v>
      </c>
      <c r="R1086" s="57">
        <v>0</v>
      </c>
      <c r="S1086" s="57">
        <v>0</v>
      </c>
      <c r="T1086" s="57">
        <v>0</v>
      </c>
      <c r="U1086" s="57">
        <v>0</v>
      </c>
      <c r="V1086" s="57">
        <v>0</v>
      </c>
      <c r="W1086" s="57">
        <v>0</v>
      </c>
      <c r="X1086" s="57">
        <v>0</v>
      </c>
      <c r="Y1086" s="57">
        <v>0</v>
      </c>
      <c r="Z1086" s="57">
        <v>0</v>
      </c>
      <c r="AA1086" s="57">
        <v>0</v>
      </c>
      <c r="AB1086" s="57">
        <v>0</v>
      </c>
      <c r="AC1086" s="57">
        <v>0</v>
      </c>
      <c r="AD1086" s="57">
        <v>0</v>
      </c>
      <c r="AE1086" s="57">
        <v>0</v>
      </c>
      <c r="AF1086" s="57">
        <v>0</v>
      </c>
      <c r="AG1086" s="57">
        <v>0</v>
      </c>
      <c r="AH1086" s="58">
        <v>0</v>
      </c>
      <c r="AI1086" s="6"/>
    </row>
    <row r="1087" spans="1:35" ht="15.75" thickBot="1" x14ac:dyDescent="0.3">
      <c r="A1087" s="3"/>
      <c r="B1087" s="5" t="s">
        <v>12</v>
      </c>
      <c r="C1087" s="145">
        <v>0</v>
      </c>
      <c r="D1087" s="88">
        <v>0</v>
      </c>
      <c r="E1087" s="88">
        <v>0</v>
      </c>
      <c r="F1087" s="88">
        <v>0</v>
      </c>
      <c r="G1087" s="88">
        <v>0</v>
      </c>
      <c r="H1087" s="88">
        <v>0</v>
      </c>
      <c r="I1087" s="88">
        <v>0</v>
      </c>
      <c r="J1087" s="88">
        <v>0</v>
      </c>
      <c r="K1087" s="62">
        <v>0</v>
      </c>
      <c r="L1087" s="62">
        <v>0</v>
      </c>
      <c r="M1087" s="62">
        <v>0</v>
      </c>
      <c r="N1087" s="62">
        <v>0</v>
      </c>
      <c r="O1087" s="62">
        <v>0</v>
      </c>
      <c r="P1087" s="62">
        <v>0</v>
      </c>
      <c r="Q1087" s="62">
        <v>0</v>
      </c>
      <c r="R1087" s="62">
        <v>0</v>
      </c>
      <c r="S1087" s="62">
        <v>0</v>
      </c>
      <c r="T1087" s="62">
        <v>0</v>
      </c>
      <c r="U1087" s="62">
        <v>0</v>
      </c>
      <c r="V1087" s="62">
        <v>0</v>
      </c>
      <c r="W1087" s="62">
        <v>0</v>
      </c>
      <c r="X1087" s="62">
        <v>0</v>
      </c>
      <c r="Y1087" s="62">
        <v>0</v>
      </c>
      <c r="Z1087" s="62">
        <v>0</v>
      </c>
      <c r="AA1087" s="62">
        <v>0</v>
      </c>
      <c r="AB1087" s="62">
        <v>0</v>
      </c>
      <c r="AC1087" s="62">
        <v>0</v>
      </c>
      <c r="AD1087" s="62">
        <v>0</v>
      </c>
      <c r="AE1087" s="62">
        <v>0</v>
      </c>
      <c r="AF1087" s="62">
        <v>0</v>
      </c>
      <c r="AG1087" s="62">
        <v>0</v>
      </c>
      <c r="AH1087" s="146">
        <v>0</v>
      </c>
      <c r="AI1087" s="6"/>
    </row>
    <row r="1088" spans="1:35" x14ac:dyDescent="0.25">
      <c r="A1088" s="3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6"/>
    </row>
    <row r="1089" spans="1:35" ht="15.75" thickBot="1" x14ac:dyDescent="0.3">
      <c r="A1089" s="3"/>
      <c r="B1089" s="5"/>
      <c r="C1089" s="7">
        <v>32</v>
      </c>
      <c r="D1089" s="7">
        <v>33</v>
      </c>
      <c r="E1089" s="7">
        <v>34</v>
      </c>
      <c r="F1089" s="7">
        <v>35</v>
      </c>
      <c r="G1089" s="7">
        <v>36</v>
      </c>
      <c r="H1089" s="7">
        <v>37</v>
      </c>
      <c r="I1089" s="7">
        <v>38</v>
      </c>
      <c r="J1089" s="7">
        <v>39</v>
      </c>
      <c r="K1089" s="7">
        <v>40</v>
      </c>
      <c r="L1089" s="7">
        <v>41</v>
      </c>
      <c r="M1089" s="7">
        <v>42</v>
      </c>
      <c r="N1089" s="7">
        <v>43</v>
      </c>
      <c r="O1089" s="7">
        <v>44</v>
      </c>
      <c r="P1089" s="7">
        <v>45</v>
      </c>
      <c r="Q1089" s="7">
        <v>46</v>
      </c>
      <c r="R1089" s="7">
        <v>47</v>
      </c>
      <c r="S1089" s="7">
        <v>48</v>
      </c>
      <c r="T1089" s="7">
        <v>49</v>
      </c>
      <c r="U1089" s="7">
        <v>50</v>
      </c>
      <c r="V1089" s="7">
        <v>51</v>
      </c>
      <c r="W1089" s="7">
        <v>52</v>
      </c>
      <c r="X1089" s="7">
        <v>53</v>
      </c>
      <c r="Y1089" s="7">
        <v>54</v>
      </c>
      <c r="Z1089" s="7">
        <v>55</v>
      </c>
      <c r="AA1089" s="7">
        <v>56</v>
      </c>
      <c r="AB1089" s="7">
        <v>57</v>
      </c>
      <c r="AC1089" s="7">
        <v>58</v>
      </c>
      <c r="AD1089" s="7">
        <v>59</v>
      </c>
      <c r="AE1089" s="7">
        <v>60</v>
      </c>
      <c r="AF1089" s="7">
        <v>61</v>
      </c>
      <c r="AG1089" s="7">
        <v>62</v>
      </c>
      <c r="AH1089" s="7">
        <v>63</v>
      </c>
      <c r="AI1089" s="6"/>
    </row>
    <row r="1090" spans="1:35" ht="15.75" thickBot="1" x14ac:dyDescent="0.3">
      <c r="A1090" s="3"/>
      <c r="B1090" s="5"/>
      <c r="C1090" s="147" t="s">
        <v>13</v>
      </c>
      <c r="D1090" s="148" t="s">
        <v>14</v>
      </c>
      <c r="E1090" s="148" t="s">
        <v>15</v>
      </c>
      <c r="F1090" s="148" t="s">
        <v>16</v>
      </c>
      <c r="G1090" s="148" t="s">
        <v>17</v>
      </c>
      <c r="H1090" s="148" t="s">
        <v>18</v>
      </c>
      <c r="I1090" s="148" t="s">
        <v>19</v>
      </c>
      <c r="J1090" s="148" t="s">
        <v>20</v>
      </c>
      <c r="K1090" s="148" t="s">
        <v>21</v>
      </c>
      <c r="L1090" s="148" t="s">
        <v>22</v>
      </c>
      <c r="M1090" s="148" t="s">
        <v>23</v>
      </c>
      <c r="N1090" s="148" t="s">
        <v>24</v>
      </c>
      <c r="O1090" s="148" t="s">
        <v>25</v>
      </c>
      <c r="P1090" s="148" t="s">
        <v>26</v>
      </c>
      <c r="Q1090" s="148" t="s">
        <v>27</v>
      </c>
      <c r="R1090" s="342" t="s">
        <v>30</v>
      </c>
      <c r="S1090" s="343"/>
      <c r="T1090" s="343"/>
      <c r="U1090" s="343"/>
      <c r="V1090" s="343"/>
      <c r="W1090" s="343"/>
      <c r="X1090" s="343"/>
      <c r="Y1090" s="343"/>
      <c r="Z1090" s="343"/>
      <c r="AA1090" s="343"/>
      <c r="AB1090" s="343"/>
      <c r="AC1090" s="343"/>
      <c r="AD1090" s="343"/>
      <c r="AE1090" s="343"/>
      <c r="AF1090" s="344"/>
      <c r="AG1090" s="67" t="s">
        <v>28</v>
      </c>
      <c r="AH1090" s="149" t="s">
        <v>29</v>
      </c>
      <c r="AI1090" s="6"/>
    </row>
    <row r="1091" spans="1:35" ht="15.75" thickBot="1" x14ac:dyDescent="0.3">
      <c r="A1091" s="3"/>
      <c r="B1091" s="5"/>
      <c r="C1091" s="150">
        <v>0</v>
      </c>
      <c r="D1091" s="151">
        <v>0</v>
      </c>
      <c r="E1091" s="151">
        <v>0</v>
      </c>
      <c r="F1091" s="151">
        <v>0</v>
      </c>
      <c r="G1091" s="151">
        <v>0</v>
      </c>
      <c r="H1091" s="151">
        <v>0</v>
      </c>
      <c r="I1091" s="151">
        <v>0</v>
      </c>
      <c r="J1091" s="151">
        <v>0</v>
      </c>
      <c r="K1091" s="151">
        <v>0</v>
      </c>
      <c r="L1091" s="151">
        <v>0</v>
      </c>
      <c r="M1091" s="151">
        <v>0</v>
      </c>
      <c r="N1091" s="151">
        <v>0</v>
      </c>
      <c r="O1091" s="151">
        <v>1</v>
      </c>
      <c r="P1091" s="151">
        <v>0</v>
      </c>
      <c r="Q1091" s="151">
        <v>0</v>
      </c>
      <c r="R1091" s="151">
        <v>0</v>
      </c>
      <c r="S1091" s="151">
        <v>0</v>
      </c>
      <c r="T1091" s="151">
        <v>0</v>
      </c>
      <c r="U1091" s="151">
        <v>0</v>
      </c>
      <c r="V1091" s="151">
        <v>0</v>
      </c>
      <c r="W1091" s="151">
        <v>0</v>
      </c>
      <c r="X1091" s="151">
        <v>1</v>
      </c>
      <c r="Y1091" s="151">
        <v>1</v>
      </c>
      <c r="Z1091" s="151">
        <v>0</v>
      </c>
      <c r="AA1091" s="151">
        <v>0</v>
      </c>
      <c r="AB1091" s="151">
        <v>1</v>
      </c>
      <c r="AC1091" s="151">
        <v>0</v>
      </c>
      <c r="AD1091" s="151">
        <v>1</v>
      </c>
      <c r="AE1091" s="151">
        <v>0</v>
      </c>
      <c r="AF1091" s="151">
        <v>0</v>
      </c>
      <c r="AG1091" s="151">
        <v>0</v>
      </c>
      <c r="AH1091" s="152">
        <v>0</v>
      </c>
      <c r="AI1091" s="6"/>
    </row>
    <row r="1092" spans="1:35" x14ac:dyDescent="0.25">
      <c r="A1092" s="3"/>
      <c r="B1092" s="4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6"/>
    </row>
    <row r="1093" spans="1:35" x14ac:dyDescent="0.25">
      <c r="A1093" s="3"/>
      <c r="B1093" s="8" t="s">
        <v>43</v>
      </c>
      <c r="C1093" s="9"/>
      <c r="D1093" s="9"/>
      <c r="E1093" s="9"/>
      <c r="F1093" s="44" t="s">
        <v>44</v>
      </c>
      <c r="G1093" s="44"/>
      <c r="H1093" s="44"/>
      <c r="I1093" s="9"/>
      <c r="J1093" s="45" t="s">
        <v>45</v>
      </c>
      <c r="K1093" s="45"/>
      <c r="L1093" s="45"/>
      <c r="M1093" s="45"/>
      <c r="N1093" s="9"/>
      <c r="O1093" s="46" t="s">
        <v>46</v>
      </c>
      <c r="P1093" s="46"/>
      <c r="Q1093" s="46"/>
      <c r="R1093" s="46"/>
      <c r="S1093" s="9"/>
      <c r="T1093" s="1" t="s">
        <v>49</v>
      </c>
      <c r="U1093" s="10" t="s">
        <v>48</v>
      </c>
      <c r="V1093" s="5"/>
      <c r="W1093" s="9"/>
      <c r="X1093" s="9"/>
      <c r="Y1093" s="9"/>
      <c r="Z1093" s="9"/>
      <c r="AA1093" s="9"/>
      <c r="AB1093" s="9"/>
      <c r="AC1093" s="9"/>
      <c r="AD1093" s="9"/>
      <c r="AE1093" s="9"/>
      <c r="AF1093" s="9"/>
      <c r="AG1093" s="9"/>
      <c r="AH1093" s="9"/>
      <c r="AI1093" s="6"/>
    </row>
    <row r="1094" spans="1:35" ht="15" customHeight="1" x14ac:dyDescent="0.25">
      <c r="A1094" s="3"/>
      <c r="B1094" s="42" t="str">
        <f>"0x"&amp;DEC2HEX(Sheet3!$I$4,8)</f>
        <v>0x00400320</v>
      </c>
      <c r="C1094" s="42"/>
      <c r="D1094" s="42"/>
      <c r="E1094" s="12"/>
      <c r="F1094" s="319" t="str">
        <f>"0x"&amp;BIN2HEX(CONCATENATE(C1087,D1087,E1087,F1087,G1087,H1087,I1087,J1087),2)&amp;BIN2HEX(CONCATENATE(K1087,L1087,M1087,N1087,O1087,P1087,Q1087,R1087),2)&amp;BIN2HEX(CONCATENATE(S1087,T1087,U1087,V1087,W1087,X1087,Y1087,Z1087),2)&amp;BIN2HEX(CONCATENATE(AA1087,AB1087,AC1087,AD1087,AE1087,AF1087,AG1087,AH1087),2)</f>
        <v>0x00000000</v>
      </c>
      <c r="G1094" s="319"/>
      <c r="H1094" s="319"/>
      <c r="I1094" s="12"/>
      <c r="J1094" s="319" t="str">
        <f>"0b"&amp;C1091&amp;D1091&amp;E1091&amp;F1091&amp;G1091&amp;H1091&amp;I1091&amp;J1091&amp;K1091&amp;L1091&amp;M1091&amp;N1091&amp;O1091&amp;P1091&amp;Q1091</f>
        <v>0b000000000000100</v>
      </c>
      <c r="K1094" s="319"/>
      <c r="L1094" s="319"/>
      <c r="M1094" s="319"/>
      <c r="N1094" s="12"/>
      <c r="O1094" s="319" t="str">
        <f>"0b"&amp;DEC2BIN(((AF1091+AE1091*2+AD1091*4+AC1091*8+AB1091*16+AA1091*32+Z1091*64+Y1091*128+X1091*256+W1091*512+V1091*1024+U1091*2048+T1091*4096+S1091*2^13+R1091*2^14)/512),6)&amp;DEC2BIN(MOD((AF1091+AE1091*2+AD1091*4+AC1091*8+AB1091*16+AA1091*32+Z1091*64+Y1091*128+X1091*256+W1091*512+V1091*1024+U1091*2048+T1091*4096+S1091*2^13+R1091*2^14),512),9)</f>
        <v>0b000000110010100</v>
      </c>
      <c r="P1094" s="319"/>
      <c r="Q1094" s="319"/>
      <c r="R1094" s="319"/>
      <c r="S1094" s="12"/>
      <c r="T1094" s="13">
        <v>0</v>
      </c>
      <c r="U1094" s="13">
        <f>AH1091</f>
        <v>0</v>
      </c>
      <c r="V1094" s="5"/>
      <c r="W1094" s="14"/>
      <c r="X1094" s="14"/>
      <c r="Y1094" s="14"/>
      <c r="Z1094" s="14"/>
      <c r="AA1094" s="14"/>
      <c r="AB1094" s="14"/>
      <c r="AC1094" s="14"/>
      <c r="AD1094" s="14"/>
      <c r="AE1094" s="14"/>
      <c r="AF1094" s="14"/>
      <c r="AG1094" s="14"/>
      <c r="AH1094" s="14"/>
      <c r="AI1094" s="6"/>
    </row>
    <row r="1095" spans="1:35" x14ac:dyDescent="0.25">
      <c r="A1095" s="3"/>
      <c r="B1095" s="42"/>
      <c r="C1095" s="42"/>
      <c r="D1095" s="42"/>
      <c r="E1095" s="15"/>
      <c r="F1095" s="43"/>
      <c r="G1095" s="43"/>
      <c r="H1095" s="43"/>
      <c r="I1095" s="15"/>
      <c r="J1095" s="42"/>
      <c r="K1095" s="42"/>
      <c r="L1095" s="42"/>
      <c r="M1095" s="42"/>
      <c r="N1095" s="15"/>
      <c r="O1095" s="42"/>
      <c r="P1095" s="42"/>
      <c r="Q1095" s="42"/>
      <c r="R1095" s="42"/>
      <c r="S1095" s="15"/>
      <c r="T1095" s="13"/>
      <c r="U1095" s="15"/>
      <c r="V1095" s="5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6"/>
    </row>
    <row r="1096" spans="1:35" x14ac:dyDescent="0.25">
      <c r="A1096" s="3"/>
      <c r="B1096" s="42"/>
      <c r="C1096" s="42"/>
      <c r="D1096" s="42"/>
      <c r="E1096" s="15"/>
      <c r="F1096" s="43"/>
      <c r="G1096" s="43"/>
      <c r="H1096" s="43"/>
      <c r="I1096" s="15"/>
      <c r="J1096" s="42"/>
      <c r="K1096" s="42"/>
      <c r="L1096" s="42"/>
      <c r="M1096" s="42"/>
      <c r="N1096" s="15"/>
      <c r="O1096" s="42"/>
      <c r="P1096" s="42"/>
      <c r="Q1096" s="42"/>
      <c r="R1096" s="42"/>
      <c r="S1096" s="15"/>
      <c r="T1096" s="13"/>
      <c r="U1096" s="15"/>
      <c r="V1096" s="5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6"/>
    </row>
    <row r="1097" spans="1:35" x14ac:dyDescent="0.25">
      <c r="A1097" s="3"/>
      <c r="B1097" s="5"/>
      <c r="C1097" s="5"/>
      <c r="D1097" s="5"/>
      <c r="E1097" s="5"/>
      <c r="F1097" s="17"/>
      <c r="G1097" s="17"/>
      <c r="H1097" s="17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6"/>
    </row>
    <row r="1098" spans="1:35" x14ac:dyDescent="0.25">
      <c r="A1098" s="3"/>
      <c r="B1098" s="5" t="s">
        <v>47</v>
      </c>
      <c r="C1098" s="18"/>
      <c r="D1098" s="18"/>
      <c r="E1098" s="18"/>
      <c r="F1098" s="5"/>
      <c r="G1098" s="5"/>
      <c r="H1098" s="5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  <c r="AB1098" s="18"/>
      <c r="AC1098" s="18"/>
      <c r="AD1098" s="18"/>
      <c r="AE1098" s="18"/>
      <c r="AF1098" s="18"/>
      <c r="AG1098" s="18"/>
      <c r="AH1098" s="18"/>
      <c r="AI1098" s="6"/>
    </row>
    <row r="1099" spans="1:35" ht="15" customHeight="1" x14ac:dyDescent="0.25">
      <c r="A1099" s="3"/>
      <c r="B1099" s="42" t="str">
        <f>"0x"&amp;DEC2HEX(Sheet3!$I$4,8)</f>
        <v>0x00400320</v>
      </c>
      <c r="C1099" s="42"/>
      <c r="D1099" s="42"/>
      <c r="E1099" s="16"/>
      <c r="F1099" s="322" t="str">
        <f>F1094&amp;BIN2HEX(MID(J1094,3,8),2)&amp;BIN2HEX(RIGHT(J1094,7)&amp;MID(O1094,3,1),2)&amp;BIN2HEX(MID(O1094,4,8),2)&amp;BIN2HEX(RIGHT(O1094,6)&amp;T1094&amp;U1094,2)</f>
        <v>0x0000000000080650</v>
      </c>
      <c r="G1099" s="322"/>
      <c r="H1099" s="322"/>
      <c r="I1099" s="322"/>
      <c r="J1099" s="5"/>
      <c r="K1099" s="5"/>
      <c r="L1099" s="5"/>
      <c r="M1099" s="5"/>
      <c r="N1099" s="5"/>
      <c r="O1099" s="5"/>
      <c r="P1099" s="16"/>
      <c r="Q1099" s="16"/>
      <c r="R1099" s="19"/>
      <c r="S1099" s="19"/>
      <c r="T1099" s="19"/>
      <c r="U1099" s="19"/>
      <c r="V1099" s="19"/>
      <c r="W1099" s="19"/>
      <c r="X1099" s="19"/>
      <c r="Y1099" s="19"/>
      <c r="Z1099" s="19"/>
      <c r="AA1099" s="19"/>
      <c r="AB1099" s="19"/>
      <c r="AC1099" s="19"/>
      <c r="AD1099" s="19"/>
      <c r="AE1099" s="19"/>
      <c r="AF1099" s="19"/>
      <c r="AG1099" s="5"/>
      <c r="AH1099" s="5"/>
      <c r="AI1099" s="6"/>
    </row>
    <row r="1100" spans="1:35" x14ac:dyDescent="0.25">
      <c r="A1100" s="3"/>
      <c r="B1100" s="37"/>
      <c r="C1100" s="37"/>
      <c r="D1100" s="37"/>
      <c r="E1100" s="5"/>
      <c r="F1100" s="38"/>
      <c r="G1100" s="38"/>
      <c r="H1100" s="38"/>
      <c r="I1100" s="38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6"/>
    </row>
    <row r="1101" spans="1:35" x14ac:dyDescent="0.25">
      <c r="A1101" s="3"/>
      <c r="B1101" s="37"/>
      <c r="C1101" s="37"/>
      <c r="D1101" s="37"/>
      <c r="E1101" s="5"/>
      <c r="F1101" s="38"/>
      <c r="G1101" s="38"/>
      <c r="H1101" s="38"/>
      <c r="I1101" s="38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6"/>
    </row>
    <row r="1102" spans="1:35" x14ac:dyDescent="0.25">
      <c r="A1102" s="20"/>
      <c r="B1102" s="21"/>
      <c r="C1102" s="21"/>
      <c r="D1102" s="21"/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2"/>
      <c r="P1102" s="21"/>
      <c r="Q1102" s="21"/>
      <c r="R1102" s="21"/>
      <c r="S1102" s="21"/>
      <c r="T1102" s="21"/>
      <c r="U1102" s="21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  <c r="AF1102" s="21"/>
      <c r="AG1102" s="21"/>
      <c r="AH1102" s="21"/>
      <c r="AI1102" s="23"/>
    </row>
    <row r="1103" spans="1:35" x14ac:dyDescent="0.25">
      <c r="A1103" s="24"/>
      <c r="B1103" s="28"/>
      <c r="C1103" s="25"/>
      <c r="D1103" s="25"/>
      <c r="E1103" s="25"/>
      <c r="F1103" s="25"/>
      <c r="G1103" s="25"/>
      <c r="H1103" s="25"/>
      <c r="I1103" s="25"/>
      <c r="J1103" s="25"/>
      <c r="K1103" s="25"/>
      <c r="L1103" s="25"/>
      <c r="M1103" s="25"/>
      <c r="N1103" s="25"/>
      <c r="O1103" s="25"/>
      <c r="P1103" s="25"/>
      <c r="Q1103" s="25"/>
      <c r="R1103" s="25"/>
      <c r="S1103" s="25"/>
      <c r="T1103" s="25"/>
      <c r="U1103" s="25"/>
      <c r="V1103" s="25"/>
      <c r="W1103" s="25"/>
      <c r="X1103" s="25"/>
      <c r="Y1103" s="25"/>
      <c r="Z1103" s="25"/>
      <c r="AA1103" s="25"/>
      <c r="AB1103" s="25"/>
      <c r="AC1103" s="25"/>
      <c r="AD1103" s="25"/>
      <c r="AE1103" s="25"/>
      <c r="AF1103" s="25"/>
      <c r="AG1103" s="25"/>
      <c r="AH1103" s="25"/>
      <c r="AI1103" s="26"/>
    </row>
    <row r="1104" spans="1:35" x14ac:dyDescent="0.25">
      <c r="A1104" s="3"/>
      <c r="B1104" s="4" t="s">
        <v>182</v>
      </c>
      <c r="C1104" s="5"/>
      <c r="D1104" s="5"/>
      <c r="E1104" s="5"/>
      <c r="F1104" s="5"/>
      <c r="G1104" s="5"/>
      <c r="H1104" s="5"/>
      <c r="I1104" s="5" t="str">
        <f>"0x"&amp;BIN2HEX(CONCATENATE(C1109,D1109,E1109,F1109,G1109,H1109,I1109,J1109),2)&amp;BIN2HEX(CONCATENATE(K1109,L1109,M1109,N1109,O1109,P1109,Q1109,R1109),2)&amp;BIN2HEX(CONCATENATE(S1109,T1109,U1109,V1109,W1109,X1109,Y1109,Z1109),2)&amp;BIN2HEX(CONCATENATE(AA1109,AB1109,AC1109,AD1109,AE1109,AF1109,AG1109,AH1109),2)&amp;"_"&amp;BIN2HEX(CONCATENATE(C1113,D1113,E1113,F1113,G1113,H1113,I1113,J1113),2)&amp;BIN2HEX(CONCATENATE(K1113,L1113,M1113,N1113,O1113,P1113,Q1113,R1113),2)&amp;BIN2HEX(CONCATENATE(S1113,T1113,U1113,V1113,W1113,X1113,Y1113,Z1113),2)&amp;BIN2HEX(CONCATENATE(AA1113,AB1113,AC1113,AD1113,AE1113,AF1113,AG1113,AH1113),2)</f>
        <v>0x00000000_00080654</v>
      </c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6"/>
    </row>
    <row r="1105" spans="1:35" ht="15.75" thickBot="1" x14ac:dyDescent="0.3">
      <c r="A1105" s="3"/>
      <c r="B1105" s="5"/>
      <c r="C1105" s="7">
        <v>0</v>
      </c>
      <c r="D1105" s="7">
        <v>1</v>
      </c>
      <c r="E1105" s="7">
        <v>2</v>
      </c>
      <c r="F1105" s="7">
        <v>3</v>
      </c>
      <c r="G1105" s="7">
        <v>4</v>
      </c>
      <c r="H1105" s="7">
        <v>5</v>
      </c>
      <c r="I1105" s="7">
        <v>6</v>
      </c>
      <c r="J1105" s="7">
        <v>7</v>
      </c>
      <c r="K1105" s="7">
        <v>8</v>
      </c>
      <c r="L1105" s="7">
        <v>9</v>
      </c>
      <c r="M1105" s="7">
        <v>10</v>
      </c>
      <c r="N1105" s="7">
        <v>11</v>
      </c>
      <c r="O1105" s="7">
        <v>12</v>
      </c>
      <c r="P1105" s="7">
        <v>13</v>
      </c>
      <c r="Q1105" s="7">
        <v>14</v>
      </c>
      <c r="R1105" s="7">
        <v>15</v>
      </c>
      <c r="S1105" s="7">
        <v>16</v>
      </c>
      <c r="T1105" s="7">
        <v>17</v>
      </c>
      <c r="U1105" s="7">
        <v>18</v>
      </c>
      <c r="V1105" s="7">
        <v>19</v>
      </c>
      <c r="W1105" s="7">
        <v>20</v>
      </c>
      <c r="X1105" s="7">
        <v>21</v>
      </c>
      <c r="Y1105" s="7">
        <v>22</v>
      </c>
      <c r="Z1105" s="7">
        <v>23</v>
      </c>
      <c r="AA1105" s="7">
        <v>24</v>
      </c>
      <c r="AB1105" s="7">
        <v>25</v>
      </c>
      <c r="AC1105" s="7">
        <v>26</v>
      </c>
      <c r="AD1105" s="7">
        <v>27</v>
      </c>
      <c r="AE1105" s="7">
        <v>28</v>
      </c>
      <c r="AF1105" s="7">
        <v>29</v>
      </c>
      <c r="AG1105" s="7">
        <v>30</v>
      </c>
      <c r="AH1105" s="7">
        <v>31</v>
      </c>
      <c r="AI1105" s="6"/>
    </row>
    <row r="1106" spans="1:35" x14ac:dyDescent="0.25">
      <c r="A1106" s="3"/>
      <c r="B1106" s="5" t="s">
        <v>31</v>
      </c>
      <c r="C1106" s="328" t="s">
        <v>161</v>
      </c>
      <c r="D1106" s="330" t="s">
        <v>63</v>
      </c>
      <c r="E1106" s="331"/>
      <c r="F1106" s="331"/>
      <c r="G1106" s="331"/>
      <c r="H1106" s="331"/>
      <c r="I1106" s="331"/>
      <c r="J1106" s="332"/>
      <c r="K1106" s="336">
        <v>0</v>
      </c>
      <c r="L1106" s="337"/>
      <c r="M1106" s="337"/>
      <c r="N1106" s="337"/>
      <c r="O1106" s="337"/>
      <c r="P1106" s="337"/>
      <c r="Q1106" s="337"/>
      <c r="R1106" s="337"/>
      <c r="S1106" s="337"/>
      <c r="T1106" s="337"/>
      <c r="U1106" s="337"/>
      <c r="V1106" s="337"/>
      <c r="W1106" s="337"/>
      <c r="X1106" s="337"/>
      <c r="Y1106" s="337"/>
      <c r="Z1106" s="337"/>
      <c r="AA1106" s="337"/>
      <c r="AB1106" s="337"/>
      <c r="AC1106" s="337"/>
      <c r="AD1106" s="337"/>
      <c r="AE1106" s="337"/>
      <c r="AF1106" s="337"/>
      <c r="AG1106" s="337"/>
      <c r="AH1106" s="338"/>
      <c r="AI1106" s="6"/>
    </row>
    <row r="1107" spans="1:35" x14ac:dyDescent="0.25">
      <c r="A1107" s="3"/>
      <c r="B1107" s="5" t="s">
        <v>32</v>
      </c>
      <c r="C1107" s="329"/>
      <c r="D1107" s="333"/>
      <c r="E1107" s="334"/>
      <c r="F1107" s="334"/>
      <c r="G1107" s="334"/>
      <c r="H1107" s="334"/>
      <c r="I1107" s="334"/>
      <c r="J1107" s="335"/>
      <c r="K1107" s="339"/>
      <c r="L1107" s="340"/>
      <c r="M1107" s="340"/>
      <c r="N1107" s="340"/>
      <c r="O1107" s="340"/>
      <c r="P1107" s="340"/>
      <c r="Q1107" s="340"/>
      <c r="R1107" s="340"/>
      <c r="S1107" s="340"/>
      <c r="T1107" s="340"/>
      <c r="U1107" s="340"/>
      <c r="V1107" s="340"/>
      <c r="W1107" s="340"/>
      <c r="X1107" s="340"/>
      <c r="Y1107" s="340"/>
      <c r="Z1107" s="340"/>
      <c r="AA1107" s="340"/>
      <c r="AB1107" s="340"/>
      <c r="AC1107" s="340"/>
      <c r="AD1107" s="340"/>
      <c r="AE1107" s="340"/>
      <c r="AF1107" s="340"/>
      <c r="AG1107" s="340"/>
      <c r="AH1107" s="341"/>
      <c r="AI1107" s="6"/>
    </row>
    <row r="1108" spans="1:35" x14ac:dyDescent="0.25">
      <c r="A1108" s="3"/>
      <c r="B1108" s="5" t="s">
        <v>11</v>
      </c>
      <c r="C1108" s="56">
        <v>0</v>
      </c>
      <c r="D1108" s="57">
        <v>0</v>
      </c>
      <c r="E1108" s="57">
        <v>0</v>
      </c>
      <c r="F1108" s="57">
        <v>0</v>
      </c>
      <c r="G1108" s="57">
        <v>0</v>
      </c>
      <c r="H1108" s="57">
        <v>0</v>
      </c>
      <c r="I1108" s="57">
        <v>0</v>
      </c>
      <c r="J1108" s="57">
        <v>0</v>
      </c>
      <c r="K1108" s="57">
        <v>0</v>
      </c>
      <c r="L1108" s="57">
        <v>0</v>
      </c>
      <c r="M1108" s="57">
        <v>0</v>
      </c>
      <c r="N1108" s="57">
        <v>0</v>
      </c>
      <c r="O1108" s="57">
        <v>0</v>
      </c>
      <c r="P1108" s="57">
        <v>0</v>
      </c>
      <c r="Q1108" s="57">
        <v>0</v>
      </c>
      <c r="R1108" s="57">
        <v>0</v>
      </c>
      <c r="S1108" s="57">
        <v>0</v>
      </c>
      <c r="T1108" s="57">
        <v>0</v>
      </c>
      <c r="U1108" s="57">
        <v>0</v>
      </c>
      <c r="V1108" s="57">
        <v>0</v>
      </c>
      <c r="W1108" s="57">
        <v>0</v>
      </c>
      <c r="X1108" s="57">
        <v>0</v>
      </c>
      <c r="Y1108" s="57">
        <v>0</v>
      </c>
      <c r="Z1108" s="57">
        <v>0</v>
      </c>
      <c r="AA1108" s="57">
        <v>0</v>
      </c>
      <c r="AB1108" s="57">
        <v>0</v>
      </c>
      <c r="AC1108" s="57">
        <v>0</v>
      </c>
      <c r="AD1108" s="57">
        <v>0</v>
      </c>
      <c r="AE1108" s="57">
        <v>0</v>
      </c>
      <c r="AF1108" s="57">
        <v>0</v>
      </c>
      <c r="AG1108" s="57">
        <v>0</v>
      </c>
      <c r="AH1108" s="58">
        <v>0</v>
      </c>
      <c r="AI1108" s="6"/>
    </row>
    <row r="1109" spans="1:35" ht="15.75" thickBot="1" x14ac:dyDescent="0.3">
      <c r="A1109" s="3"/>
      <c r="B1109" s="5" t="s">
        <v>12</v>
      </c>
      <c r="C1109" s="145">
        <v>0</v>
      </c>
      <c r="D1109" s="88">
        <v>0</v>
      </c>
      <c r="E1109" s="88">
        <v>0</v>
      </c>
      <c r="F1109" s="88">
        <v>0</v>
      </c>
      <c r="G1109" s="88">
        <v>0</v>
      </c>
      <c r="H1109" s="88">
        <v>0</v>
      </c>
      <c r="I1109" s="88">
        <v>0</v>
      </c>
      <c r="J1109" s="88">
        <v>0</v>
      </c>
      <c r="K1109" s="62">
        <v>0</v>
      </c>
      <c r="L1109" s="62">
        <v>0</v>
      </c>
      <c r="M1109" s="62">
        <v>0</v>
      </c>
      <c r="N1109" s="62">
        <v>0</v>
      </c>
      <c r="O1109" s="62">
        <v>0</v>
      </c>
      <c r="P1109" s="62">
        <v>0</v>
      </c>
      <c r="Q1109" s="62">
        <v>0</v>
      </c>
      <c r="R1109" s="62">
        <v>0</v>
      </c>
      <c r="S1109" s="62">
        <v>0</v>
      </c>
      <c r="T1109" s="62">
        <v>0</v>
      </c>
      <c r="U1109" s="62">
        <v>0</v>
      </c>
      <c r="V1109" s="62">
        <v>0</v>
      </c>
      <c r="W1109" s="62">
        <v>0</v>
      </c>
      <c r="X1109" s="62">
        <v>0</v>
      </c>
      <c r="Y1109" s="62">
        <v>0</v>
      </c>
      <c r="Z1109" s="62">
        <v>0</v>
      </c>
      <c r="AA1109" s="62">
        <v>0</v>
      </c>
      <c r="AB1109" s="62">
        <v>0</v>
      </c>
      <c r="AC1109" s="62">
        <v>0</v>
      </c>
      <c r="AD1109" s="62">
        <v>0</v>
      </c>
      <c r="AE1109" s="62">
        <v>0</v>
      </c>
      <c r="AF1109" s="62">
        <v>0</v>
      </c>
      <c r="AG1109" s="62">
        <v>0</v>
      </c>
      <c r="AH1109" s="146">
        <v>0</v>
      </c>
      <c r="AI1109" s="6"/>
    </row>
    <row r="1110" spans="1:35" x14ac:dyDescent="0.25">
      <c r="A1110" s="3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6"/>
    </row>
    <row r="1111" spans="1:35" ht="15.75" thickBot="1" x14ac:dyDescent="0.3">
      <c r="A1111" s="3"/>
      <c r="B1111" s="5"/>
      <c r="C1111" s="7">
        <v>32</v>
      </c>
      <c r="D1111" s="7">
        <v>33</v>
      </c>
      <c r="E1111" s="7">
        <v>34</v>
      </c>
      <c r="F1111" s="7">
        <v>35</v>
      </c>
      <c r="G1111" s="7">
        <v>36</v>
      </c>
      <c r="H1111" s="7">
        <v>37</v>
      </c>
      <c r="I1111" s="7">
        <v>38</v>
      </c>
      <c r="J1111" s="7">
        <v>39</v>
      </c>
      <c r="K1111" s="7">
        <v>40</v>
      </c>
      <c r="L1111" s="7">
        <v>41</v>
      </c>
      <c r="M1111" s="7">
        <v>42</v>
      </c>
      <c r="N1111" s="7">
        <v>43</v>
      </c>
      <c r="O1111" s="7">
        <v>44</v>
      </c>
      <c r="P1111" s="7">
        <v>45</v>
      </c>
      <c r="Q1111" s="7">
        <v>46</v>
      </c>
      <c r="R1111" s="7">
        <v>47</v>
      </c>
      <c r="S1111" s="7">
        <v>48</v>
      </c>
      <c r="T1111" s="7">
        <v>49</v>
      </c>
      <c r="U1111" s="7">
        <v>50</v>
      </c>
      <c r="V1111" s="7">
        <v>51</v>
      </c>
      <c r="W1111" s="7">
        <v>52</v>
      </c>
      <c r="X1111" s="7">
        <v>53</v>
      </c>
      <c r="Y1111" s="7">
        <v>54</v>
      </c>
      <c r="Z1111" s="7">
        <v>55</v>
      </c>
      <c r="AA1111" s="7">
        <v>56</v>
      </c>
      <c r="AB1111" s="7">
        <v>57</v>
      </c>
      <c r="AC1111" s="7">
        <v>58</v>
      </c>
      <c r="AD1111" s="7">
        <v>59</v>
      </c>
      <c r="AE1111" s="7">
        <v>60</v>
      </c>
      <c r="AF1111" s="7">
        <v>61</v>
      </c>
      <c r="AG1111" s="7">
        <v>62</v>
      </c>
      <c r="AH1111" s="7">
        <v>63</v>
      </c>
      <c r="AI1111" s="6"/>
    </row>
    <row r="1112" spans="1:35" ht="15.75" thickBot="1" x14ac:dyDescent="0.3">
      <c r="A1112" s="3"/>
      <c r="B1112" s="5"/>
      <c r="C1112" s="147" t="s">
        <v>13</v>
      </c>
      <c r="D1112" s="148" t="s">
        <v>14</v>
      </c>
      <c r="E1112" s="148" t="s">
        <v>15</v>
      </c>
      <c r="F1112" s="148" t="s">
        <v>16</v>
      </c>
      <c r="G1112" s="148" t="s">
        <v>17</v>
      </c>
      <c r="H1112" s="148" t="s">
        <v>18</v>
      </c>
      <c r="I1112" s="148" t="s">
        <v>19</v>
      </c>
      <c r="J1112" s="148" t="s">
        <v>20</v>
      </c>
      <c r="K1112" s="148" t="s">
        <v>21</v>
      </c>
      <c r="L1112" s="148" t="s">
        <v>22</v>
      </c>
      <c r="M1112" s="148" t="s">
        <v>23</v>
      </c>
      <c r="N1112" s="148" t="s">
        <v>24</v>
      </c>
      <c r="O1112" s="148" t="s">
        <v>25</v>
      </c>
      <c r="P1112" s="148" t="s">
        <v>26</v>
      </c>
      <c r="Q1112" s="148" t="s">
        <v>27</v>
      </c>
      <c r="R1112" s="342" t="s">
        <v>30</v>
      </c>
      <c r="S1112" s="343"/>
      <c r="T1112" s="343"/>
      <c r="U1112" s="343"/>
      <c r="V1112" s="343"/>
      <c r="W1112" s="343"/>
      <c r="X1112" s="343"/>
      <c r="Y1112" s="343"/>
      <c r="Z1112" s="343"/>
      <c r="AA1112" s="343"/>
      <c r="AB1112" s="343"/>
      <c r="AC1112" s="343"/>
      <c r="AD1112" s="343"/>
      <c r="AE1112" s="343"/>
      <c r="AF1112" s="344"/>
      <c r="AG1112" s="67" t="s">
        <v>28</v>
      </c>
      <c r="AH1112" s="149" t="s">
        <v>29</v>
      </c>
      <c r="AI1112" s="6"/>
    </row>
    <row r="1113" spans="1:35" ht="15.75" thickBot="1" x14ac:dyDescent="0.3">
      <c r="A1113" s="3"/>
      <c r="B1113" s="5"/>
      <c r="C1113" s="150">
        <v>0</v>
      </c>
      <c r="D1113" s="151">
        <v>0</v>
      </c>
      <c r="E1113" s="151">
        <v>0</v>
      </c>
      <c r="F1113" s="151">
        <v>0</v>
      </c>
      <c r="G1113" s="151">
        <v>0</v>
      </c>
      <c r="H1113" s="151">
        <v>0</v>
      </c>
      <c r="I1113" s="151">
        <v>0</v>
      </c>
      <c r="J1113" s="151">
        <v>0</v>
      </c>
      <c r="K1113" s="151">
        <v>0</v>
      </c>
      <c r="L1113" s="151">
        <v>0</v>
      </c>
      <c r="M1113" s="151">
        <v>0</v>
      </c>
      <c r="N1113" s="151">
        <v>0</v>
      </c>
      <c r="O1113" s="151">
        <v>1</v>
      </c>
      <c r="P1113" s="151">
        <v>0</v>
      </c>
      <c r="Q1113" s="151">
        <v>0</v>
      </c>
      <c r="R1113" s="151">
        <v>0</v>
      </c>
      <c r="S1113" s="151">
        <v>0</v>
      </c>
      <c r="T1113" s="151">
        <v>0</v>
      </c>
      <c r="U1113" s="151">
        <v>0</v>
      </c>
      <c r="V1113" s="151">
        <v>0</v>
      </c>
      <c r="W1113" s="151">
        <v>0</v>
      </c>
      <c r="X1113" s="151">
        <v>1</v>
      </c>
      <c r="Y1113" s="151">
        <v>1</v>
      </c>
      <c r="Z1113" s="151">
        <v>0</v>
      </c>
      <c r="AA1113" s="151">
        <v>0</v>
      </c>
      <c r="AB1113" s="151">
        <v>1</v>
      </c>
      <c r="AC1113" s="151">
        <v>0</v>
      </c>
      <c r="AD1113" s="151">
        <v>1</v>
      </c>
      <c r="AE1113" s="151">
        <v>0</v>
      </c>
      <c r="AF1113" s="151">
        <v>1</v>
      </c>
      <c r="AG1113" s="151">
        <v>0</v>
      </c>
      <c r="AH1113" s="152">
        <v>0</v>
      </c>
      <c r="AI1113" s="6"/>
    </row>
    <row r="1114" spans="1:35" x14ac:dyDescent="0.25">
      <c r="A1114" s="3"/>
      <c r="B1114" s="4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6"/>
    </row>
    <row r="1115" spans="1:35" x14ac:dyDescent="0.25">
      <c r="A1115" s="3"/>
      <c r="B1115" s="8" t="s">
        <v>43</v>
      </c>
      <c r="C1115" s="9"/>
      <c r="D1115" s="9"/>
      <c r="E1115" s="9"/>
      <c r="F1115" s="44" t="s">
        <v>44</v>
      </c>
      <c r="G1115" s="44"/>
      <c r="H1115" s="44"/>
      <c r="I1115" s="9"/>
      <c r="J1115" s="45" t="s">
        <v>45</v>
      </c>
      <c r="K1115" s="45"/>
      <c r="L1115" s="45"/>
      <c r="M1115" s="45"/>
      <c r="N1115" s="9"/>
      <c r="O1115" s="46" t="s">
        <v>46</v>
      </c>
      <c r="P1115" s="46"/>
      <c r="Q1115" s="46"/>
      <c r="R1115" s="46"/>
      <c r="S1115" s="9"/>
      <c r="T1115" s="1" t="s">
        <v>49</v>
      </c>
      <c r="U1115" s="10" t="s">
        <v>48</v>
      </c>
      <c r="V1115" s="5"/>
      <c r="W1115" s="9"/>
      <c r="X1115" s="9"/>
      <c r="Y1115" s="9"/>
      <c r="Z1115" s="9"/>
      <c r="AA1115" s="9"/>
      <c r="AB1115" s="9"/>
      <c r="AC1115" s="9"/>
      <c r="AD1115" s="9"/>
      <c r="AE1115" s="9"/>
      <c r="AF1115" s="9"/>
      <c r="AG1115" s="9"/>
      <c r="AH1115" s="9"/>
      <c r="AI1115" s="6"/>
    </row>
    <row r="1116" spans="1:35" ht="15" customHeight="1" x14ac:dyDescent="0.25">
      <c r="A1116" s="3"/>
      <c r="B1116" s="42" t="str">
        <f>"0x"&amp;DEC2HEX(Sheet3!$I$4,8)</f>
        <v>0x00400320</v>
      </c>
      <c r="C1116" s="42"/>
      <c r="D1116" s="42"/>
      <c r="E1116" s="12"/>
      <c r="F1116" s="319" t="str">
        <f>"0x"&amp;BIN2HEX(CONCATENATE(C1109,D1109,E1109,F1109,G1109,H1109,I1109,J1109),2)&amp;BIN2HEX(CONCATENATE(K1109,L1109,M1109,N1109,O1109,P1109,Q1109,R1109),2)&amp;BIN2HEX(CONCATENATE(S1109,T1109,U1109,V1109,W1109,X1109,Y1109,Z1109),2)&amp;BIN2HEX(CONCATENATE(AA1109,AB1109,AC1109,AD1109,AE1109,AF1109,AG1109,AH1109),2)</f>
        <v>0x00000000</v>
      </c>
      <c r="G1116" s="319"/>
      <c r="H1116" s="319"/>
      <c r="I1116" s="12"/>
      <c r="J1116" s="319" t="str">
        <f>"0b"&amp;C1113&amp;D1113&amp;E1113&amp;F1113&amp;G1113&amp;H1113&amp;I1113&amp;J1113&amp;K1113&amp;L1113&amp;M1113&amp;N1113&amp;O1113&amp;P1113&amp;Q1113</f>
        <v>0b000000000000100</v>
      </c>
      <c r="K1116" s="319"/>
      <c r="L1116" s="319"/>
      <c r="M1116" s="319"/>
      <c r="N1116" s="12"/>
      <c r="O1116" s="319" t="str">
        <f>"0b"&amp;DEC2BIN(((AF1113+AE1113*2+AD1113*4+AC1113*8+AB1113*16+AA1113*32+Z1113*64+Y1113*128+X1113*256+W1113*512+V1113*1024+U1113*2048+T1113*4096+S1113*2^13+R1113*2^14)/512),6)&amp;DEC2BIN(MOD((AF1113+AE1113*2+AD1113*4+AC1113*8+AB1113*16+AA1113*32+Z1113*64+Y1113*128+X1113*256+W1113*512+V1113*1024+U1113*2048+T1113*4096+S1113*2^13+R1113*2^14),512),9)</f>
        <v>0b000000110010101</v>
      </c>
      <c r="P1116" s="319"/>
      <c r="Q1116" s="319"/>
      <c r="R1116" s="319"/>
      <c r="S1116" s="12"/>
      <c r="T1116" s="13">
        <v>0</v>
      </c>
      <c r="U1116" s="13">
        <f>AH1113</f>
        <v>0</v>
      </c>
      <c r="V1116" s="5"/>
      <c r="W1116" s="14"/>
      <c r="X1116" s="14"/>
      <c r="Y1116" s="14"/>
      <c r="Z1116" s="14"/>
      <c r="AA1116" s="14"/>
      <c r="AB1116" s="14"/>
      <c r="AC1116" s="14"/>
      <c r="AD1116" s="14"/>
      <c r="AE1116" s="14"/>
      <c r="AF1116" s="14"/>
      <c r="AG1116" s="14"/>
      <c r="AH1116" s="14"/>
      <c r="AI1116" s="6"/>
    </row>
    <row r="1117" spans="1:35" x14ac:dyDescent="0.25">
      <c r="A1117" s="3"/>
      <c r="B1117" s="42"/>
      <c r="C1117" s="42"/>
      <c r="D1117" s="42"/>
      <c r="E1117" s="15"/>
      <c r="F1117" s="43"/>
      <c r="G1117" s="43"/>
      <c r="H1117" s="43"/>
      <c r="I1117" s="15"/>
      <c r="J1117" s="42"/>
      <c r="K1117" s="42"/>
      <c r="L1117" s="42"/>
      <c r="M1117" s="42"/>
      <c r="N1117" s="15"/>
      <c r="O1117" s="42"/>
      <c r="P1117" s="42"/>
      <c r="Q1117" s="42"/>
      <c r="R1117" s="42"/>
      <c r="S1117" s="15"/>
      <c r="T1117" s="13"/>
      <c r="U1117" s="15"/>
      <c r="V1117" s="5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6"/>
    </row>
    <row r="1118" spans="1:35" x14ac:dyDescent="0.25">
      <c r="A1118" s="3"/>
      <c r="B1118" s="42"/>
      <c r="C1118" s="42"/>
      <c r="D1118" s="42"/>
      <c r="E1118" s="15"/>
      <c r="F1118" s="43"/>
      <c r="G1118" s="43"/>
      <c r="H1118" s="43"/>
      <c r="I1118" s="15"/>
      <c r="J1118" s="42"/>
      <c r="K1118" s="42"/>
      <c r="L1118" s="42"/>
      <c r="M1118" s="42"/>
      <c r="N1118" s="15"/>
      <c r="O1118" s="42"/>
      <c r="P1118" s="42"/>
      <c r="Q1118" s="42"/>
      <c r="R1118" s="42"/>
      <c r="S1118" s="15"/>
      <c r="T1118" s="13"/>
      <c r="U1118" s="15"/>
      <c r="V1118" s="5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6"/>
    </row>
    <row r="1119" spans="1:35" x14ac:dyDescent="0.25">
      <c r="A1119" s="3"/>
      <c r="B1119" s="5"/>
      <c r="C1119" s="5"/>
      <c r="D1119" s="5"/>
      <c r="E1119" s="5"/>
      <c r="F1119" s="17"/>
      <c r="G1119" s="17"/>
      <c r="H1119" s="17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6"/>
    </row>
    <row r="1120" spans="1:35" x14ac:dyDescent="0.25">
      <c r="A1120" s="3"/>
      <c r="B1120" s="5" t="s">
        <v>47</v>
      </c>
      <c r="C1120" s="18"/>
      <c r="D1120" s="18"/>
      <c r="E1120" s="18"/>
      <c r="F1120" s="5"/>
      <c r="G1120" s="5"/>
      <c r="H1120" s="5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  <c r="AB1120" s="18"/>
      <c r="AC1120" s="18"/>
      <c r="AD1120" s="18"/>
      <c r="AE1120" s="18"/>
      <c r="AF1120" s="18"/>
      <c r="AG1120" s="18"/>
      <c r="AH1120" s="18"/>
      <c r="AI1120" s="6"/>
    </row>
    <row r="1121" spans="1:35" ht="15" customHeight="1" x14ac:dyDescent="0.25">
      <c r="A1121" s="3"/>
      <c r="B1121" s="42" t="str">
        <f>"0x"&amp;DEC2HEX(Sheet3!$I$4,8)</f>
        <v>0x00400320</v>
      </c>
      <c r="C1121" s="42"/>
      <c r="D1121" s="42"/>
      <c r="E1121" s="16"/>
      <c r="F1121" s="322" t="str">
        <f>F1116&amp;BIN2HEX(MID(J1116,3,8),2)&amp;BIN2HEX(RIGHT(J1116,7)&amp;MID(O1116,3,1),2)&amp;BIN2HEX(MID(O1116,4,8),2)&amp;BIN2HEX(RIGHT(O1116,6)&amp;T1116&amp;U1116,2)</f>
        <v>0x0000000000080654</v>
      </c>
      <c r="G1121" s="322"/>
      <c r="H1121" s="322"/>
      <c r="I1121" s="322"/>
      <c r="J1121" s="5"/>
      <c r="K1121" s="5"/>
      <c r="L1121" s="5"/>
      <c r="M1121" s="5"/>
      <c r="N1121" s="5"/>
      <c r="O1121" s="5"/>
      <c r="P1121" s="16"/>
      <c r="Q1121" s="16"/>
      <c r="R1121" s="19"/>
      <c r="S1121" s="19"/>
      <c r="T1121" s="19"/>
      <c r="U1121" s="19"/>
      <c r="V1121" s="19"/>
      <c r="W1121" s="19"/>
      <c r="X1121" s="19"/>
      <c r="Y1121" s="19"/>
      <c r="Z1121" s="19"/>
      <c r="AA1121" s="19"/>
      <c r="AB1121" s="19"/>
      <c r="AC1121" s="19"/>
      <c r="AD1121" s="19"/>
      <c r="AE1121" s="19"/>
      <c r="AF1121" s="19"/>
      <c r="AG1121" s="5"/>
      <c r="AH1121" s="5"/>
      <c r="AI1121" s="6"/>
    </row>
    <row r="1122" spans="1:35" x14ac:dyDescent="0.25">
      <c r="A1122" s="3"/>
      <c r="B1122" s="37"/>
      <c r="C1122" s="37"/>
      <c r="D1122" s="37"/>
      <c r="E1122" s="5"/>
      <c r="F1122" s="38"/>
      <c r="G1122" s="38"/>
      <c r="H1122" s="38"/>
      <c r="I1122" s="38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6"/>
    </row>
    <row r="1123" spans="1:35" x14ac:dyDescent="0.25">
      <c r="A1123" s="3"/>
      <c r="B1123" s="37"/>
      <c r="C1123" s="37"/>
      <c r="D1123" s="37"/>
      <c r="E1123" s="5"/>
      <c r="F1123" s="38"/>
      <c r="G1123" s="38"/>
      <c r="H1123" s="38"/>
      <c r="I1123" s="38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6"/>
    </row>
    <row r="1124" spans="1:35" x14ac:dyDescent="0.25">
      <c r="A1124" s="20"/>
      <c r="B1124" s="21"/>
      <c r="C1124" s="21"/>
      <c r="D1124" s="21"/>
      <c r="E1124" s="21"/>
      <c r="F1124" s="21"/>
      <c r="G1124" s="21"/>
      <c r="H1124" s="21"/>
      <c r="I1124" s="21"/>
      <c r="J1124" s="21"/>
      <c r="K1124" s="21"/>
      <c r="L1124" s="21"/>
      <c r="M1124" s="21"/>
      <c r="N1124" s="21"/>
      <c r="O1124" s="22"/>
      <c r="P1124" s="21"/>
      <c r="Q1124" s="21"/>
      <c r="R1124" s="21"/>
      <c r="S1124" s="21"/>
      <c r="T1124" s="21"/>
      <c r="U1124" s="21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  <c r="AF1124" s="21"/>
      <c r="AG1124" s="21"/>
      <c r="AH1124" s="21"/>
      <c r="AI1124" s="23"/>
    </row>
    <row r="1125" spans="1:35" x14ac:dyDescent="0.25">
      <c r="A1125" s="24"/>
      <c r="B1125" s="28"/>
      <c r="C1125" s="25"/>
      <c r="D1125" s="25"/>
      <c r="E1125" s="25"/>
      <c r="F1125" s="25"/>
      <c r="G1125" s="25"/>
      <c r="H1125" s="25"/>
      <c r="I1125" s="25"/>
      <c r="J1125" s="25"/>
      <c r="K1125" s="25"/>
      <c r="L1125" s="25"/>
      <c r="M1125" s="25"/>
      <c r="N1125" s="25"/>
      <c r="O1125" s="25"/>
      <c r="P1125" s="25"/>
      <c r="Q1125" s="25"/>
      <c r="R1125" s="25"/>
      <c r="S1125" s="25"/>
      <c r="T1125" s="25"/>
      <c r="U1125" s="25"/>
      <c r="V1125" s="25"/>
      <c r="W1125" s="25"/>
      <c r="X1125" s="25"/>
      <c r="Y1125" s="25"/>
      <c r="Z1125" s="25"/>
      <c r="AA1125" s="25"/>
      <c r="AB1125" s="25"/>
      <c r="AC1125" s="25"/>
      <c r="AD1125" s="25"/>
      <c r="AE1125" s="25"/>
      <c r="AF1125" s="25"/>
      <c r="AG1125" s="25"/>
      <c r="AH1125" s="25"/>
      <c r="AI1125" s="26"/>
    </row>
    <row r="1126" spans="1:35" x14ac:dyDescent="0.25">
      <c r="A1126" s="3"/>
      <c r="B1126" s="4" t="s">
        <v>183</v>
      </c>
      <c r="C1126" s="5"/>
      <c r="D1126" s="5"/>
      <c r="E1126" s="5"/>
      <c r="F1126" s="5"/>
      <c r="G1126" s="5"/>
      <c r="H1126" s="5"/>
      <c r="I1126" s="5" t="str">
        <f>"0x"&amp;BIN2HEX(CONCATENATE(C1131,D1131,E1131,F1131,G1131,H1131,I1131,J1131),2)&amp;BIN2HEX(CONCATENATE(K1131,L1131,M1131,N1131,O1131,P1131,Q1131,R1131),2)&amp;BIN2HEX(CONCATENATE(S1131,T1131,U1131,V1131,W1131,X1131,Y1131,Z1131),2)&amp;BIN2HEX(CONCATENATE(AA1131,AB1131,AC1131,AD1131,AE1131,AF1131,AG1131,AH1131),2)&amp;"_"&amp;BIN2HEX(CONCATENATE(C1135,D1135,E1135,F1135,G1135,H1135,I1135,J1135),2)&amp;BIN2HEX(CONCATENATE(K1135,L1135,M1135,N1135,O1135,P1135,Q1135,R1135),2)&amp;BIN2HEX(CONCATENATE(S1135,T1135,U1135,V1135,W1135,X1135,Y1135,Z1135),2)&amp;BIN2HEX(CONCATENATE(AA1135,AB1135,AC1135,AD1135,AE1135,AF1135,AG1135,AH1135),2)</f>
        <v>0x00000000_00080658</v>
      </c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6"/>
    </row>
    <row r="1127" spans="1:35" ht="15.75" thickBot="1" x14ac:dyDescent="0.3">
      <c r="A1127" s="3"/>
      <c r="B1127" s="5"/>
      <c r="C1127" s="7">
        <v>0</v>
      </c>
      <c r="D1127" s="7">
        <v>1</v>
      </c>
      <c r="E1127" s="7">
        <v>2</v>
      </c>
      <c r="F1127" s="7">
        <v>3</v>
      </c>
      <c r="G1127" s="7">
        <v>4</v>
      </c>
      <c r="H1127" s="7">
        <v>5</v>
      </c>
      <c r="I1127" s="7">
        <v>6</v>
      </c>
      <c r="J1127" s="7">
        <v>7</v>
      </c>
      <c r="K1127" s="7">
        <v>8</v>
      </c>
      <c r="L1127" s="7">
        <v>9</v>
      </c>
      <c r="M1127" s="7">
        <v>10</v>
      </c>
      <c r="N1127" s="7">
        <v>11</v>
      </c>
      <c r="O1127" s="7">
        <v>12</v>
      </c>
      <c r="P1127" s="7">
        <v>13</v>
      </c>
      <c r="Q1127" s="7">
        <v>14</v>
      </c>
      <c r="R1127" s="7">
        <v>15</v>
      </c>
      <c r="S1127" s="7">
        <v>16</v>
      </c>
      <c r="T1127" s="7">
        <v>17</v>
      </c>
      <c r="U1127" s="7">
        <v>18</v>
      </c>
      <c r="V1127" s="7">
        <v>19</v>
      </c>
      <c r="W1127" s="7">
        <v>20</v>
      </c>
      <c r="X1127" s="7">
        <v>21</v>
      </c>
      <c r="Y1127" s="7">
        <v>22</v>
      </c>
      <c r="Z1127" s="7">
        <v>23</v>
      </c>
      <c r="AA1127" s="7">
        <v>24</v>
      </c>
      <c r="AB1127" s="7">
        <v>25</v>
      </c>
      <c r="AC1127" s="7">
        <v>26</v>
      </c>
      <c r="AD1127" s="7">
        <v>27</v>
      </c>
      <c r="AE1127" s="7">
        <v>28</v>
      </c>
      <c r="AF1127" s="7">
        <v>29</v>
      </c>
      <c r="AG1127" s="7">
        <v>30</v>
      </c>
      <c r="AH1127" s="7">
        <v>31</v>
      </c>
      <c r="AI1127" s="6"/>
    </row>
    <row r="1128" spans="1:35" x14ac:dyDescent="0.25">
      <c r="A1128" s="3"/>
      <c r="B1128" s="5" t="s">
        <v>31</v>
      </c>
      <c r="C1128" s="328" t="s">
        <v>161</v>
      </c>
      <c r="D1128" s="330" t="s">
        <v>63</v>
      </c>
      <c r="E1128" s="331"/>
      <c r="F1128" s="331"/>
      <c r="G1128" s="331"/>
      <c r="H1128" s="331"/>
      <c r="I1128" s="331"/>
      <c r="J1128" s="332"/>
      <c r="K1128" s="336">
        <v>0</v>
      </c>
      <c r="L1128" s="337"/>
      <c r="M1128" s="337"/>
      <c r="N1128" s="337"/>
      <c r="O1128" s="337"/>
      <c r="P1128" s="337"/>
      <c r="Q1128" s="337"/>
      <c r="R1128" s="337"/>
      <c r="S1128" s="337"/>
      <c r="T1128" s="337"/>
      <c r="U1128" s="337"/>
      <c r="V1128" s="337"/>
      <c r="W1128" s="337"/>
      <c r="X1128" s="337"/>
      <c r="Y1128" s="337"/>
      <c r="Z1128" s="337"/>
      <c r="AA1128" s="337"/>
      <c r="AB1128" s="337"/>
      <c r="AC1128" s="337"/>
      <c r="AD1128" s="337"/>
      <c r="AE1128" s="337"/>
      <c r="AF1128" s="337"/>
      <c r="AG1128" s="337"/>
      <c r="AH1128" s="338"/>
      <c r="AI1128" s="6"/>
    </row>
    <row r="1129" spans="1:35" x14ac:dyDescent="0.25">
      <c r="A1129" s="3"/>
      <c r="B1129" s="5" t="s">
        <v>32</v>
      </c>
      <c r="C1129" s="329"/>
      <c r="D1129" s="333"/>
      <c r="E1129" s="334"/>
      <c r="F1129" s="334"/>
      <c r="G1129" s="334"/>
      <c r="H1129" s="334"/>
      <c r="I1129" s="334"/>
      <c r="J1129" s="335"/>
      <c r="K1129" s="339"/>
      <c r="L1129" s="340"/>
      <c r="M1129" s="340"/>
      <c r="N1129" s="340"/>
      <c r="O1129" s="340"/>
      <c r="P1129" s="340"/>
      <c r="Q1129" s="340"/>
      <c r="R1129" s="340"/>
      <c r="S1129" s="340"/>
      <c r="T1129" s="340"/>
      <c r="U1129" s="340"/>
      <c r="V1129" s="340"/>
      <c r="W1129" s="340"/>
      <c r="X1129" s="340"/>
      <c r="Y1129" s="340"/>
      <c r="Z1129" s="340"/>
      <c r="AA1129" s="340"/>
      <c r="AB1129" s="340"/>
      <c r="AC1129" s="340"/>
      <c r="AD1129" s="340"/>
      <c r="AE1129" s="340"/>
      <c r="AF1129" s="340"/>
      <c r="AG1129" s="340"/>
      <c r="AH1129" s="341"/>
      <c r="AI1129" s="6"/>
    </row>
    <row r="1130" spans="1:35" x14ac:dyDescent="0.25">
      <c r="A1130" s="3"/>
      <c r="B1130" s="5" t="s">
        <v>11</v>
      </c>
      <c r="C1130" s="56">
        <v>0</v>
      </c>
      <c r="D1130" s="57">
        <v>0</v>
      </c>
      <c r="E1130" s="57">
        <v>0</v>
      </c>
      <c r="F1130" s="57">
        <v>0</v>
      </c>
      <c r="G1130" s="57">
        <v>0</v>
      </c>
      <c r="H1130" s="57">
        <v>0</v>
      </c>
      <c r="I1130" s="57">
        <v>0</v>
      </c>
      <c r="J1130" s="57">
        <v>0</v>
      </c>
      <c r="K1130" s="57">
        <v>0</v>
      </c>
      <c r="L1130" s="57">
        <v>0</v>
      </c>
      <c r="M1130" s="57">
        <v>0</v>
      </c>
      <c r="N1130" s="57">
        <v>0</v>
      </c>
      <c r="O1130" s="57">
        <v>0</v>
      </c>
      <c r="P1130" s="57">
        <v>0</v>
      </c>
      <c r="Q1130" s="57">
        <v>0</v>
      </c>
      <c r="R1130" s="57">
        <v>0</v>
      </c>
      <c r="S1130" s="57">
        <v>0</v>
      </c>
      <c r="T1130" s="57">
        <v>0</v>
      </c>
      <c r="U1130" s="57">
        <v>0</v>
      </c>
      <c r="V1130" s="57">
        <v>0</v>
      </c>
      <c r="W1130" s="57">
        <v>0</v>
      </c>
      <c r="X1130" s="57">
        <v>0</v>
      </c>
      <c r="Y1130" s="57">
        <v>0</v>
      </c>
      <c r="Z1130" s="57">
        <v>0</v>
      </c>
      <c r="AA1130" s="57">
        <v>0</v>
      </c>
      <c r="AB1130" s="57">
        <v>0</v>
      </c>
      <c r="AC1130" s="57">
        <v>0</v>
      </c>
      <c r="AD1130" s="57">
        <v>0</v>
      </c>
      <c r="AE1130" s="57">
        <v>0</v>
      </c>
      <c r="AF1130" s="57">
        <v>0</v>
      </c>
      <c r="AG1130" s="57">
        <v>0</v>
      </c>
      <c r="AH1130" s="58">
        <v>0</v>
      </c>
      <c r="AI1130" s="6"/>
    </row>
    <row r="1131" spans="1:35" ht="15.75" thickBot="1" x14ac:dyDescent="0.3">
      <c r="A1131" s="3"/>
      <c r="B1131" s="5" t="s">
        <v>12</v>
      </c>
      <c r="C1131" s="145">
        <v>0</v>
      </c>
      <c r="D1131" s="88">
        <v>0</v>
      </c>
      <c r="E1131" s="88">
        <v>0</v>
      </c>
      <c r="F1131" s="88">
        <v>0</v>
      </c>
      <c r="G1131" s="88">
        <v>0</v>
      </c>
      <c r="H1131" s="88">
        <v>0</v>
      </c>
      <c r="I1131" s="88">
        <v>0</v>
      </c>
      <c r="J1131" s="88">
        <v>0</v>
      </c>
      <c r="K1131" s="62">
        <v>0</v>
      </c>
      <c r="L1131" s="62">
        <v>0</v>
      </c>
      <c r="M1131" s="62">
        <v>0</v>
      </c>
      <c r="N1131" s="62">
        <v>0</v>
      </c>
      <c r="O1131" s="62">
        <v>0</v>
      </c>
      <c r="P1131" s="62">
        <v>0</v>
      </c>
      <c r="Q1131" s="62">
        <v>0</v>
      </c>
      <c r="R1131" s="62">
        <v>0</v>
      </c>
      <c r="S1131" s="62">
        <v>0</v>
      </c>
      <c r="T1131" s="62">
        <v>0</v>
      </c>
      <c r="U1131" s="62">
        <v>0</v>
      </c>
      <c r="V1131" s="62">
        <v>0</v>
      </c>
      <c r="W1131" s="62">
        <v>0</v>
      </c>
      <c r="X1131" s="62">
        <v>0</v>
      </c>
      <c r="Y1131" s="62">
        <v>0</v>
      </c>
      <c r="Z1131" s="62">
        <v>0</v>
      </c>
      <c r="AA1131" s="62">
        <v>0</v>
      </c>
      <c r="AB1131" s="62">
        <v>0</v>
      </c>
      <c r="AC1131" s="62">
        <v>0</v>
      </c>
      <c r="AD1131" s="62">
        <v>0</v>
      </c>
      <c r="AE1131" s="62">
        <v>0</v>
      </c>
      <c r="AF1131" s="62">
        <v>0</v>
      </c>
      <c r="AG1131" s="62">
        <v>0</v>
      </c>
      <c r="AH1131" s="146">
        <v>0</v>
      </c>
      <c r="AI1131" s="6"/>
    </row>
    <row r="1132" spans="1:35" x14ac:dyDescent="0.25">
      <c r="A1132" s="3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6"/>
    </row>
    <row r="1133" spans="1:35" ht="15.75" thickBot="1" x14ac:dyDescent="0.3">
      <c r="A1133" s="3"/>
      <c r="B1133" s="5"/>
      <c r="C1133" s="7">
        <v>32</v>
      </c>
      <c r="D1133" s="7">
        <v>33</v>
      </c>
      <c r="E1133" s="7">
        <v>34</v>
      </c>
      <c r="F1133" s="7">
        <v>35</v>
      </c>
      <c r="G1133" s="7">
        <v>36</v>
      </c>
      <c r="H1133" s="7">
        <v>37</v>
      </c>
      <c r="I1133" s="7">
        <v>38</v>
      </c>
      <c r="J1133" s="7">
        <v>39</v>
      </c>
      <c r="K1133" s="7">
        <v>40</v>
      </c>
      <c r="L1133" s="7">
        <v>41</v>
      </c>
      <c r="M1133" s="7">
        <v>42</v>
      </c>
      <c r="N1133" s="7">
        <v>43</v>
      </c>
      <c r="O1133" s="7">
        <v>44</v>
      </c>
      <c r="P1133" s="7">
        <v>45</v>
      </c>
      <c r="Q1133" s="7">
        <v>46</v>
      </c>
      <c r="R1133" s="7">
        <v>47</v>
      </c>
      <c r="S1133" s="7">
        <v>48</v>
      </c>
      <c r="T1133" s="7">
        <v>49</v>
      </c>
      <c r="U1133" s="7">
        <v>50</v>
      </c>
      <c r="V1133" s="7">
        <v>51</v>
      </c>
      <c r="W1133" s="7">
        <v>52</v>
      </c>
      <c r="X1133" s="7">
        <v>53</v>
      </c>
      <c r="Y1133" s="7">
        <v>54</v>
      </c>
      <c r="Z1133" s="7">
        <v>55</v>
      </c>
      <c r="AA1133" s="7">
        <v>56</v>
      </c>
      <c r="AB1133" s="7">
        <v>57</v>
      </c>
      <c r="AC1133" s="7">
        <v>58</v>
      </c>
      <c r="AD1133" s="7">
        <v>59</v>
      </c>
      <c r="AE1133" s="7">
        <v>60</v>
      </c>
      <c r="AF1133" s="7">
        <v>61</v>
      </c>
      <c r="AG1133" s="7">
        <v>62</v>
      </c>
      <c r="AH1133" s="7">
        <v>63</v>
      </c>
      <c r="AI1133" s="6"/>
    </row>
    <row r="1134" spans="1:35" ht="15.75" thickBot="1" x14ac:dyDescent="0.3">
      <c r="A1134" s="3"/>
      <c r="B1134" s="5"/>
      <c r="C1134" s="147" t="s">
        <v>13</v>
      </c>
      <c r="D1134" s="148" t="s">
        <v>14</v>
      </c>
      <c r="E1134" s="148" t="s">
        <v>15</v>
      </c>
      <c r="F1134" s="148" t="s">
        <v>16</v>
      </c>
      <c r="G1134" s="148" t="s">
        <v>17</v>
      </c>
      <c r="H1134" s="148" t="s">
        <v>18</v>
      </c>
      <c r="I1134" s="148" t="s">
        <v>19</v>
      </c>
      <c r="J1134" s="148" t="s">
        <v>20</v>
      </c>
      <c r="K1134" s="148" t="s">
        <v>21</v>
      </c>
      <c r="L1134" s="148" t="s">
        <v>22</v>
      </c>
      <c r="M1134" s="148" t="s">
        <v>23</v>
      </c>
      <c r="N1134" s="148" t="s">
        <v>24</v>
      </c>
      <c r="O1134" s="148" t="s">
        <v>25</v>
      </c>
      <c r="P1134" s="148" t="s">
        <v>26</v>
      </c>
      <c r="Q1134" s="148" t="s">
        <v>27</v>
      </c>
      <c r="R1134" s="342" t="s">
        <v>30</v>
      </c>
      <c r="S1134" s="343"/>
      <c r="T1134" s="343"/>
      <c r="U1134" s="343"/>
      <c r="V1134" s="343"/>
      <c r="W1134" s="343"/>
      <c r="X1134" s="343"/>
      <c r="Y1134" s="343"/>
      <c r="Z1134" s="343"/>
      <c r="AA1134" s="343"/>
      <c r="AB1134" s="343"/>
      <c r="AC1134" s="343"/>
      <c r="AD1134" s="343"/>
      <c r="AE1134" s="343"/>
      <c r="AF1134" s="344"/>
      <c r="AG1134" s="67" t="s">
        <v>28</v>
      </c>
      <c r="AH1134" s="149" t="s">
        <v>29</v>
      </c>
      <c r="AI1134" s="6"/>
    </row>
    <row r="1135" spans="1:35" ht="15.75" thickBot="1" x14ac:dyDescent="0.3">
      <c r="A1135" s="3"/>
      <c r="B1135" s="5"/>
      <c r="C1135" s="150">
        <v>0</v>
      </c>
      <c r="D1135" s="151">
        <v>0</v>
      </c>
      <c r="E1135" s="151">
        <v>0</v>
      </c>
      <c r="F1135" s="151">
        <v>0</v>
      </c>
      <c r="G1135" s="151">
        <v>0</v>
      </c>
      <c r="H1135" s="151">
        <v>0</v>
      </c>
      <c r="I1135" s="151">
        <v>0</v>
      </c>
      <c r="J1135" s="151">
        <v>0</v>
      </c>
      <c r="K1135" s="151">
        <v>0</v>
      </c>
      <c r="L1135" s="151">
        <v>0</v>
      </c>
      <c r="M1135" s="151">
        <v>0</v>
      </c>
      <c r="N1135" s="151">
        <v>0</v>
      </c>
      <c r="O1135" s="151">
        <v>1</v>
      </c>
      <c r="P1135" s="151">
        <v>0</v>
      </c>
      <c r="Q1135" s="151">
        <v>0</v>
      </c>
      <c r="R1135" s="151">
        <v>0</v>
      </c>
      <c r="S1135" s="151">
        <v>0</v>
      </c>
      <c r="T1135" s="151">
        <v>0</v>
      </c>
      <c r="U1135" s="151">
        <v>0</v>
      </c>
      <c r="V1135" s="151">
        <v>0</v>
      </c>
      <c r="W1135" s="151">
        <v>0</v>
      </c>
      <c r="X1135" s="151">
        <v>1</v>
      </c>
      <c r="Y1135" s="151">
        <v>1</v>
      </c>
      <c r="Z1135" s="151">
        <v>0</v>
      </c>
      <c r="AA1135" s="151">
        <v>0</v>
      </c>
      <c r="AB1135" s="151">
        <v>1</v>
      </c>
      <c r="AC1135" s="151">
        <v>0</v>
      </c>
      <c r="AD1135" s="151">
        <v>1</v>
      </c>
      <c r="AE1135" s="151">
        <v>1</v>
      </c>
      <c r="AF1135" s="151">
        <v>0</v>
      </c>
      <c r="AG1135" s="151">
        <v>0</v>
      </c>
      <c r="AH1135" s="152">
        <v>0</v>
      </c>
      <c r="AI1135" s="6"/>
    </row>
    <row r="1136" spans="1:35" x14ac:dyDescent="0.25">
      <c r="A1136" s="3"/>
      <c r="B1136" s="4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6"/>
    </row>
    <row r="1137" spans="1:35" x14ac:dyDescent="0.25">
      <c r="A1137" s="3"/>
      <c r="B1137" s="8" t="s">
        <v>43</v>
      </c>
      <c r="C1137" s="9"/>
      <c r="D1137" s="9"/>
      <c r="E1137" s="9"/>
      <c r="F1137" s="44" t="s">
        <v>44</v>
      </c>
      <c r="G1137" s="44"/>
      <c r="H1137" s="44"/>
      <c r="I1137" s="9"/>
      <c r="J1137" s="45" t="s">
        <v>45</v>
      </c>
      <c r="K1137" s="45"/>
      <c r="L1137" s="45"/>
      <c r="M1137" s="45"/>
      <c r="N1137" s="9"/>
      <c r="O1137" s="46" t="s">
        <v>46</v>
      </c>
      <c r="P1137" s="46"/>
      <c r="Q1137" s="46"/>
      <c r="R1137" s="46"/>
      <c r="S1137" s="9"/>
      <c r="T1137" s="1" t="s">
        <v>49</v>
      </c>
      <c r="U1137" s="10" t="s">
        <v>48</v>
      </c>
      <c r="V1137" s="5"/>
      <c r="W1137" s="9"/>
      <c r="X1137" s="9"/>
      <c r="Y1137" s="9"/>
      <c r="Z1137" s="9"/>
      <c r="AA1137" s="9"/>
      <c r="AB1137" s="9"/>
      <c r="AC1137" s="9"/>
      <c r="AD1137" s="9"/>
      <c r="AE1137" s="9"/>
      <c r="AF1137" s="9"/>
      <c r="AG1137" s="9"/>
      <c r="AH1137" s="9"/>
      <c r="AI1137" s="6"/>
    </row>
    <row r="1138" spans="1:35" ht="15" customHeight="1" x14ac:dyDescent="0.25">
      <c r="A1138" s="3"/>
      <c r="B1138" s="42" t="str">
        <f>"0x"&amp;DEC2HEX(Sheet3!$I$4,8)</f>
        <v>0x00400320</v>
      </c>
      <c r="C1138" s="42"/>
      <c r="D1138" s="42"/>
      <c r="E1138" s="12"/>
      <c r="F1138" s="319" t="str">
        <f>"0x"&amp;BIN2HEX(CONCATENATE(C1131,D1131,E1131,F1131,G1131,H1131,I1131,J1131),2)&amp;BIN2HEX(CONCATENATE(K1131,L1131,M1131,N1131,O1131,P1131,Q1131,R1131),2)&amp;BIN2HEX(CONCATENATE(S1131,T1131,U1131,V1131,W1131,X1131,Y1131,Z1131),2)&amp;BIN2HEX(CONCATENATE(AA1131,AB1131,AC1131,AD1131,AE1131,AF1131,AG1131,AH1131),2)</f>
        <v>0x00000000</v>
      </c>
      <c r="G1138" s="319"/>
      <c r="H1138" s="319"/>
      <c r="I1138" s="12"/>
      <c r="J1138" s="319" t="str">
        <f>"0b"&amp;C1135&amp;D1135&amp;E1135&amp;F1135&amp;G1135&amp;H1135&amp;I1135&amp;J1135&amp;K1135&amp;L1135&amp;M1135&amp;N1135&amp;O1135&amp;P1135&amp;Q1135</f>
        <v>0b000000000000100</v>
      </c>
      <c r="K1138" s="319"/>
      <c r="L1138" s="319"/>
      <c r="M1138" s="319"/>
      <c r="N1138" s="12"/>
      <c r="O1138" s="319" t="str">
        <f>"0b"&amp;DEC2BIN(((AF1135+AE1135*2+AD1135*4+AC1135*8+AB1135*16+AA1135*32+Z1135*64+Y1135*128+X1135*256+W1135*512+V1135*1024+U1135*2048+T1135*4096+S1135*2^13+R1135*2^14)/512),6)&amp;DEC2BIN(MOD((AF1135+AE1135*2+AD1135*4+AC1135*8+AB1135*16+AA1135*32+Z1135*64+Y1135*128+X1135*256+W1135*512+V1135*1024+U1135*2048+T1135*4096+S1135*2^13+R1135*2^14),512),9)</f>
        <v>0b000000110010110</v>
      </c>
      <c r="P1138" s="319"/>
      <c r="Q1138" s="319"/>
      <c r="R1138" s="319"/>
      <c r="S1138" s="12"/>
      <c r="T1138" s="13">
        <v>0</v>
      </c>
      <c r="U1138" s="13">
        <f>AH1135</f>
        <v>0</v>
      </c>
      <c r="V1138" s="5"/>
      <c r="W1138" s="14"/>
      <c r="X1138" s="14"/>
      <c r="Y1138" s="14"/>
      <c r="Z1138" s="14"/>
      <c r="AA1138" s="14"/>
      <c r="AB1138" s="14"/>
      <c r="AC1138" s="14"/>
      <c r="AD1138" s="14"/>
      <c r="AE1138" s="14"/>
      <c r="AF1138" s="14"/>
      <c r="AG1138" s="14"/>
      <c r="AH1138" s="14"/>
      <c r="AI1138" s="6"/>
    </row>
    <row r="1139" spans="1:35" x14ac:dyDescent="0.25">
      <c r="A1139" s="3"/>
      <c r="B1139" s="42"/>
      <c r="C1139" s="42"/>
      <c r="D1139" s="42"/>
      <c r="E1139" s="15"/>
      <c r="F1139" s="43"/>
      <c r="G1139" s="43"/>
      <c r="H1139" s="43"/>
      <c r="I1139" s="15"/>
      <c r="J1139" s="42"/>
      <c r="K1139" s="42"/>
      <c r="L1139" s="42"/>
      <c r="M1139" s="42"/>
      <c r="N1139" s="15"/>
      <c r="O1139" s="42"/>
      <c r="P1139" s="42"/>
      <c r="Q1139" s="42"/>
      <c r="R1139" s="42"/>
      <c r="S1139" s="15"/>
      <c r="T1139" s="13"/>
      <c r="U1139" s="15"/>
      <c r="V1139" s="5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6"/>
    </row>
    <row r="1140" spans="1:35" x14ac:dyDescent="0.25">
      <c r="A1140" s="3"/>
      <c r="B1140" s="42"/>
      <c r="C1140" s="42"/>
      <c r="D1140" s="42"/>
      <c r="E1140" s="15"/>
      <c r="F1140" s="43"/>
      <c r="G1140" s="43"/>
      <c r="H1140" s="43"/>
      <c r="I1140" s="15"/>
      <c r="J1140" s="42"/>
      <c r="K1140" s="42"/>
      <c r="L1140" s="42"/>
      <c r="M1140" s="42"/>
      <c r="N1140" s="15"/>
      <c r="O1140" s="42"/>
      <c r="P1140" s="42"/>
      <c r="Q1140" s="42"/>
      <c r="R1140" s="42"/>
      <c r="S1140" s="15"/>
      <c r="T1140" s="13"/>
      <c r="U1140" s="15"/>
      <c r="V1140" s="5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6"/>
    </row>
    <row r="1141" spans="1:35" x14ac:dyDescent="0.25">
      <c r="A1141" s="3"/>
      <c r="B1141" s="5"/>
      <c r="C1141" s="5"/>
      <c r="D1141" s="5"/>
      <c r="E1141" s="5"/>
      <c r="F1141" s="17"/>
      <c r="G1141" s="17"/>
      <c r="H1141" s="17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6"/>
    </row>
    <row r="1142" spans="1:35" x14ac:dyDescent="0.25">
      <c r="A1142" s="3"/>
      <c r="B1142" s="5" t="s">
        <v>47</v>
      </c>
      <c r="C1142" s="18"/>
      <c r="D1142" s="18"/>
      <c r="E1142" s="18"/>
      <c r="F1142" s="5"/>
      <c r="G1142" s="5"/>
      <c r="H1142" s="5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  <c r="AB1142" s="18"/>
      <c r="AC1142" s="18"/>
      <c r="AD1142" s="18"/>
      <c r="AE1142" s="18"/>
      <c r="AF1142" s="18"/>
      <c r="AG1142" s="18"/>
      <c r="AH1142" s="18"/>
      <c r="AI1142" s="6"/>
    </row>
    <row r="1143" spans="1:35" ht="15" customHeight="1" x14ac:dyDescent="0.25">
      <c r="A1143" s="3"/>
      <c r="B1143" s="42" t="str">
        <f>"0x"&amp;DEC2HEX(Sheet3!$I$4,8)</f>
        <v>0x00400320</v>
      </c>
      <c r="C1143" s="42"/>
      <c r="D1143" s="42"/>
      <c r="E1143" s="16"/>
      <c r="F1143" s="322" t="str">
        <f>F1138&amp;BIN2HEX(MID(J1138,3,8),2)&amp;BIN2HEX(RIGHT(J1138,7)&amp;MID(O1138,3,1),2)&amp;BIN2HEX(MID(O1138,4,8),2)&amp;BIN2HEX(RIGHT(O1138,6)&amp;T1138&amp;U1138,2)</f>
        <v>0x0000000000080658</v>
      </c>
      <c r="G1143" s="322"/>
      <c r="H1143" s="322"/>
      <c r="I1143" s="322"/>
      <c r="J1143" s="5"/>
      <c r="K1143" s="5"/>
      <c r="L1143" s="5"/>
      <c r="M1143" s="5"/>
      <c r="N1143" s="5"/>
      <c r="O1143" s="5"/>
      <c r="P1143" s="16"/>
      <c r="Q1143" s="16"/>
      <c r="R1143" s="19"/>
      <c r="S1143" s="19"/>
      <c r="T1143" s="19"/>
      <c r="U1143" s="19"/>
      <c r="V1143" s="19"/>
      <c r="W1143" s="19"/>
      <c r="X1143" s="19"/>
      <c r="Y1143" s="19"/>
      <c r="Z1143" s="19"/>
      <c r="AA1143" s="19"/>
      <c r="AB1143" s="19"/>
      <c r="AC1143" s="19"/>
      <c r="AD1143" s="19"/>
      <c r="AE1143" s="19"/>
      <c r="AF1143" s="19"/>
      <c r="AG1143" s="5"/>
      <c r="AH1143" s="5"/>
      <c r="AI1143" s="6"/>
    </row>
    <row r="1144" spans="1:35" x14ac:dyDescent="0.25">
      <c r="A1144" s="3"/>
      <c r="B1144" s="37"/>
      <c r="C1144" s="37"/>
      <c r="D1144" s="37"/>
      <c r="E1144" s="5"/>
      <c r="F1144" s="38"/>
      <c r="G1144" s="38"/>
      <c r="H1144" s="38"/>
      <c r="I1144" s="38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6"/>
    </row>
    <row r="1145" spans="1:35" x14ac:dyDescent="0.25">
      <c r="A1145" s="3"/>
      <c r="B1145" s="37"/>
      <c r="C1145" s="37"/>
      <c r="D1145" s="37"/>
      <c r="E1145" s="5"/>
      <c r="F1145" s="38"/>
      <c r="G1145" s="38"/>
      <c r="H1145" s="38"/>
      <c r="I1145" s="38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6"/>
    </row>
    <row r="1146" spans="1:35" x14ac:dyDescent="0.25">
      <c r="A1146" s="20"/>
      <c r="B1146" s="21"/>
      <c r="C1146" s="21"/>
      <c r="D1146" s="21"/>
      <c r="E1146" s="21"/>
      <c r="F1146" s="21"/>
      <c r="G1146" s="21"/>
      <c r="H1146" s="21"/>
      <c r="I1146" s="21"/>
      <c r="J1146" s="21"/>
      <c r="K1146" s="21"/>
      <c r="L1146" s="21"/>
      <c r="M1146" s="21"/>
      <c r="N1146" s="21"/>
      <c r="O1146" s="22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  <c r="AF1146" s="21"/>
      <c r="AG1146" s="21"/>
      <c r="AH1146" s="21"/>
      <c r="AI1146" s="23"/>
    </row>
    <row r="1147" spans="1:35" x14ac:dyDescent="0.25">
      <c r="A1147" s="24"/>
      <c r="B1147" s="28"/>
      <c r="C1147" s="25"/>
      <c r="D1147" s="25"/>
      <c r="E1147" s="25"/>
      <c r="F1147" s="25"/>
      <c r="G1147" s="25"/>
      <c r="H1147" s="25"/>
      <c r="I1147" s="25"/>
      <c r="J1147" s="25"/>
      <c r="K1147" s="25"/>
      <c r="L1147" s="25"/>
      <c r="M1147" s="25"/>
      <c r="N1147" s="25"/>
      <c r="O1147" s="25"/>
      <c r="P1147" s="25"/>
      <c r="Q1147" s="25"/>
      <c r="R1147" s="25"/>
      <c r="S1147" s="25"/>
      <c r="T1147" s="25"/>
      <c r="U1147" s="25"/>
      <c r="V1147" s="25"/>
      <c r="W1147" s="25"/>
      <c r="X1147" s="25"/>
      <c r="Y1147" s="25"/>
      <c r="Z1147" s="25"/>
      <c r="AA1147" s="25"/>
      <c r="AB1147" s="25"/>
      <c r="AC1147" s="25"/>
      <c r="AD1147" s="25"/>
      <c r="AE1147" s="25"/>
      <c r="AF1147" s="25"/>
      <c r="AG1147" s="25"/>
      <c r="AH1147" s="25"/>
      <c r="AI1147" s="26"/>
    </row>
    <row r="1148" spans="1:35" x14ac:dyDescent="0.25">
      <c r="A1148" s="3"/>
      <c r="B1148" s="4" t="s">
        <v>184</v>
      </c>
      <c r="C1148" s="5"/>
      <c r="D1148" s="5"/>
      <c r="E1148" s="5"/>
      <c r="F1148" s="5"/>
      <c r="G1148" s="5"/>
      <c r="H1148" s="5"/>
      <c r="I1148" s="5" t="str">
        <f>"0x"&amp;BIN2HEX(CONCATENATE(C1153,D1153,E1153,F1153,G1153,H1153,I1153,J1153),2)&amp;BIN2HEX(CONCATENATE(K1153,L1153,M1153,N1153,O1153,P1153,Q1153,R1153),2)&amp;BIN2HEX(CONCATENATE(S1153,T1153,U1153,V1153,W1153,X1153,Y1153,Z1153),2)&amp;BIN2HEX(CONCATENATE(AA1153,AB1153,AC1153,AD1153,AE1153,AF1153,AG1153,AH1153),2)&amp;"_"&amp;BIN2HEX(CONCATENATE(C1157,D1157,E1157,F1157,G1157,H1157,I1157,J1157),2)&amp;BIN2HEX(CONCATENATE(K1157,L1157,M1157,N1157,O1157,P1157,Q1157,R1157),2)&amp;BIN2HEX(CONCATENATE(S1157,T1157,U1157,V1157,W1157,X1157,Y1157,Z1157),2)&amp;BIN2HEX(CONCATENATE(AA1157,AB1157,AC1157,AD1157,AE1157,AF1157,AG1157,AH1157),2)</f>
        <v>0x00000000_0008065C</v>
      </c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6"/>
    </row>
    <row r="1149" spans="1:35" ht="15.75" thickBot="1" x14ac:dyDescent="0.3">
      <c r="A1149" s="3"/>
      <c r="B1149" s="5"/>
      <c r="C1149" s="7">
        <v>0</v>
      </c>
      <c r="D1149" s="7">
        <v>1</v>
      </c>
      <c r="E1149" s="7">
        <v>2</v>
      </c>
      <c r="F1149" s="7">
        <v>3</v>
      </c>
      <c r="G1149" s="7">
        <v>4</v>
      </c>
      <c r="H1149" s="7">
        <v>5</v>
      </c>
      <c r="I1149" s="7">
        <v>6</v>
      </c>
      <c r="J1149" s="7">
        <v>7</v>
      </c>
      <c r="K1149" s="7">
        <v>8</v>
      </c>
      <c r="L1149" s="7">
        <v>9</v>
      </c>
      <c r="M1149" s="7">
        <v>10</v>
      </c>
      <c r="N1149" s="7">
        <v>11</v>
      </c>
      <c r="O1149" s="7">
        <v>12</v>
      </c>
      <c r="P1149" s="7">
        <v>13</v>
      </c>
      <c r="Q1149" s="7">
        <v>14</v>
      </c>
      <c r="R1149" s="7">
        <v>15</v>
      </c>
      <c r="S1149" s="7">
        <v>16</v>
      </c>
      <c r="T1149" s="7">
        <v>17</v>
      </c>
      <c r="U1149" s="7">
        <v>18</v>
      </c>
      <c r="V1149" s="7">
        <v>19</v>
      </c>
      <c r="W1149" s="7">
        <v>20</v>
      </c>
      <c r="X1149" s="7">
        <v>21</v>
      </c>
      <c r="Y1149" s="7">
        <v>22</v>
      </c>
      <c r="Z1149" s="7">
        <v>23</v>
      </c>
      <c r="AA1149" s="7">
        <v>24</v>
      </c>
      <c r="AB1149" s="7">
        <v>25</v>
      </c>
      <c r="AC1149" s="7">
        <v>26</v>
      </c>
      <c r="AD1149" s="7">
        <v>27</v>
      </c>
      <c r="AE1149" s="7">
        <v>28</v>
      </c>
      <c r="AF1149" s="7">
        <v>29</v>
      </c>
      <c r="AG1149" s="7">
        <v>30</v>
      </c>
      <c r="AH1149" s="7">
        <v>31</v>
      </c>
      <c r="AI1149" s="6"/>
    </row>
    <row r="1150" spans="1:35" x14ac:dyDescent="0.25">
      <c r="A1150" s="3"/>
      <c r="B1150" s="5" t="s">
        <v>31</v>
      </c>
      <c r="C1150" s="328" t="s">
        <v>161</v>
      </c>
      <c r="D1150" s="330" t="s">
        <v>63</v>
      </c>
      <c r="E1150" s="331"/>
      <c r="F1150" s="331"/>
      <c r="G1150" s="331"/>
      <c r="H1150" s="331"/>
      <c r="I1150" s="331"/>
      <c r="J1150" s="332"/>
      <c r="K1150" s="336">
        <v>0</v>
      </c>
      <c r="L1150" s="337"/>
      <c r="M1150" s="337"/>
      <c r="N1150" s="337"/>
      <c r="O1150" s="337"/>
      <c r="P1150" s="337"/>
      <c r="Q1150" s="337"/>
      <c r="R1150" s="337"/>
      <c r="S1150" s="337"/>
      <c r="T1150" s="337"/>
      <c r="U1150" s="337"/>
      <c r="V1150" s="337"/>
      <c r="W1150" s="337"/>
      <c r="X1150" s="337"/>
      <c r="Y1150" s="337"/>
      <c r="Z1150" s="337"/>
      <c r="AA1150" s="337"/>
      <c r="AB1150" s="337"/>
      <c r="AC1150" s="337"/>
      <c r="AD1150" s="337"/>
      <c r="AE1150" s="337"/>
      <c r="AF1150" s="337"/>
      <c r="AG1150" s="337"/>
      <c r="AH1150" s="338"/>
      <c r="AI1150" s="6"/>
    </row>
    <row r="1151" spans="1:35" x14ac:dyDescent="0.25">
      <c r="A1151" s="3"/>
      <c r="B1151" s="5" t="s">
        <v>32</v>
      </c>
      <c r="C1151" s="329"/>
      <c r="D1151" s="333"/>
      <c r="E1151" s="334"/>
      <c r="F1151" s="334"/>
      <c r="G1151" s="334"/>
      <c r="H1151" s="334"/>
      <c r="I1151" s="334"/>
      <c r="J1151" s="335"/>
      <c r="K1151" s="339"/>
      <c r="L1151" s="340"/>
      <c r="M1151" s="340"/>
      <c r="N1151" s="340"/>
      <c r="O1151" s="340"/>
      <c r="P1151" s="340"/>
      <c r="Q1151" s="340"/>
      <c r="R1151" s="340"/>
      <c r="S1151" s="340"/>
      <c r="T1151" s="340"/>
      <c r="U1151" s="340"/>
      <c r="V1151" s="340"/>
      <c r="W1151" s="340"/>
      <c r="X1151" s="340"/>
      <c r="Y1151" s="340"/>
      <c r="Z1151" s="340"/>
      <c r="AA1151" s="340"/>
      <c r="AB1151" s="340"/>
      <c r="AC1151" s="340"/>
      <c r="AD1151" s="340"/>
      <c r="AE1151" s="340"/>
      <c r="AF1151" s="340"/>
      <c r="AG1151" s="340"/>
      <c r="AH1151" s="341"/>
      <c r="AI1151" s="6"/>
    </row>
    <row r="1152" spans="1:35" x14ac:dyDescent="0.25">
      <c r="A1152" s="3"/>
      <c r="B1152" s="5" t="s">
        <v>11</v>
      </c>
      <c r="C1152" s="56">
        <v>0</v>
      </c>
      <c r="D1152" s="57">
        <v>0</v>
      </c>
      <c r="E1152" s="57">
        <v>0</v>
      </c>
      <c r="F1152" s="57">
        <v>0</v>
      </c>
      <c r="G1152" s="57">
        <v>0</v>
      </c>
      <c r="H1152" s="57">
        <v>0</v>
      </c>
      <c r="I1152" s="57">
        <v>0</v>
      </c>
      <c r="J1152" s="57">
        <v>0</v>
      </c>
      <c r="K1152" s="57">
        <v>0</v>
      </c>
      <c r="L1152" s="57">
        <v>0</v>
      </c>
      <c r="M1152" s="57">
        <v>0</v>
      </c>
      <c r="N1152" s="57">
        <v>0</v>
      </c>
      <c r="O1152" s="57">
        <v>0</v>
      </c>
      <c r="P1152" s="57">
        <v>0</v>
      </c>
      <c r="Q1152" s="57">
        <v>0</v>
      </c>
      <c r="R1152" s="57">
        <v>0</v>
      </c>
      <c r="S1152" s="57">
        <v>0</v>
      </c>
      <c r="T1152" s="57">
        <v>0</v>
      </c>
      <c r="U1152" s="57">
        <v>0</v>
      </c>
      <c r="V1152" s="57">
        <v>0</v>
      </c>
      <c r="W1152" s="57">
        <v>0</v>
      </c>
      <c r="X1152" s="57">
        <v>0</v>
      </c>
      <c r="Y1152" s="57">
        <v>0</v>
      </c>
      <c r="Z1152" s="57">
        <v>0</v>
      </c>
      <c r="AA1152" s="57">
        <v>0</v>
      </c>
      <c r="AB1152" s="57">
        <v>0</v>
      </c>
      <c r="AC1152" s="57">
        <v>0</v>
      </c>
      <c r="AD1152" s="57">
        <v>0</v>
      </c>
      <c r="AE1152" s="57">
        <v>0</v>
      </c>
      <c r="AF1152" s="57">
        <v>0</v>
      </c>
      <c r="AG1152" s="57">
        <v>0</v>
      </c>
      <c r="AH1152" s="58">
        <v>0</v>
      </c>
      <c r="AI1152" s="6"/>
    </row>
    <row r="1153" spans="1:35" ht="15.75" thickBot="1" x14ac:dyDescent="0.3">
      <c r="A1153" s="3"/>
      <c r="B1153" s="5" t="s">
        <v>12</v>
      </c>
      <c r="C1153" s="145">
        <v>0</v>
      </c>
      <c r="D1153" s="88">
        <v>0</v>
      </c>
      <c r="E1153" s="88">
        <v>0</v>
      </c>
      <c r="F1153" s="88">
        <v>0</v>
      </c>
      <c r="G1153" s="88">
        <v>0</v>
      </c>
      <c r="H1153" s="88">
        <v>0</v>
      </c>
      <c r="I1153" s="88">
        <v>0</v>
      </c>
      <c r="J1153" s="88">
        <v>0</v>
      </c>
      <c r="K1153" s="62">
        <v>0</v>
      </c>
      <c r="L1153" s="62">
        <v>0</v>
      </c>
      <c r="M1153" s="62">
        <v>0</v>
      </c>
      <c r="N1153" s="62">
        <v>0</v>
      </c>
      <c r="O1153" s="62">
        <v>0</v>
      </c>
      <c r="P1153" s="62">
        <v>0</v>
      </c>
      <c r="Q1153" s="62">
        <v>0</v>
      </c>
      <c r="R1153" s="62">
        <v>0</v>
      </c>
      <c r="S1153" s="62">
        <v>0</v>
      </c>
      <c r="T1153" s="62">
        <v>0</v>
      </c>
      <c r="U1153" s="62">
        <v>0</v>
      </c>
      <c r="V1153" s="62">
        <v>0</v>
      </c>
      <c r="W1153" s="62">
        <v>0</v>
      </c>
      <c r="X1153" s="62">
        <v>0</v>
      </c>
      <c r="Y1153" s="62">
        <v>0</v>
      </c>
      <c r="Z1153" s="62">
        <v>0</v>
      </c>
      <c r="AA1153" s="62">
        <v>0</v>
      </c>
      <c r="AB1153" s="62">
        <v>0</v>
      </c>
      <c r="AC1153" s="62">
        <v>0</v>
      </c>
      <c r="AD1153" s="62">
        <v>0</v>
      </c>
      <c r="AE1153" s="62">
        <v>0</v>
      </c>
      <c r="AF1153" s="62">
        <v>0</v>
      </c>
      <c r="AG1153" s="62">
        <v>0</v>
      </c>
      <c r="AH1153" s="146">
        <v>0</v>
      </c>
      <c r="AI1153" s="6"/>
    </row>
    <row r="1154" spans="1:35" x14ac:dyDescent="0.25">
      <c r="A1154" s="3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6"/>
    </row>
    <row r="1155" spans="1:35" ht="15.75" thickBot="1" x14ac:dyDescent="0.3">
      <c r="A1155" s="3"/>
      <c r="B1155" s="5"/>
      <c r="C1155" s="7">
        <v>32</v>
      </c>
      <c r="D1155" s="7">
        <v>33</v>
      </c>
      <c r="E1155" s="7">
        <v>34</v>
      </c>
      <c r="F1155" s="7">
        <v>35</v>
      </c>
      <c r="G1155" s="7">
        <v>36</v>
      </c>
      <c r="H1155" s="7">
        <v>37</v>
      </c>
      <c r="I1155" s="7">
        <v>38</v>
      </c>
      <c r="J1155" s="7">
        <v>39</v>
      </c>
      <c r="K1155" s="7">
        <v>40</v>
      </c>
      <c r="L1155" s="7">
        <v>41</v>
      </c>
      <c r="M1155" s="7">
        <v>42</v>
      </c>
      <c r="N1155" s="7">
        <v>43</v>
      </c>
      <c r="O1155" s="7">
        <v>44</v>
      </c>
      <c r="P1155" s="7">
        <v>45</v>
      </c>
      <c r="Q1155" s="7">
        <v>46</v>
      </c>
      <c r="R1155" s="7">
        <v>47</v>
      </c>
      <c r="S1155" s="7">
        <v>48</v>
      </c>
      <c r="T1155" s="7">
        <v>49</v>
      </c>
      <c r="U1155" s="7">
        <v>50</v>
      </c>
      <c r="V1155" s="7">
        <v>51</v>
      </c>
      <c r="W1155" s="7">
        <v>52</v>
      </c>
      <c r="X1155" s="7">
        <v>53</v>
      </c>
      <c r="Y1155" s="7">
        <v>54</v>
      </c>
      <c r="Z1155" s="7">
        <v>55</v>
      </c>
      <c r="AA1155" s="7">
        <v>56</v>
      </c>
      <c r="AB1155" s="7">
        <v>57</v>
      </c>
      <c r="AC1155" s="7">
        <v>58</v>
      </c>
      <c r="AD1155" s="7">
        <v>59</v>
      </c>
      <c r="AE1155" s="7">
        <v>60</v>
      </c>
      <c r="AF1155" s="7">
        <v>61</v>
      </c>
      <c r="AG1155" s="7">
        <v>62</v>
      </c>
      <c r="AH1155" s="7">
        <v>63</v>
      </c>
      <c r="AI1155" s="6"/>
    </row>
    <row r="1156" spans="1:35" ht="15.75" thickBot="1" x14ac:dyDescent="0.3">
      <c r="A1156" s="3"/>
      <c r="B1156" s="5"/>
      <c r="C1156" s="147" t="s">
        <v>13</v>
      </c>
      <c r="D1156" s="148" t="s">
        <v>14</v>
      </c>
      <c r="E1156" s="148" t="s">
        <v>15</v>
      </c>
      <c r="F1156" s="148" t="s">
        <v>16</v>
      </c>
      <c r="G1156" s="148" t="s">
        <v>17</v>
      </c>
      <c r="H1156" s="148" t="s">
        <v>18</v>
      </c>
      <c r="I1156" s="148" t="s">
        <v>19</v>
      </c>
      <c r="J1156" s="148" t="s">
        <v>20</v>
      </c>
      <c r="K1156" s="148" t="s">
        <v>21</v>
      </c>
      <c r="L1156" s="148" t="s">
        <v>22</v>
      </c>
      <c r="M1156" s="148" t="s">
        <v>23</v>
      </c>
      <c r="N1156" s="148" t="s">
        <v>24</v>
      </c>
      <c r="O1156" s="148" t="s">
        <v>25</v>
      </c>
      <c r="P1156" s="148" t="s">
        <v>26</v>
      </c>
      <c r="Q1156" s="148" t="s">
        <v>27</v>
      </c>
      <c r="R1156" s="342" t="s">
        <v>30</v>
      </c>
      <c r="S1156" s="343"/>
      <c r="T1156" s="343"/>
      <c r="U1156" s="343"/>
      <c r="V1156" s="343"/>
      <c r="W1156" s="343"/>
      <c r="X1156" s="343"/>
      <c r="Y1156" s="343"/>
      <c r="Z1156" s="343"/>
      <c r="AA1156" s="343"/>
      <c r="AB1156" s="343"/>
      <c r="AC1156" s="343"/>
      <c r="AD1156" s="343"/>
      <c r="AE1156" s="343"/>
      <c r="AF1156" s="344"/>
      <c r="AG1156" s="67" t="s">
        <v>28</v>
      </c>
      <c r="AH1156" s="149" t="s">
        <v>29</v>
      </c>
      <c r="AI1156" s="6"/>
    </row>
    <row r="1157" spans="1:35" ht="15.75" thickBot="1" x14ac:dyDescent="0.3">
      <c r="A1157" s="3"/>
      <c r="B1157" s="5"/>
      <c r="C1157" s="150">
        <v>0</v>
      </c>
      <c r="D1157" s="151">
        <v>0</v>
      </c>
      <c r="E1157" s="151">
        <v>0</v>
      </c>
      <c r="F1157" s="151">
        <v>0</v>
      </c>
      <c r="G1157" s="151">
        <v>0</v>
      </c>
      <c r="H1157" s="151">
        <v>0</v>
      </c>
      <c r="I1157" s="151">
        <v>0</v>
      </c>
      <c r="J1157" s="151">
        <v>0</v>
      </c>
      <c r="K1157" s="151">
        <v>0</v>
      </c>
      <c r="L1157" s="151">
        <v>0</v>
      </c>
      <c r="M1157" s="151">
        <v>0</v>
      </c>
      <c r="N1157" s="151">
        <v>0</v>
      </c>
      <c r="O1157" s="151">
        <v>1</v>
      </c>
      <c r="P1157" s="151">
        <v>0</v>
      </c>
      <c r="Q1157" s="151">
        <v>0</v>
      </c>
      <c r="R1157" s="151">
        <v>0</v>
      </c>
      <c r="S1157" s="151">
        <v>0</v>
      </c>
      <c r="T1157" s="151">
        <v>0</v>
      </c>
      <c r="U1157" s="151">
        <v>0</v>
      </c>
      <c r="V1157" s="151">
        <v>0</v>
      </c>
      <c r="W1157" s="151">
        <v>0</v>
      </c>
      <c r="X1157" s="151">
        <v>1</v>
      </c>
      <c r="Y1157" s="151">
        <v>1</v>
      </c>
      <c r="Z1157" s="151">
        <v>0</v>
      </c>
      <c r="AA1157" s="151">
        <v>0</v>
      </c>
      <c r="AB1157" s="151">
        <v>1</v>
      </c>
      <c r="AC1157" s="151">
        <v>0</v>
      </c>
      <c r="AD1157" s="151">
        <v>1</v>
      </c>
      <c r="AE1157" s="151">
        <v>1</v>
      </c>
      <c r="AF1157" s="151">
        <v>1</v>
      </c>
      <c r="AG1157" s="151">
        <v>0</v>
      </c>
      <c r="AH1157" s="152">
        <v>0</v>
      </c>
      <c r="AI1157" s="6"/>
    </row>
    <row r="1158" spans="1:35" x14ac:dyDescent="0.25">
      <c r="A1158" s="3"/>
      <c r="B1158" s="4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6"/>
    </row>
    <row r="1159" spans="1:35" x14ac:dyDescent="0.25">
      <c r="A1159" s="3"/>
      <c r="B1159" s="8" t="s">
        <v>43</v>
      </c>
      <c r="C1159" s="9"/>
      <c r="D1159" s="9"/>
      <c r="E1159" s="9"/>
      <c r="F1159" s="44" t="s">
        <v>44</v>
      </c>
      <c r="G1159" s="44"/>
      <c r="H1159" s="44"/>
      <c r="I1159" s="9"/>
      <c r="J1159" s="45" t="s">
        <v>45</v>
      </c>
      <c r="K1159" s="45"/>
      <c r="L1159" s="45"/>
      <c r="M1159" s="45"/>
      <c r="N1159" s="9"/>
      <c r="O1159" s="46" t="s">
        <v>46</v>
      </c>
      <c r="P1159" s="46"/>
      <c r="Q1159" s="46"/>
      <c r="R1159" s="46"/>
      <c r="S1159" s="9"/>
      <c r="T1159" s="1" t="s">
        <v>49</v>
      </c>
      <c r="U1159" s="10" t="s">
        <v>48</v>
      </c>
      <c r="V1159" s="5"/>
      <c r="W1159" s="9"/>
      <c r="X1159" s="9"/>
      <c r="Y1159" s="9"/>
      <c r="Z1159" s="9"/>
      <c r="AA1159" s="9"/>
      <c r="AB1159" s="9"/>
      <c r="AC1159" s="9"/>
      <c r="AD1159" s="9"/>
      <c r="AE1159" s="9"/>
      <c r="AF1159" s="9"/>
      <c r="AG1159" s="9"/>
      <c r="AH1159" s="9"/>
      <c r="AI1159" s="6"/>
    </row>
    <row r="1160" spans="1:35" ht="15" customHeight="1" x14ac:dyDescent="0.25">
      <c r="A1160" s="3"/>
      <c r="B1160" s="42" t="str">
        <f>"0x"&amp;DEC2HEX(Sheet3!$I$4,8)</f>
        <v>0x00400320</v>
      </c>
      <c r="C1160" s="42"/>
      <c r="D1160" s="42"/>
      <c r="E1160" s="12"/>
      <c r="F1160" s="319" t="str">
        <f>"0x"&amp;BIN2HEX(CONCATENATE(C1153,D1153,E1153,F1153,G1153,H1153,I1153,J1153),2)&amp;BIN2HEX(CONCATENATE(K1153,L1153,M1153,N1153,O1153,P1153,Q1153,R1153),2)&amp;BIN2HEX(CONCATENATE(S1153,T1153,U1153,V1153,W1153,X1153,Y1153,Z1153),2)&amp;BIN2HEX(CONCATENATE(AA1153,AB1153,AC1153,AD1153,AE1153,AF1153,AG1153,AH1153),2)</f>
        <v>0x00000000</v>
      </c>
      <c r="G1160" s="319"/>
      <c r="H1160" s="319"/>
      <c r="I1160" s="12"/>
      <c r="J1160" s="319" t="str">
        <f>"0b"&amp;C1157&amp;D1157&amp;E1157&amp;F1157&amp;G1157&amp;H1157&amp;I1157&amp;J1157&amp;K1157&amp;L1157&amp;M1157&amp;N1157&amp;O1157&amp;P1157&amp;Q1157</f>
        <v>0b000000000000100</v>
      </c>
      <c r="K1160" s="319"/>
      <c r="L1160" s="319"/>
      <c r="M1160" s="319"/>
      <c r="N1160" s="12"/>
      <c r="O1160" s="319" t="str">
        <f>"0b"&amp;DEC2BIN(((AF1157+AE1157*2+AD1157*4+AC1157*8+AB1157*16+AA1157*32+Z1157*64+Y1157*128+X1157*256+W1157*512+V1157*1024+U1157*2048+T1157*4096+S1157*2^13+R1157*2^14)/512),6)&amp;DEC2BIN(MOD((AF1157+AE1157*2+AD1157*4+AC1157*8+AB1157*16+AA1157*32+Z1157*64+Y1157*128+X1157*256+W1157*512+V1157*1024+U1157*2048+T1157*4096+S1157*2^13+R1157*2^14),512),9)</f>
        <v>0b000000110010111</v>
      </c>
      <c r="P1160" s="319"/>
      <c r="Q1160" s="319"/>
      <c r="R1160" s="319"/>
      <c r="S1160" s="12"/>
      <c r="T1160" s="13">
        <v>0</v>
      </c>
      <c r="U1160" s="13">
        <f>AH1157</f>
        <v>0</v>
      </c>
      <c r="V1160" s="5"/>
      <c r="W1160" s="14"/>
      <c r="X1160" s="14"/>
      <c r="Y1160" s="14"/>
      <c r="Z1160" s="14"/>
      <c r="AA1160" s="14"/>
      <c r="AB1160" s="14"/>
      <c r="AC1160" s="14"/>
      <c r="AD1160" s="14"/>
      <c r="AE1160" s="14"/>
      <c r="AF1160" s="14"/>
      <c r="AG1160" s="14"/>
      <c r="AH1160" s="14"/>
      <c r="AI1160" s="6"/>
    </row>
    <row r="1161" spans="1:35" x14ac:dyDescent="0.25">
      <c r="A1161" s="3"/>
      <c r="B1161" s="42"/>
      <c r="C1161" s="42"/>
      <c r="D1161" s="42"/>
      <c r="E1161" s="15"/>
      <c r="F1161" s="43"/>
      <c r="G1161" s="43"/>
      <c r="H1161" s="43"/>
      <c r="I1161" s="15"/>
      <c r="J1161" s="42"/>
      <c r="K1161" s="42"/>
      <c r="L1161" s="42"/>
      <c r="M1161" s="42"/>
      <c r="N1161" s="15"/>
      <c r="O1161" s="42"/>
      <c r="P1161" s="42"/>
      <c r="Q1161" s="42"/>
      <c r="R1161" s="42"/>
      <c r="S1161" s="15"/>
      <c r="T1161" s="13"/>
      <c r="U1161" s="15"/>
      <c r="V1161" s="5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6"/>
    </row>
    <row r="1162" spans="1:35" x14ac:dyDescent="0.25">
      <c r="A1162" s="3"/>
      <c r="B1162" s="42"/>
      <c r="C1162" s="42"/>
      <c r="D1162" s="42"/>
      <c r="E1162" s="15"/>
      <c r="F1162" s="43"/>
      <c r="G1162" s="43"/>
      <c r="H1162" s="43"/>
      <c r="I1162" s="15"/>
      <c r="J1162" s="42"/>
      <c r="K1162" s="42"/>
      <c r="L1162" s="42"/>
      <c r="M1162" s="42"/>
      <c r="N1162" s="15"/>
      <c r="O1162" s="42"/>
      <c r="P1162" s="42"/>
      <c r="Q1162" s="42"/>
      <c r="R1162" s="42"/>
      <c r="S1162" s="15"/>
      <c r="T1162" s="13"/>
      <c r="U1162" s="15"/>
      <c r="V1162" s="5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6"/>
    </row>
    <row r="1163" spans="1:35" x14ac:dyDescent="0.25">
      <c r="A1163" s="3"/>
      <c r="B1163" s="5"/>
      <c r="C1163" s="5"/>
      <c r="D1163" s="5"/>
      <c r="E1163" s="5"/>
      <c r="F1163" s="17"/>
      <c r="G1163" s="17"/>
      <c r="H1163" s="17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6"/>
    </row>
    <row r="1164" spans="1:35" x14ac:dyDescent="0.25">
      <c r="A1164" s="3"/>
      <c r="B1164" s="5" t="s">
        <v>47</v>
      </c>
      <c r="C1164" s="18"/>
      <c r="D1164" s="18"/>
      <c r="E1164" s="18"/>
      <c r="F1164" s="5"/>
      <c r="G1164" s="5"/>
      <c r="H1164" s="5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  <c r="AB1164" s="18"/>
      <c r="AC1164" s="18"/>
      <c r="AD1164" s="18"/>
      <c r="AE1164" s="18"/>
      <c r="AF1164" s="18"/>
      <c r="AG1164" s="18"/>
      <c r="AH1164" s="18"/>
      <c r="AI1164" s="6"/>
    </row>
    <row r="1165" spans="1:35" ht="15" customHeight="1" x14ac:dyDescent="0.25">
      <c r="A1165" s="3"/>
      <c r="B1165" s="42" t="str">
        <f>"0x"&amp;DEC2HEX(Sheet3!$I$4,8)</f>
        <v>0x00400320</v>
      </c>
      <c r="C1165" s="42"/>
      <c r="D1165" s="42"/>
      <c r="E1165" s="16"/>
      <c r="F1165" s="322" t="str">
        <f>F1160&amp;BIN2HEX(MID(J1160,3,8),2)&amp;BIN2HEX(RIGHT(J1160,7)&amp;MID(O1160,3,1),2)&amp;BIN2HEX(MID(O1160,4,8),2)&amp;BIN2HEX(RIGHT(O1160,6)&amp;T1160&amp;U1160,2)</f>
        <v>0x000000000008065C</v>
      </c>
      <c r="G1165" s="322"/>
      <c r="H1165" s="322"/>
      <c r="I1165" s="322"/>
      <c r="J1165" s="5"/>
      <c r="K1165" s="5"/>
      <c r="L1165" s="5"/>
      <c r="M1165" s="5"/>
      <c r="N1165" s="5"/>
      <c r="O1165" s="5"/>
      <c r="P1165" s="16"/>
      <c r="Q1165" s="16"/>
      <c r="R1165" s="19"/>
      <c r="S1165" s="19"/>
      <c r="T1165" s="19"/>
      <c r="U1165" s="19"/>
      <c r="V1165" s="19"/>
      <c r="W1165" s="19"/>
      <c r="X1165" s="19"/>
      <c r="Y1165" s="19"/>
      <c r="Z1165" s="19"/>
      <c r="AA1165" s="19"/>
      <c r="AB1165" s="19"/>
      <c r="AC1165" s="19"/>
      <c r="AD1165" s="19"/>
      <c r="AE1165" s="19"/>
      <c r="AF1165" s="19"/>
      <c r="AG1165" s="5"/>
      <c r="AH1165" s="5"/>
      <c r="AI1165" s="6"/>
    </row>
    <row r="1166" spans="1:35" x14ac:dyDescent="0.25">
      <c r="A1166" s="3"/>
      <c r="B1166" s="37"/>
      <c r="C1166" s="37"/>
      <c r="D1166" s="37"/>
      <c r="E1166" s="5"/>
      <c r="F1166" s="38"/>
      <c r="G1166" s="38"/>
      <c r="H1166" s="38"/>
      <c r="I1166" s="38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6"/>
    </row>
    <row r="1167" spans="1:35" x14ac:dyDescent="0.25">
      <c r="A1167" s="3"/>
      <c r="B1167" s="37"/>
      <c r="C1167" s="37"/>
      <c r="D1167" s="37"/>
      <c r="E1167" s="5"/>
      <c r="F1167" s="38"/>
      <c r="G1167" s="38"/>
      <c r="H1167" s="38"/>
      <c r="I1167" s="38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6"/>
    </row>
    <row r="1168" spans="1:35" x14ac:dyDescent="0.25">
      <c r="A1168" s="20"/>
      <c r="B1168" s="21"/>
      <c r="C1168" s="21"/>
      <c r="D1168" s="21"/>
      <c r="E1168" s="21"/>
      <c r="F1168" s="21"/>
      <c r="G1168" s="21"/>
      <c r="H1168" s="21"/>
      <c r="I1168" s="21"/>
      <c r="J1168" s="21"/>
      <c r="K1168" s="21"/>
      <c r="L1168" s="21"/>
      <c r="M1168" s="21"/>
      <c r="N1168" s="21"/>
      <c r="O1168" s="22"/>
      <c r="P1168" s="21"/>
      <c r="Q1168" s="21"/>
      <c r="R1168" s="21"/>
      <c r="S1168" s="21"/>
      <c r="T1168" s="21"/>
      <c r="U1168" s="21"/>
      <c r="V1168" s="21"/>
      <c r="W1168" s="21"/>
      <c r="X1168" s="21"/>
      <c r="Y1168" s="21"/>
      <c r="Z1168" s="21"/>
      <c r="AA1168" s="21"/>
      <c r="AB1168" s="21"/>
      <c r="AC1168" s="21"/>
      <c r="AD1168" s="21"/>
      <c r="AE1168" s="21"/>
      <c r="AF1168" s="21"/>
      <c r="AG1168" s="21"/>
      <c r="AH1168" s="21"/>
      <c r="AI1168" s="23"/>
    </row>
    <row r="1169" spans="1:35" x14ac:dyDescent="0.25">
      <c r="A1169" s="24"/>
      <c r="B1169" s="28"/>
      <c r="C1169" s="25"/>
      <c r="D1169" s="25"/>
      <c r="E1169" s="25"/>
      <c r="F1169" s="25"/>
      <c r="G1169" s="25"/>
      <c r="H1169" s="25"/>
      <c r="I1169" s="25"/>
      <c r="J1169" s="25"/>
      <c r="K1169" s="25"/>
      <c r="L1169" s="25"/>
      <c r="M1169" s="25"/>
      <c r="N1169" s="25"/>
      <c r="O1169" s="25"/>
      <c r="P1169" s="25"/>
      <c r="Q1169" s="25"/>
      <c r="R1169" s="25"/>
      <c r="S1169" s="25"/>
      <c r="T1169" s="25"/>
      <c r="U1169" s="25"/>
      <c r="V1169" s="25"/>
      <c r="W1169" s="25"/>
      <c r="X1169" s="25"/>
      <c r="Y1169" s="25"/>
      <c r="Z1169" s="25"/>
      <c r="AA1169" s="25"/>
      <c r="AB1169" s="25"/>
      <c r="AC1169" s="25"/>
      <c r="AD1169" s="25"/>
      <c r="AE1169" s="25"/>
      <c r="AF1169" s="25"/>
      <c r="AG1169" s="25"/>
      <c r="AH1169" s="25"/>
      <c r="AI1169" s="26"/>
    </row>
    <row r="1170" spans="1:35" x14ac:dyDescent="0.25">
      <c r="A1170" s="3"/>
      <c r="B1170" s="4" t="s">
        <v>185</v>
      </c>
      <c r="C1170" s="5"/>
      <c r="D1170" s="5"/>
      <c r="E1170" s="5"/>
      <c r="F1170" s="5"/>
      <c r="G1170" s="5"/>
      <c r="H1170" s="5"/>
      <c r="I1170" s="5" t="str">
        <f>"0x"&amp;BIN2HEX(CONCATENATE(C1175,D1175,E1175,F1175,G1175,H1175,I1175,J1175),2)&amp;BIN2HEX(CONCATENATE(K1175,L1175,M1175,N1175,O1175,P1175,Q1175,R1175),2)&amp;BIN2HEX(CONCATENATE(S1175,T1175,U1175,V1175,W1175,X1175,Y1175,Z1175),2)&amp;BIN2HEX(CONCATENATE(AA1175,AB1175,AC1175,AD1175,AE1175,AF1175,AG1175,AH1175),2)&amp;"_"&amp;BIN2HEX(CONCATENATE(C1179,D1179,E1179,F1179,G1179,H1179,I1179,J1179),2)&amp;BIN2HEX(CONCATENATE(K1179,L1179,M1179,N1179,O1179,P1179,Q1179,R1179),2)&amp;BIN2HEX(CONCATENATE(S1179,T1179,U1179,V1179,W1179,X1179,Y1179,Z1179),2)&amp;BIN2HEX(CONCATENATE(AA1179,AB1179,AC1179,AD1179,AE1179,AF1179,AG1179,AH1179),2)</f>
        <v>0x00000000_00080660</v>
      </c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6"/>
    </row>
    <row r="1171" spans="1:35" ht="15.75" thickBot="1" x14ac:dyDescent="0.3">
      <c r="A1171" s="3"/>
      <c r="B1171" s="5"/>
      <c r="C1171" s="7">
        <v>0</v>
      </c>
      <c r="D1171" s="7">
        <v>1</v>
      </c>
      <c r="E1171" s="7">
        <v>2</v>
      </c>
      <c r="F1171" s="7">
        <v>3</v>
      </c>
      <c r="G1171" s="7">
        <v>4</v>
      </c>
      <c r="H1171" s="7">
        <v>5</v>
      </c>
      <c r="I1171" s="7">
        <v>6</v>
      </c>
      <c r="J1171" s="7">
        <v>7</v>
      </c>
      <c r="K1171" s="7">
        <v>8</v>
      </c>
      <c r="L1171" s="7">
        <v>9</v>
      </c>
      <c r="M1171" s="7">
        <v>10</v>
      </c>
      <c r="N1171" s="7">
        <v>11</v>
      </c>
      <c r="O1171" s="7">
        <v>12</v>
      </c>
      <c r="P1171" s="7">
        <v>13</v>
      </c>
      <c r="Q1171" s="7">
        <v>14</v>
      </c>
      <c r="R1171" s="7">
        <v>15</v>
      </c>
      <c r="S1171" s="7">
        <v>16</v>
      </c>
      <c r="T1171" s="7">
        <v>17</v>
      </c>
      <c r="U1171" s="7">
        <v>18</v>
      </c>
      <c r="V1171" s="7">
        <v>19</v>
      </c>
      <c r="W1171" s="7">
        <v>20</v>
      </c>
      <c r="X1171" s="7">
        <v>21</v>
      </c>
      <c r="Y1171" s="7">
        <v>22</v>
      </c>
      <c r="Z1171" s="7">
        <v>23</v>
      </c>
      <c r="AA1171" s="7">
        <v>24</v>
      </c>
      <c r="AB1171" s="7">
        <v>25</v>
      </c>
      <c r="AC1171" s="7">
        <v>26</v>
      </c>
      <c r="AD1171" s="7">
        <v>27</v>
      </c>
      <c r="AE1171" s="7">
        <v>28</v>
      </c>
      <c r="AF1171" s="7">
        <v>29</v>
      </c>
      <c r="AG1171" s="7">
        <v>30</v>
      </c>
      <c r="AH1171" s="7">
        <v>31</v>
      </c>
      <c r="AI1171" s="6"/>
    </row>
    <row r="1172" spans="1:35" x14ac:dyDescent="0.25">
      <c r="A1172" s="3"/>
      <c r="B1172" s="5" t="s">
        <v>31</v>
      </c>
      <c r="C1172" s="328" t="s">
        <v>161</v>
      </c>
      <c r="D1172" s="330" t="s">
        <v>63</v>
      </c>
      <c r="E1172" s="331"/>
      <c r="F1172" s="331"/>
      <c r="G1172" s="331"/>
      <c r="H1172" s="331"/>
      <c r="I1172" s="331"/>
      <c r="J1172" s="332"/>
      <c r="K1172" s="336">
        <v>0</v>
      </c>
      <c r="L1172" s="337"/>
      <c r="M1172" s="337"/>
      <c r="N1172" s="337"/>
      <c r="O1172" s="337"/>
      <c r="P1172" s="337"/>
      <c r="Q1172" s="337"/>
      <c r="R1172" s="337"/>
      <c r="S1172" s="337"/>
      <c r="T1172" s="337"/>
      <c r="U1172" s="337"/>
      <c r="V1172" s="337"/>
      <c r="W1172" s="337"/>
      <c r="X1172" s="337"/>
      <c r="Y1172" s="337"/>
      <c r="Z1172" s="337"/>
      <c r="AA1172" s="337"/>
      <c r="AB1172" s="337"/>
      <c r="AC1172" s="337"/>
      <c r="AD1172" s="337"/>
      <c r="AE1172" s="337"/>
      <c r="AF1172" s="337"/>
      <c r="AG1172" s="337"/>
      <c r="AH1172" s="338"/>
      <c r="AI1172" s="6"/>
    </row>
    <row r="1173" spans="1:35" x14ac:dyDescent="0.25">
      <c r="A1173" s="3"/>
      <c r="B1173" s="5" t="s">
        <v>32</v>
      </c>
      <c r="C1173" s="329"/>
      <c r="D1173" s="333"/>
      <c r="E1173" s="334"/>
      <c r="F1173" s="334"/>
      <c r="G1173" s="334"/>
      <c r="H1173" s="334"/>
      <c r="I1173" s="334"/>
      <c r="J1173" s="335"/>
      <c r="K1173" s="339"/>
      <c r="L1173" s="340"/>
      <c r="M1173" s="340"/>
      <c r="N1173" s="340"/>
      <c r="O1173" s="340"/>
      <c r="P1173" s="340"/>
      <c r="Q1173" s="340"/>
      <c r="R1173" s="340"/>
      <c r="S1173" s="340"/>
      <c r="T1173" s="340"/>
      <c r="U1173" s="340"/>
      <c r="V1173" s="340"/>
      <c r="W1173" s="340"/>
      <c r="X1173" s="340"/>
      <c r="Y1173" s="340"/>
      <c r="Z1173" s="340"/>
      <c r="AA1173" s="340"/>
      <c r="AB1173" s="340"/>
      <c r="AC1173" s="340"/>
      <c r="AD1173" s="340"/>
      <c r="AE1173" s="340"/>
      <c r="AF1173" s="340"/>
      <c r="AG1173" s="340"/>
      <c r="AH1173" s="341"/>
      <c r="AI1173" s="6"/>
    </row>
    <row r="1174" spans="1:35" x14ac:dyDescent="0.25">
      <c r="A1174" s="3"/>
      <c r="B1174" s="5" t="s">
        <v>11</v>
      </c>
      <c r="C1174" s="56">
        <v>0</v>
      </c>
      <c r="D1174" s="57">
        <v>0</v>
      </c>
      <c r="E1174" s="57">
        <v>0</v>
      </c>
      <c r="F1174" s="57">
        <v>0</v>
      </c>
      <c r="G1174" s="57">
        <v>0</v>
      </c>
      <c r="H1174" s="57">
        <v>0</v>
      </c>
      <c r="I1174" s="57">
        <v>0</v>
      </c>
      <c r="J1174" s="57">
        <v>0</v>
      </c>
      <c r="K1174" s="57">
        <v>0</v>
      </c>
      <c r="L1174" s="57">
        <v>0</v>
      </c>
      <c r="M1174" s="57">
        <v>0</v>
      </c>
      <c r="N1174" s="57">
        <v>0</v>
      </c>
      <c r="O1174" s="57">
        <v>0</v>
      </c>
      <c r="P1174" s="57">
        <v>0</v>
      </c>
      <c r="Q1174" s="57">
        <v>0</v>
      </c>
      <c r="R1174" s="57">
        <v>0</v>
      </c>
      <c r="S1174" s="57">
        <v>0</v>
      </c>
      <c r="T1174" s="57">
        <v>0</v>
      </c>
      <c r="U1174" s="57">
        <v>0</v>
      </c>
      <c r="V1174" s="57">
        <v>0</v>
      </c>
      <c r="W1174" s="57">
        <v>0</v>
      </c>
      <c r="X1174" s="57">
        <v>0</v>
      </c>
      <c r="Y1174" s="57">
        <v>0</v>
      </c>
      <c r="Z1174" s="57">
        <v>0</v>
      </c>
      <c r="AA1174" s="57">
        <v>0</v>
      </c>
      <c r="AB1174" s="57">
        <v>0</v>
      </c>
      <c r="AC1174" s="57">
        <v>0</v>
      </c>
      <c r="AD1174" s="57">
        <v>0</v>
      </c>
      <c r="AE1174" s="57">
        <v>0</v>
      </c>
      <c r="AF1174" s="57">
        <v>0</v>
      </c>
      <c r="AG1174" s="57">
        <v>0</v>
      </c>
      <c r="AH1174" s="58">
        <v>0</v>
      </c>
      <c r="AI1174" s="6"/>
    </row>
    <row r="1175" spans="1:35" ht="15.75" thickBot="1" x14ac:dyDescent="0.3">
      <c r="A1175" s="3"/>
      <c r="B1175" s="5" t="s">
        <v>12</v>
      </c>
      <c r="C1175" s="145">
        <v>0</v>
      </c>
      <c r="D1175" s="88">
        <v>0</v>
      </c>
      <c r="E1175" s="88">
        <v>0</v>
      </c>
      <c r="F1175" s="88">
        <v>0</v>
      </c>
      <c r="G1175" s="88">
        <v>0</v>
      </c>
      <c r="H1175" s="88">
        <v>0</v>
      </c>
      <c r="I1175" s="88">
        <v>0</v>
      </c>
      <c r="J1175" s="88">
        <v>0</v>
      </c>
      <c r="K1175" s="62">
        <v>0</v>
      </c>
      <c r="L1175" s="62">
        <v>0</v>
      </c>
      <c r="M1175" s="62">
        <v>0</v>
      </c>
      <c r="N1175" s="62">
        <v>0</v>
      </c>
      <c r="O1175" s="62">
        <v>0</v>
      </c>
      <c r="P1175" s="62">
        <v>0</v>
      </c>
      <c r="Q1175" s="62">
        <v>0</v>
      </c>
      <c r="R1175" s="62">
        <v>0</v>
      </c>
      <c r="S1175" s="62">
        <v>0</v>
      </c>
      <c r="T1175" s="62">
        <v>0</v>
      </c>
      <c r="U1175" s="62">
        <v>0</v>
      </c>
      <c r="V1175" s="62">
        <v>0</v>
      </c>
      <c r="W1175" s="62">
        <v>0</v>
      </c>
      <c r="X1175" s="62">
        <v>0</v>
      </c>
      <c r="Y1175" s="62">
        <v>0</v>
      </c>
      <c r="Z1175" s="62">
        <v>0</v>
      </c>
      <c r="AA1175" s="62">
        <v>0</v>
      </c>
      <c r="AB1175" s="62">
        <v>0</v>
      </c>
      <c r="AC1175" s="62">
        <v>0</v>
      </c>
      <c r="AD1175" s="62">
        <v>0</v>
      </c>
      <c r="AE1175" s="62">
        <v>0</v>
      </c>
      <c r="AF1175" s="62">
        <v>0</v>
      </c>
      <c r="AG1175" s="62">
        <v>0</v>
      </c>
      <c r="AH1175" s="146">
        <v>0</v>
      </c>
      <c r="AI1175" s="6"/>
    </row>
    <row r="1176" spans="1:35" x14ac:dyDescent="0.25">
      <c r="A1176" s="3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6"/>
    </row>
    <row r="1177" spans="1:35" ht="15.75" thickBot="1" x14ac:dyDescent="0.3">
      <c r="A1177" s="3"/>
      <c r="B1177" s="5"/>
      <c r="C1177" s="7">
        <v>32</v>
      </c>
      <c r="D1177" s="7">
        <v>33</v>
      </c>
      <c r="E1177" s="7">
        <v>34</v>
      </c>
      <c r="F1177" s="7">
        <v>35</v>
      </c>
      <c r="G1177" s="7">
        <v>36</v>
      </c>
      <c r="H1177" s="7">
        <v>37</v>
      </c>
      <c r="I1177" s="7">
        <v>38</v>
      </c>
      <c r="J1177" s="7">
        <v>39</v>
      </c>
      <c r="K1177" s="7">
        <v>40</v>
      </c>
      <c r="L1177" s="7">
        <v>41</v>
      </c>
      <c r="M1177" s="7">
        <v>42</v>
      </c>
      <c r="N1177" s="7">
        <v>43</v>
      </c>
      <c r="O1177" s="7">
        <v>44</v>
      </c>
      <c r="P1177" s="7">
        <v>45</v>
      </c>
      <c r="Q1177" s="7">
        <v>46</v>
      </c>
      <c r="R1177" s="7">
        <v>47</v>
      </c>
      <c r="S1177" s="7">
        <v>48</v>
      </c>
      <c r="T1177" s="7">
        <v>49</v>
      </c>
      <c r="U1177" s="7">
        <v>50</v>
      </c>
      <c r="V1177" s="7">
        <v>51</v>
      </c>
      <c r="W1177" s="7">
        <v>52</v>
      </c>
      <c r="X1177" s="7">
        <v>53</v>
      </c>
      <c r="Y1177" s="7">
        <v>54</v>
      </c>
      <c r="Z1177" s="7">
        <v>55</v>
      </c>
      <c r="AA1177" s="7">
        <v>56</v>
      </c>
      <c r="AB1177" s="7">
        <v>57</v>
      </c>
      <c r="AC1177" s="7">
        <v>58</v>
      </c>
      <c r="AD1177" s="7">
        <v>59</v>
      </c>
      <c r="AE1177" s="7">
        <v>60</v>
      </c>
      <c r="AF1177" s="7">
        <v>61</v>
      </c>
      <c r="AG1177" s="7">
        <v>62</v>
      </c>
      <c r="AH1177" s="7">
        <v>63</v>
      </c>
      <c r="AI1177" s="6"/>
    </row>
    <row r="1178" spans="1:35" ht="15.75" thickBot="1" x14ac:dyDescent="0.3">
      <c r="A1178" s="3"/>
      <c r="B1178" s="5"/>
      <c r="C1178" s="147" t="s">
        <v>13</v>
      </c>
      <c r="D1178" s="148" t="s">
        <v>14</v>
      </c>
      <c r="E1178" s="148" t="s">
        <v>15</v>
      </c>
      <c r="F1178" s="148" t="s">
        <v>16</v>
      </c>
      <c r="G1178" s="148" t="s">
        <v>17</v>
      </c>
      <c r="H1178" s="148" t="s">
        <v>18</v>
      </c>
      <c r="I1178" s="148" t="s">
        <v>19</v>
      </c>
      <c r="J1178" s="148" t="s">
        <v>20</v>
      </c>
      <c r="K1178" s="148" t="s">
        <v>21</v>
      </c>
      <c r="L1178" s="148" t="s">
        <v>22</v>
      </c>
      <c r="M1178" s="148" t="s">
        <v>23</v>
      </c>
      <c r="N1178" s="148" t="s">
        <v>24</v>
      </c>
      <c r="O1178" s="148" t="s">
        <v>25</v>
      </c>
      <c r="P1178" s="148" t="s">
        <v>26</v>
      </c>
      <c r="Q1178" s="148" t="s">
        <v>27</v>
      </c>
      <c r="R1178" s="342" t="s">
        <v>30</v>
      </c>
      <c r="S1178" s="343"/>
      <c r="T1178" s="343"/>
      <c r="U1178" s="343"/>
      <c r="V1178" s="343"/>
      <c r="W1178" s="343"/>
      <c r="X1178" s="343"/>
      <c r="Y1178" s="343"/>
      <c r="Z1178" s="343"/>
      <c r="AA1178" s="343"/>
      <c r="AB1178" s="343"/>
      <c r="AC1178" s="343"/>
      <c r="AD1178" s="343"/>
      <c r="AE1178" s="343"/>
      <c r="AF1178" s="344"/>
      <c r="AG1178" s="67" t="s">
        <v>28</v>
      </c>
      <c r="AH1178" s="149" t="s">
        <v>29</v>
      </c>
      <c r="AI1178" s="6"/>
    </row>
    <row r="1179" spans="1:35" ht="15.75" thickBot="1" x14ac:dyDescent="0.3">
      <c r="A1179" s="3"/>
      <c r="B1179" s="5"/>
      <c r="C1179" s="150">
        <v>0</v>
      </c>
      <c r="D1179" s="151">
        <v>0</v>
      </c>
      <c r="E1179" s="151">
        <v>0</v>
      </c>
      <c r="F1179" s="151">
        <v>0</v>
      </c>
      <c r="G1179" s="151">
        <v>0</v>
      </c>
      <c r="H1179" s="151">
        <v>0</v>
      </c>
      <c r="I1179" s="151">
        <v>0</v>
      </c>
      <c r="J1179" s="151">
        <v>0</v>
      </c>
      <c r="K1179" s="151">
        <v>0</v>
      </c>
      <c r="L1179" s="151">
        <v>0</v>
      </c>
      <c r="M1179" s="151">
        <v>0</v>
      </c>
      <c r="N1179" s="151">
        <v>0</v>
      </c>
      <c r="O1179" s="151">
        <v>1</v>
      </c>
      <c r="P1179" s="151">
        <v>0</v>
      </c>
      <c r="Q1179" s="151">
        <v>0</v>
      </c>
      <c r="R1179" s="151">
        <v>0</v>
      </c>
      <c r="S1179" s="151">
        <v>0</v>
      </c>
      <c r="T1179" s="151">
        <v>0</v>
      </c>
      <c r="U1179" s="151">
        <v>0</v>
      </c>
      <c r="V1179" s="151">
        <v>0</v>
      </c>
      <c r="W1179" s="151">
        <v>0</v>
      </c>
      <c r="X1179" s="151">
        <v>1</v>
      </c>
      <c r="Y1179" s="151">
        <v>1</v>
      </c>
      <c r="Z1179" s="151">
        <v>0</v>
      </c>
      <c r="AA1179" s="151">
        <v>0</v>
      </c>
      <c r="AB1179" s="151">
        <v>1</v>
      </c>
      <c r="AC1179" s="151">
        <v>1</v>
      </c>
      <c r="AD1179" s="151">
        <v>0</v>
      </c>
      <c r="AE1179" s="151">
        <v>0</v>
      </c>
      <c r="AF1179" s="151">
        <v>0</v>
      </c>
      <c r="AG1179" s="151">
        <v>0</v>
      </c>
      <c r="AH1179" s="152">
        <v>0</v>
      </c>
      <c r="AI1179" s="6"/>
    </row>
    <row r="1180" spans="1:35" x14ac:dyDescent="0.25">
      <c r="A1180" s="3"/>
      <c r="B1180" s="4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6"/>
    </row>
    <row r="1181" spans="1:35" x14ac:dyDescent="0.25">
      <c r="A1181" s="3"/>
      <c r="B1181" s="8" t="s">
        <v>43</v>
      </c>
      <c r="C1181" s="9"/>
      <c r="D1181" s="9"/>
      <c r="E1181" s="9"/>
      <c r="F1181" s="44" t="s">
        <v>44</v>
      </c>
      <c r="G1181" s="44"/>
      <c r="H1181" s="44"/>
      <c r="I1181" s="9"/>
      <c r="J1181" s="45" t="s">
        <v>45</v>
      </c>
      <c r="K1181" s="45"/>
      <c r="L1181" s="45"/>
      <c r="M1181" s="45"/>
      <c r="N1181" s="9"/>
      <c r="O1181" s="46" t="s">
        <v>46</v>
      </c>
      <c r="P1181" s="46"/>
      <c r="Q1181" s="46"/>
      <c r="R1181" s="46"/>
      <c r="S1181" s="9"/>
      <c r="T1181" s="1" t="s">
        <v>49</v>
      </c>
      <c r="U1181" s="10" t="s">
        <v>48</v>
      </c>
      <c r="V1181" s="5"/>
      <c r="W1181" s="9"/>
      <c r="X1181" s="9"/>
      <c r="Y1181" s="9"/>
      <c r="Z1181" s="9"/>
      <c r="AA1181" s="9"/>
      <c r="AB1181" s="9"/>
      <c r="AC1181" s="9"/>
      <c r="AD1181" s="9"/>
      <c r="AE1181" s="9"/>
      <c r="AF1181" s="9"/>
      <c r="AG1181" s="9"/>
      <c r="AH1181" s="9"/>
      <c r="AI1181" s="6"/>
    </row>
    <row r="1182" spans="1:35" ht="15" customHeight="1" x14ac:dyDescent="0.25">
      <c r="A1182" s="3"/>
      <c r="B1182" s="42" t="str">
        <f>"0x"&amp;DEC2HEX(Sheet3!$I$4,8)</f>
        <v>0x00400320</v>
      </c>
      <c r="C1182" s="42"/>
      <c r="D1182" s="42"/>
      <c r="E1182" s="12"/>
      <c r="F1182" s="319" t="str">
        <f>"0x"&amp;BIN2HEX(CONCATENATE(C1175,D1175,E1175,F1175,G1175,H1175,I1175,J1175),2)&amp;BIN2HEX(CONCATENATE(K1175,L1175,M1175,N1175,O1175,P1175,Q1175,R1175),2)&amp;BIN2HEX(CONCATENATE(S1175,T1175,U1175,V1175,W1175,X1175,Y1175,Z1175),2)&amp;BIN2HEX(CONCATENATE(AA1175,AB1175,AC1175,AD1175,AE1175,AF1175,AG1175,AH1175),2)</f>
        <v>0x00000000</v>
      </c>
      <c r="G1182" s="319"/>
      <c r="H1182" s="319"/>
      <c r="I1182" s="12"/>
      <c r="J1182" s="319" t="str">
        <f>"0b"&amp;C1179&amp;D1179&amp;E1179&amp;F1179&amp;G1179&amp;H1179&amp;I1179&amp;J1179&amp;K1179&amp;L1179&amp;M1179&amp;N1179&amp;O1179&amp;P1179&amp;Q1179</f>
        <v>0b000000000000100</v>
      </c>
      <c r="K1182" s="319"/>
      <c r="L1182" s="319"/>
      <c r="M1182" s="319"/>
      <c r="N1182" s="12"/>
      <c r="O1182" s="319" t="str">
        <f>"0b"&amp;DEC2BIN(((AF1179+AE1179*2+AD1179*4+AC1179*8+AB1179*16+AA1179*32+Z1179*64+Y1179*128+X1179*256+W1179*512+V1179*1024+U1179*2048+T1179*4096+S1179*2^13+R1179*2^14)/512),6)&amp;DEC2BIN(MOD((AF1179+AE1179*2+AD1179*4+AC1179*8+AB1179*16+AA1179*32+Z1179*64+Y1179*128+X1179*256+W1179*512+V1179*1024+U1179*2048+T1179*4096+S1179*2^13+R1179*2^14),512),9)</f>
        <v>0b000000110011000</v>
      </c>
      <c r="P1182" s="319"/>
      <c r="Q1182" s="319"/>
      <c r="R1182" s="319"/>
      <c r="S1182" s="12"/>
      <c r="T1182" s="13">
        <v>0</v>
      </c>
      <c r="U1182" s="13">
        <f>AH1179</f>
        <v>0</v>
      </c>
      <c r="V1182" s="5"/>
      <c r="W1182" s="14"/>
      <c r="X1182" s="14"/>
      <c r="Y1182" s="14"/>
      <c r="Z1182" s="14"/>
      <c r="AA1182" s="14"/>
      <c r="AB1182" s="14"/>
      <c r="AC1182" s="14"/>
      <c r="AD1182" s="14"/>
      <c r="AE1182" s="14"/>
      <c r="AF1182" s="14"/>
      <c r="AG1182" s="14"/>
      <c r="AH1182" s="14"/>
      <c r="AI1182" s="6"/>
    </row>
    <row r="1183" spans="1:35" x14ac:dyDescent="0.25">
      <c r="A1183" s="3"/>
      <c r="B1183" s="42"/>
      <c r="C1183" s="42"/>
      <c r="D1183" s="42"/>
      <c r="E1183" s="15"/>
      <c r="F1183" s="43"/>
      <c r="G1183" s="43"/>
      <c r="H1183" s="43"/>
      <c r="I1183" s="15"/>
      <c r="J1183" s="42"/>
      <c r="K1183" s="42"/>
      <c r="L1183" s="42"/>
      <c r="M1183" s="42"/>
      <c r="N1183" s="15"/>
      <c r="O1183" s="42"/>
      <c r="P1183" s="42"/>
      <c r="Q1183" s="42"/>
      <c r="R1183" s="42"/>
      <c r="S1183" s="15"/>
      <c r="T1183" s="13"/>
      <c r="U1183" s="15"/>
      <c r="V1183" s="5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6"/>
    </row>
    <row r="1184" spans="1:35" x14ac:dyDescent="0.25">
      <c r="A1184" s="3"/>
      <c r="B1184" s="42"/>
      <c r="C1184" s="42"/>
      <c r="D1184" s="42"/>
      <c r="E1184" s="15"/>
      <c r="F1184" s="43"/>
      <c r="G1184" s="43"/>
      <c r="H1184" s="43"/>
      <c r="I1184" s="15"/>
      <c r="J1184" s="42"/>
      <c r="K1184" s="42"/>
      <c r="L1184" s="42"/>
      <c r="M1184" s="42"/>
      <c r="N1184" s="15"/>
      <c r="O1184" s="42"/>
      <c r="P1184" s="42"/>
      <c r="Q1184" s="42"/>
      <c r="R1184" s="42"/>
      <c r="S1184" s="15"/>
      <c r="T1184" s="13"/>
      <c r="U1184" s="15"/>
      <c r="V1184" s="5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6"/>
    </row>
    <row r="1185" spans="1:35" x14ac:dyDescent="0.25">
      <c r="A1185" s="3"/>
      <c r="B1185" s="5"/>
      <c r="C1185" s="5"/>
      <c r="D1185" s="5"/>
      <c r="E1185" s="5"/>
      <c r="F1185" s="17"/>
      <c r="G1185" s="17"/>
      <c r="H1185" s="17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6"/>
    </row>
    <row r="1186" spans="1:35" x14ac:dyDescent="0.25">
      <c r="A1186" s="3"/>
      <c r="B1186" s="5" t="s">
        <v>47</v>
      </c>
      <c r="C1186" s="18"/>
      <c r="D1186" s="18"/>
      <c r="E1186" s="18"/>
      <c r="F1186" s="5"/>
      <c r="G1186" s="5"/>
      <c r="H1186" s="5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  <c r="AB1186" s="18"/>
      <c r="AC1186" s="18"/>
      <c r="AD1186" s="18"/>
      <c r="AE1186" s="18"/>
      <c r="AF1186" s="18"/>
      <c r="AG1186" s="18"/>
      <c r="AH1186" s="18"/>
      <c r="AI1186" s="6"/>
    </row>
    <row r="1187" spans="1:35" ht="15" customHeight="1" x14ac:dyDescent="0.25">
      <c r="A1187" s="3"/>
      <c r="B1187" s="42" t="str">
        <f>"0x"&amp;DEC2HEX(Sheet3!$I$4,8)</f>
        <v>0x00400320</v>
      </c>
      <c r="C1187" s="42"/>
      <c r="D1187" s="42"/>
      <c r="E1187" s="16"/>
      <c r="F1187" s="322" t="str">
        <f>F1182&amp;BIN2HEX(MID(J1182,3,8),2)&amp;BIN2HEX(RIGHT(J1182,7)&amp;MID(O1182,3,1),2)&amp;BIN2HEX(MID(O1182,4,8),2)&amp;BIN2HEX(RIGHT(O1182,6)&amp;T1182&amp;U1182,2)</f>
        <v>0x0000000000080660</v>
      </c>
      <c r="G1187" s="322"/>
      <c r="H1187" s="322"/>
      <c r="I1187" s="322"/>
      <c r="J1187" s="5"/>
      <c r="K1187" s="5"/>
      <c r="L1187" s="5"/>
      <c r="M1187" s="5"/>
      <c r="N1187" s="5"/>
      <c r="O1187" s="5"/>
      <c r="P1187" s="16"/>
      <c r="Q1187" s="16"/>
      <c r="R1187" s="19"/>
      <c r="S1187" s="19"/>
      <c r="T1187" s="19"/>
      <c r="U1187" s="19"/>
      <c r="V1187" s="19"/>
      <c r="W1187" s="19"/>
      <c r="X1187" s="19"/>
      <c r="Y1187" s="19"/>
      <c r="Z1187" s="19"/>
      <c r="AA1187" s="19"/>
      <c r="AB1187" s="19"/>
      <c r="AC1187" s="19"/>
      <c r="AD1187" s="19"/>
      <c r="AE1187" s="19"/>
      <c r="AF1187" s="19"/>
      <c r="AG1187" s="5"/>
      <c r="AH1187" s="5"/>
      <c r="AI1187" s="6"/>
    </row>
    <row r="1188" spans="1:35" x14ac:dyDescent="0.25">
      <c r="A1188" s="3"/>
      <c r="B1188" s="37"/>
      <c r="C1188" s="37"/>
      <c r="D1188" s="37"/>
      <c r="E1188" s="5"/>
      <c r="F1188" s="38"/>
      <c r="G1188" s="38"/>
      <c r="H1188" s="38"/>
      <c r="I1188" s="38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6"/>
    </row>
    <row r="1189" spans="1:35" x14ac:dyDescent="0.25">
      <c r="A1189" s="3"/>
      <c r="B1189" s="37"/>
      <c r="C1189" s="37"/>
      <c r="D1189" s="37"/>
      <c r="E1189" s="5"/>
      <c r="F1189" s="38"/>
      <c r="G1189" s="38"/>
      <c r="H1189" s="38"/>
      <c r="I1189" s="38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6"/>
    </row>
    <row r="1190" spans="1:35" x14ac:dyDescent="0.25">
      <c r="A1190" s="20"/>
      <c r="B1190" s="21"/>
      <c r="C1190" s="21"/>
      <c r="D1190" s="21"/>
      <c r="E1190" s="21"/>
      <c r="F1190" s="21"/>
      <c r="G1190" s="21"/>
      <c r="H1190" s="21"/>
      <c r="I1190" s="21"/>
      <c r="J1190" s="21"/>
      <c r="K1190" s="21"/>
      <c r="L1190" s="21"/>
      <c r="M1190" s="21"/>
      <c r="N1190" s="21"/>
      <c r="O1190" s="22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  <c r="AF1190" s="21"/>
      <c r="AG1190" s="21"/>
      <c r="AH1190" s="21"/>
      <c r="AI1190" s="23"/>
    </row>
    <row r="1191" spans="1:35" x14ac:dyDescent="0.25">
      <c r="A1191" s="24"/>
      <c r="B1191" s="28"/>
      <c r="C1191" s="25"/>
      <c r="D1191" s="25"/>
      <c r="E1191" s="25"/>
      <c r="F1191" s="25"/>
      <c r="G1191" s="25"/>
      <c r="H1191" s="25"/>
      <c r="I1191" s="25"/>
      <c r="J1191" s="25"/>
      <c r="K1191" s="25"/>
      <c r="L1191" s="25"/>
      <c r="M1191" s="25"/>
      <c r="N1191" s="25"/>
      <c r="O1191" s="25"/>
      <c r="P1191" s="25"/>
      <c r="Q1191" s="25"/>
      <c r="R1191" s="25"/>
      <c r="S1191" s="25"/>
      <c r="T1191" s="25"/>
      <c r="U1191" s="25"/>
      <c r="V1191" s="25"/>
      <c r="W1191" s="25"/>
      <c r="X1191" s="25"/>
      <c r="Y1191" s="25"/>
      <c r="Z1191" s="25"/>
      <c r="AA1191" s="25"/>
      <c r="AB1191" s="25"/>
      <c r="AC1191" s="25"/>
      <c r="AD1191" s="25"/>
      <c r="AE1191" s="25"/>
      <c r="AF1191" s="25"/>
      <c r="AG1191" s="25"/>
      <c r="AH1191" s="25"/>
      <c r="AI1191" s="26"/>
    </row>
    <row r="1192" spans="1:35" x14ac:dyDescent="0.25">
      <c r="A1192" s="3"/>
      <c r="B1192" s="4" t="s">
        <v>186</v>
      </c>
      <c r="C1192" s="5"/>
      <c r="D1192" s="5"/>
      <c r="E1192" s="5"/>
      <c r="F1192" s="5"/>
      <c r="G1192" s="5"/>
      <c r="H1192" s="5"/>
      <c r="I1192" s="5" t="str">
        <f>"0x"&amp;BIN2HEX(CONCATENATE(C1197,D1197,E1197,F1197,G1197,H1197,I1197,J1197),2)&amp;BIN2HEX(CONCATENATE(K1197,L1197,M1197,N1197,O1197,P1197,Q1197,R1197),2)&amp;BIN2HEX(CONCATENATE(S1197,T1197,U1197,V1197,W1197,X1197,Y1197,Z1197),2)&amp;BIN2HEX(CONCATENATE(AA1197,AB1197,AC1197,AD1197,AE1197,AF1197,AG1197,AH1197),2)&amp;"_"&amp;BIN2HEX(CONCATENATE(C1201,D1201,E1201,F1201,G1201,H1201,I1201,J1201),2)&amp;BIN2HEX(CONCATENATE(K1201,L1201,M1201,N1201,O1201,P1201,Q1201,R1201),2)&amp;BIN2HEX(CONCATENATE(S1201,T1201,U1201,V1201,W1201,X1201,Y1201,Z1201),2)&amp;BIN2HEX(CONCATENATE(AA1201,AB1201,AC1201,AD1201,AE1201,AF1201,AG1201,AH1201),2)</f>
        <v>0x00000000_00080664</v>
      </c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6"/>
    </row>
    <row r="1193" spans="1:35" ht="15.75" thickBot="1" x14ac:dyDescent="0.3">
      <c r="A1193" s="3"/>
      <c r="B1193" s="5"/>
      <c r="C1193" s="7">
        <v>0</v>
      </c>
      <c r="D1193" s="7">
        <v>1</v>
      </c>
      <c r="E1193" s="7">
        <v>2</v>
      </c>
      <c r="F1193" s="7">
        <v>3</v>
      </c>
      <c r="G1193" s="7">
        <v>4</v>
      </c>
      <c r="H1193" s="7">
        <v>5</v>
      </c>
      <c r="I1193" s="7">
        <v>6</v>
      </c>
      <c r="J1193" s="7">
        <v>7</v>
      </c>
      <c r="K1193" s="7">
        <v>8</v>
      </c>
      <c r="L1193" s="7">
        <v>9</v>
      </c>
      <c r="M1193" s="7">
        <v>10</v>
      </c>
      <c r="N1193" s="7">
        <v>11</v>
      </c>
      <c r="O1193" s="7">
        <v>12</v>
      </c>
      <c r="P1193" s="7">
        <v>13</v>
      </c>
      <c r="Q1193" s="7">
        <v>14</v>
      </c>
      <c r="R1193" s="7">
        <v>15</v>
      </c>
      <c r="S1193" s="7">
        <v>16</v>
      </c>
      <c r="T1193" s="7">
        <v>17</v>
      </c>
      <c r="U1193" s="7">
        <v>18</v>
      </c>
      <c r="V1193" s="7">
        <v>19</v>
      </c>
      <c r="W1193" s="7">
        <v>20</v>
      </c>
      <c r="X1193" s="7">
        <v>21</v>
      </c>
      <c r="Y1193" s="7">
        <v>22</v>
      </c>
      <c r="Z1193" s="7">
        <v>23</v>
      </c>
      <c r="AA1193" s="7">
        <v>24</v>
      </c>
      <c r="AB1193" s="7">
        <v>25</v>
      </c>
      <c r="AC1193" s="7">
        <v>26</v>
      </c>
      <c r="AD1193" s="7">
        <v>27</v>
      </c>
      <c r="AE1193" s="7">
        <v>28</v>
      </c>
      <c r="AF1193" s="7">
        <v>29</v>
      </c>
      <c r="AG1193" s="7">
        <v>30</v>
      </c>
      <c r="AH1193" s="7">
        <v>31</v>
      </c>
      <c r="AI1193" s="6"/>
    </row>
    <row r="1194" spans="1:35" x14ac:dyDescent="0.25">
      <c r="A1194" s="3"/>
      <c r="B1194" s="5" t="s">
        <v>31</v>
      </c>
      <c r="C1194" s="328" t="s">
        <v>161</v>
      </c>
      <c r="D1194" s="330" t="s">
        <v>63</v>
      </c>
      <c r="E1194" s="331"/>
      <c r="F1194" s="331"/>
      <c r="G1194" s="331"/>
      <c r="H1194" s="331"/>
      <c r="I1194" s="331"/>
      <c r="J1194" s="332"/>
      <c r="K1194" s="336">
        <v>0</v>
      </c>
      <c r="L1194" s="337"/>
      <c r="M1194" s="337"/>
      <c r="N1194" s="337"/>
      <c r="O1194" s="337"/>
      <c r="P1194" s="337"/>
      <c r="Q1194" s="337"/>
      <c r="R1194" s="337"/>
      <c r="S1194" s="337"/>
      <c r="T1194" s="337"/>
      <c r="U1194" s="337"/>
      <c r="V1194" s="337"/>
      <c r="W1194" s="337"/>
      <c r="X1194" s="337"/>
      <c r="Y1194" s="337"/>
      <c r="Z1194" s="337"/>
      <c r="AA1194" s="337"/>
      <c r="AB1194" s="337"/>
      <c r="AC1194" s="337"/>
      <c r="AD1194" s="337"/>
      <c r="AE1194" s="337"/>
      <c r="AF1194" s="337"/>
      <c r="AG1194" s="337"/>
      <c r="AH1194" s="338"/>
      <c r="AI1194" s="6"/>
    </row>
    <row r="1195" spans="1:35" x14ac:dyDescent="0.25">
      <c r="A1195" s="3"/>
      <c r="B1195" s="5" t="s">
        <v>32</v>
      </c>
      <c r="C1195" s="329"/>
      <c r="D1195" s="333"/>
      <c r="E1195" s="334"/>
      <c r="F1195" s="334"/>
      <c r="G1195" s="334"/>
      <c r="H1195" s="334"/>
      <c r="I1195" s="334"/>
      <c r="J1195" s="335"/>
      <c r="K1195" s="339"/>
      <c r="L1195" s="340"/>
      <c r="M1195" s="340"/>
      <c r="N1195" s="340"/>
      <c r="O1195" s="340"/>
      <c r="P1195" s="340"/>
      <c r="Q1195" s="340"/>
      <c r="R1195" s="340"/>
      <c r="S1195" s="340"/>
      <c r="T1195" s="340"/>
      <c r="U1195" s="340"/>
      <c r="V1195" s="340"/>
      <c r="W1195" s="340"/>
      <c r="X1195" s="340"/>
      <c r="Y1195" s="340"/>
      <c r="Z1195" s="340"/>
      <c r="AA1195" s="340"/>
      <c r="AB1195" s="340"/>
      <c r="AC1195" s="340"/>
      <c r="AD1195" s="340"/>
      <c r="AE1195" s="340"/>
      <c r="AF1195" s="340"/>
      <c r="AG1195" s="340"/>
      <c r="AH1195" s="341"/>
      <c r="AI1195" s="6"/>
    </row>
    <row r="1196" spans="1:35" x14ac:dyDescent="0.25">
      <c r="A1196" s="3"/>
      <c r="B1196" s="5" t="s">
        <v>11</v>
      </c>
      <c r="C1196" s="56">
        <v>0</v>
      </c>
      <c r="D1196" s="57">
        <v>0</v>
      </c>
      <c r="E1196" s="57">
        <v>0</v>
      </c>
      <c r="F1196" s="57">
        <v>0</v>
      </c>
      <c r="G1196" s="57">
        <v>0</v>
      </c>
      <c r="H1196" s="57">
        <v>0</v>
      </c>
      <c r="I1196" s="57">
        <v>0</v>
      </c>
      <c r="J1196" s="57">
        <v>0</v>
      </c>
      <c r="K1196" s="57">
        <v>0</v>
      </c>
      <c r="L1196" s="57">
        <v>0</v>
      </c>
      <c r="M1196" s="57">
        <v>0</v>
      </c>
      <c r="N1196" s="57">
        <v>0</v>
      </c>
      <c r="O1196" s="57">
        <v>0</v>
      </c>
      <c r="P1196" s="57">
        <v>0</v>
      </c>
      <c r="Q1196" s="57">
        <v>0</v>
      </c>
      <c r="R1196" s="57">
        <v>0</v>
      </c>
      <c r="S1196" s="57">
        <v>0</v>
      </c>
      <c r="T1196" s="57">
        <v>0</v>
      </c>
      <c r="U1196" s="57">
        <v>0</v>
      </c>
      <c r="V1196" s="57">
        <v>0</v>
      </c>
      <c r="W1196" s="57">
        <v>0</v>
      </c>
      <c r="X1196" s="57">
        <v>0</v>
      </c>
      <c r="Y1196" s="57">
        <v>0</v>
      </c>
      <c r="Z1196" s="57">
        <v>0</v>
      </c>
      <c r="AA1196" s="57">
        <v>0</v>
      </c>
      <c r="AB1196" s="57">
        <v>0</v>
      </c>
      <c r="AC1196" s="57">
        <v>0</v>
      </c>
      <c r="AD1196" s="57">
        <v>0</v>
      </c>
      <c r="AE1196" s="57">
        <v>0</v>
      </c>
      <c r="AF1196" s="57">
        <v>0</v>
      </c>
      <c r="AG1196" s="57">
        <v>0</v>
      </c>
      <c r="AH1196" s="58">
        <v>0</v>
      </c>
      <c r="AI1196" s="6"/>
    </row>
    <row r="1197" spans="1:35" ht="15.75" thickBot="1" x14ac:dyDescent="0.3">
      <c r="A1197" s="3"/>
      <c r="B1197" s="5" t="s">
        <v>12</v>
      </c>
      <c r="C1197" s="145">
        <v>0</v>
      </c>
      <c r="D1197" s="88">
        <v>0</v>
      </c>
      <c r="E1197" s="88">
        <v>0</v>
      </c>
      <c r="F1197" s="88">
        <v>0</v>
      </c>
      <c r="G1197" s="88">
        <v>0</v>
      </c>
      <c r="H1197" s="88">
        <v>0</v>
      </c>
      <c r="I1197" s="88">
        <v>0</v>
      </c>
      <c r="J1197" s="88">
        <v>0</v>
      </c>
      <c r="K1197" s="62">
        <v>0</v>
      </c>
      <c r="L1197" s="62">
        <v>0</v>
      </c>
      <c r="M1197" s="62">
        <v>0</v>
      </c>
      <c r="N1197" s="62">
        <v>0</v>
      </c>
      <c r="O1197" s="62">
        <v>0</v>
      </c>
      <c r="P1197" s="62">
        <v>0</v>
      </c>
      <c r="Q1197" s="62">
        <v>0</v>
      </c>
      <c r="R1197" s="62">
        <v>0</v>
      </c>
      <c r="S1197" s="62">
        <v>0</v>
      </c>
      <c r="T1197" s="62">
        <v>0</v>
      </c>
      <c r="U1197" s="62">
        <v>0</v>
      </c>
      <c r="V1197" s="62">
        <v>0</v>
      </c>
      <c r="W1197" s="62">
        <v>0</v>
      </c>
      <c r="X1197" s="62">
        <v>0</v>
      </c>
      <c r="Y1197" s="62">
        <v>0</v>
      </c>
      <c r="Z1197" s="62">
        <v>0</v>
      </c>
      <c r="AA1197" s="62">
        <v>0</v>
      </c>
      <c r="AB1197" s="62">
        <v>0</v>
      </c>
      <c r="AC1197" s="62">
        <v>0</v>
      </c>
      <c r="AD1197" s="62">
        <v>0</v>
      </c>
      <c r="AE1197" s="62">
        <v>0</v>
      </c>
      <c r="AF1197" s="62">
        <v>0</v>
      </c>
      <c r="AG1197" s="62">
        <v>0</v>
      </c>
      <c r="AH1197" s="146">
        <v>0</v>
      </c>
      <c r="AI1197" s="6"/>
    </row>
    <row r="1198" spans="1:35" x14ac:dyDescent="0.25">
      <c r="A1198" s="3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6"/>
    </row>
    <row r="1199" spans="1:35" ht="15.75" thickBot="1" x14ac:dyDescent="0.3">
      <c r="A1199" s="3"/>
      <c r="B1199" s="5"/>
      <c r="C1199" s="7">
        <v>32</v>
      </c>
      <c r="D1199" s="7">
        <v>33</v>
      </c>
      <c r="E1199" s="7">
        <v>34</v>
      </c>
      <c r="F1199" s="7">
        <v>35</v>
      </c>
      <c r="G1199" s="7">
        <v>36</v>
      </c>
      <c r="H1199" s="7">
        <v>37</v>
      </c>
      <c r="I1199" s="7">
        <v>38</v>
      </c>
      <c r="J1199" s="7">
        <v>39</v>
      </c>
      <c r="K1199" s="7">
        <v>40</v>
      </c>
      <c r="L1199" s="7">
        <v>41</v>
      </c>
      <c r="M1199" s="7">
        <v>42</v>
      </c>
      <c r="N1199" s="7">
        <v>43</v>
      </c>
      <c r="O1199" s="7">
        <v>44</v>
      </c>
      <c r="P1199" s="7">
        <v>45</v>
      </c>
      <c r="Q1199" s="7">
        <v>46</v>
      </c>
      <c r="R1199" s="7">
        <v>47</v>
      </c>
      <c r="S1199" s="7">
        <v>48</v>
      </c>
      <c r="T1199" s="7">
        <v>49</v>
      </c>
      <c r="U1199" s="7">
        <v>50</v>
      </c>
      <c r="V1199" s="7">
        <v>51</v>
      </c>
      <c r="W1199" s="7">
        <v>52</v>
      </c>
      <c r="X1199" s="7">
        <v>53</v>
      </c>
      <c r="Y1199" s="7">
        <v>54</v>
      </c>
      <c r="Z1199" s="7">
        <v>55</v>
      </c>
      <c r="AA1199" s="7">
        <v>56</v>
      </c>
      <c r="AB1199" s="7">
        <v>57</v>
      </c>
      <c r="AC1199" s="7">
        <v>58</v>
      </c>
      <c r="AD1199" s="7">
        <v>59</v>
      </c>
      <c r="AE1199" s="7">
        <v>60</v>
      </c>
      <c r="AF1199" s="7">
        <v>61</v>
      </c>
      <c r="AG1199" s="7">
        <v>62</v>
      </c>
      <c r="AH1199" s="7">
        <v>63</v>
      </c>
      <c r="AI1199" s="6"/>
    </row>
    <row r="1200" spans="1:35" ht="15.75" thickBot="1" x14ac:dyDescent="0.3">
      <c r="A1200" s="3"/>
      <c r="B1200" s="5"/>
      <c r="C1200" s="147" t="s">
        <v>13</v>
      </c>
      <c r="D1200" s="148" t="s">
        <v>14</v>
      </c>
      <c r="E1200" s="148" t="s">
        <v>15</v>
      </c>
      <c r="F1200" s="148" t="s">
        <v>16</v>
      </c>
      <c r="G1200" s="148" t="s">
        <v>17</v>
      </c>
      <c r="H1200" s="148" t="s">
        <v>18</v>
      </c>
      <c r="I1200" s="148" t="s">
        <v>19</v>
      </c>
      <c r="J1200" s="148" t="s">
        <v>20</v>
      </c>
      <c r="K1200" s="148" t="s">
        <v>21</v>
      </c>
      <c r="L1200" s="148" t="s">
        <v>22</v>
      </c>
      <c r="M1200" s="148" t="s">
        <v>23</v>
      </c>
      <c r="N1200" s="148" t="s">
        <v>24</v>
      </c>
      <c r="O1200" s="148" t="s">
        <v>25</v>
      </c>
      <c r="P1200" s="148" t="s">
        <v>26</v>
      </c>
      <c r="Q1200" s="148" t="s">
        <v>27</v>
      </c>
      <c r="R1200" s="342" t="s">
        <v>30</v>
      </c>
      <c r="S1200" s="343"/>
      <c r="T1200" s="343"/>
      <c r="U1200" s="343"/>
      <c r="V1200" s="343"/>
      <c r="W1200" s="343"/>
      <c r="X1200" s="343"/>
      <c r="Y1200" s="343"/>
      <c r="Z1200" s="343"/>
      <c r="AA1200" s="343"/>
      <c r="AB1200" s="343"/>
      <c r="AC1200" s="343"/>
      <c r="AD1200" s="343"/>
      <c r="AE1200" s="343"/>
      <c r="AF1200" s="344"/>
      <c r="AG1200" s="67" t="s">
        <v>28</v>
      </c>
      <c r="AH1200" s="149" t="s">
        <v>29</v>
      </c>
      <c r="AI1200" s="6"/>
    </row>
    <row r="1201" spans="1:35" ht="15.75" thickBot="1" x14ac:dyDescent="0.3">
      <c r="A1201" s="3"/>
      <c r="B1201" s="5"/>
      <c r="C1201" s="150">
        <v>0</v>
      </c>
      <c r="D1201" s="151">
        <v>0</v>
      </c>
      <c r="E1201" s="151">
        <v>0</v>
      </c>
      <c r="F1201" s="151">
        <v>0</v>
      </c>
      <c r="G1201" s="151">
        <v>0</v>
      </c>
      <c r="H1201" s="151">
        <v>0</v>
      </c>
      <c r="I1201" s="151">
        <v>0</v>
      </c>
      <c r="J1201" s="151">
        <v>0</v>
      </c>
      <c r="K1201" s="151">
        <v>0</v>
      </c>
      <c r="L1201" s="151">
        <v>0</v>
      </c>
      <c r="M1201" s="151">
        <v>0</v>
      </c>
      <c r="N1201" s="151">
        <v>0</v>
      </c>
      <c r="O1201" s="151">
        <v>1</v>
      </c>
      <c r="P1201" s="151">
        <v>0</v>
      </c>
      <c r="Q1201" s="151">
        <v>0</v>
      </c>
      <c r="R1201" s="151">
        <v>0</v>
      </c>
      <c r="S1201" s="151">
        <v>0</v>
      </c>
      <c r="T1201" s="151">
        <v>0</v>
      </c>
      <c r="U1201" s="151">
        <v>0</v>
      </c>
      <c r="V1201" s="151">
        <v>0</v>
      </c>
      <c r="W1201" s="151">
        <v>0</v>
      </c>
      <c r="X1201" s="151">
        <v>1</v>
      </c>
      <c r="Y1201" s="151">
        <v>1</v>
      </c>
      <c r="Z1201" s="151">
        <v>0</v>
      </c>
      <c r="AA1201" s="151">
        <v>0</v>
      </c>
      <c r="AB1201" s="151">
        <v>1</v>
      </c>
      <c r="AC1201" s="151">
        <v>1</v>
      </c>
      <c r="AD1201" s="151">
        <v>0</v>
      </c>
      <c r="AE1201" s="151">
        <v>0</v>
      </c>
      <c r="AF1201" s="151">
        <v>1</v>
      </c>
      <c r="AG1201" s="151">
        <v>0</v>
      </c>
      <c r="AH1201" s="152">
        <v>0</v>
      </c>
      <c r="AI1201" s="6"/>
    </row>
    <row r="1202" spans="1:35" x14ac:dyDescent="0.25">
      <c r="A1202" s="3"/>
      <c r="B1202" s="4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6"/>
    </row>
    <row r="1203" spans="1:35" x14ac:dyDescent="0.25">
      <c r="A1203" s="3"/>
      <c r="B1203" s="8" t="s">
        <v>43</v>
      </c>
      <c r="C1203" s="9"/>
      <c r="D1203" s="9"/>
      <c r="E1203" s="9"/>
      <c r="F1203" s="44" t="s">
        <v>44</v>
      </c>
      <c r="G1203" s="44"/>
      <c r="H1203" s="44"/>
      <c r="I1203" s="9"/>
      <c r="J1203" s="45" t="s">
        <v>45</v>
      </c>
      <c r="K1203" s="45"/>
      <c r="L1203" s="45"/>
      <c r="M1203" s="45"/>
      <c r="N1203" s="9"/>
      <c r="O1203" s="46" t="s">
        <v>46</v>
      </c>
      <c r="P1203" s="46"/>
      <c r="Q1203" s="46"/>
      <c r="R1203" s="46"/>
      <c r="S1203" s="9"/>
      <c r="T1203" s="1" t="s">
        <v>49</v>
      </c>
      <c r="U1203" s="10" t="s">
        <v>48</v>
      </c>
      <c r="V1203" s="5"/>
      <c r="W1203" s="9"/>
      <c r="X1203" s="9"/>
      <c r="Y1203" s="9"/>
      <c r="Z1203" s="9"/>
      <c r="AA1203" s="9"/>
      <c r="AB1203" s="9"/>
      <c r="AC1203" s="9"/>
      <c r="AD1203" s="9"/>
      <c r="AE1203" s="9"/>
      <c r="AF1203" s="9"/>
      <c r="AG1203" s="9"/>
      <c r="AH1203" s="9"/>
      <c r="AI1203" s="6"/>
    </row>
    <row r="1204" spans="1:35" ht="15" customHeight="1" x14ac:dyDescent="0.25">
      <c r="A1204" s="3"/>
      <c r="B1204" s="42" t="str">
        <f>"0x"&amp;DEC2HEX(Sheet3!$I$4,8)</f>
        <v>0x00400320</v>
      </c>
      <c r="C1204" s="42"/>
      <c r="D1204" s="42"/>
      <c r="E1204" s="12"/>
      <c r="F1204" s="319" t="str">
        <f>"0x"&amp;BIN2HEX(CONCATENATE(C1197,D1197,E1197,F1197,G1197,H1197,I1197,J1197),2)&amp;BIN2HEX(CONCATENATE(K1197,L1197,M1197,N1197,O1197,P1197,Q1197,R1197),2)&amp;BIN2HEX(CONCATENATE(S1197,T1197,U1197,V1197,W1197,X1197,Y1197,Z1197),2)&amp;BIN2HEX(CONCATENATE(AA1197,AB1197,AC1197,AD1197,AE1197,AF1197,AG1197,AH1197),2)</f>
        <v>0x00000000</v>
      </c>
      <c r="G1204" s="319"/>
      <c r="H1204" s="319"/>
      <c r="I1204" s="12"/>
      <c r="J1204" s="319" t="str">
        <f>"0b"&amp;C1201&amp;D1201&amp;E1201&amp;F1201&amp;G1201&amp;H1201&amp;I1201&amp;J1201&amp;K1201&amp;L1201&amp;M1201&amp;N1201&amp;O1201&amp;P1201&amp;Q1201</f>
        <v>0b000000000000100</v>
      </c>
      <c r="K1204" s="319"/>
      <c r="L1204" s="319"/>
      <c r="M1204" s="319"/>
      <c r="N1204" s="12"/>
      <c r="O1204" s="319" t="str">
        <f>"0b"&amp;DEC2BIN(((AF1201+AE1201*2+AD1201*4+AC1201*8+AB1201*16+AA1201*32+Z1201*64+Y1201*128+X1201*256+W1201*512+V1201*1024+U1201*2048+T1201*4096+S1201*2^13+R1201*2^14)/512),6)&amp;DEC2BIN(MOD((AF1201+AE1201*2+AD1201*4+AC1201*8+AB1201*16+AA1201*32+Z1201*64+Y1201*128+X1201*256+W1201*512+V1201*1024+U1201*2048+T1201*4096+S1201*2^13+R1201*2^14),512),9)</f>
        <v>0b000000110011001</v>
      </c>
      <c r="P1204" s="319"/>
      <c r="Q1204" s="319"/>
      <c r="R1204" s="319"/>
      <c r="S1204" s="12"/>
      <c r="T1204" s="13">
        <v>0</v>
      </c>
      <c r="U1204" s="13">
        <f>AH1201</f>
        <v>0</v>
      </c>
      <c r="V1204" s="5"/>
      <c r="W1204" s="14"/>
      <c r="X1204" s="14"/>
      <c r="Y1204" s="14"/>
      <c r="Z1204" s="14"/>
      <c r="AA1204" s="14"/>
      <c r="AB1204" s="14"/>
      <c r="AC1204" s="14"/>
      <c r="AD1204" s="14"/>
      <c r="AE1204" s="14"/>
      <c r="AF1204" s="14"/>
      <c r="AG1204" s="14"/>
      <c r="AH1204" s="14"/>
      <c r="AI1204" s="6"/>
    </row>
    <row r="1205" spans="1:35" x14ac:dyDescent="0.25">
      <c r="A1205" s="3"/>
      <c r="B1205" s="42"/>
      <c r="C1205" s="42"/>
      <c r="D1205" s="42"/>
      <c r="E1205" s="15"/>
      <c r="F1205" s="43"/>
      <c r="G1205" s="43"/>
      <c r="H1205" s="43"/>
      <c r="I1205" s="15"/>
      <c r="J1205" s="42"/>
      <c r="K1205" s="42"/>
      <c r="L1205" s="42"/>
      <c r="M1205" s="42"/>
      <c r="N1205" s="15"/>
      <c r="O1205" s="42"/>
      <c r="P1205" s="42"/>
      <c r="Q1205" s="42"/>
      <c r="R1205" s="42"/>
      <c r="S1205" s="15"/>
      <c r="T1205" s="13"/>
      <c r="U1205" s="15"/>
      <c r="V1205" s="5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6"/>
    </row>
    <row r="1206" spans="1:35" x14ac:dyDescent="0.25">
      <c r="A1206" s="3"/>
      <c r="B1206" s="42"/>
      <c r="C1206" s="42"/>
      <c r="D1206" s="42"/>
      <c r="E1206" s="15"/>
      <c r="F1206" s="43"/>
      <c r="G1206" s="43"/>
      <c r="H1206" s="43"/>
      <c r="I1206" s="15"/>
      <c r="J1206" s="42"/>
      <c r="K1206" s="42"/>
      <c r="L1206" s="42"/>
      <c r="M1206" s="42"/>
      <c r="N1206" s="15"/>
      <c r="O1206" s="42"/>
      <c r="P1206" s="42"/>
      <c r="Q1206" s="42"/>
      <c r="R1206" s="42"/>
      <c r="S1206" s="15"/>
      <c r="T1206" s="13"/>
      <c r="U1206" s="15"/>
      <c r="V1206" s="5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6"/>
    </row>
    <row r="1207" spans="1:35" x14ac:dyDescent="0.25">
      <c r="A1207" s="3"/>
      <c r="B1207" s="5"/>
      <c r="C1207" s="5"/>
      <c r="D1207" s="5"/>
      <c r="E1207" s="5"/>
      <c r="F1207" s="17"/>
      <c r="G1207" s="17"/>
      <c r="H1207" s="17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6"/>
    </row>
    <row r="1208" spans="1:35" x14ac:dyDescent="0.25">
      <c r="A1208" s="3"/>
      <c r="B1208" s="5" t="s">
        <v>47</v>
      </c>
      <c r="C1208" s="18"/>
      <c r="D1208" s="18"/>
      <c r="E1208" s="18"/>
      <c r="F1208" s="5"/>
      <c r="G1208" s="5"/>
      <c r="H1208" s="5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  <c r="AB1208" s="18"/>
      <c r="AC1208" s="18"/>
      <c r="AD1208" s="18"/>
      <c r="AE1208" s="18"/>
      <c r="AF1208" s="18"/>
      <c r="AG1208" s="18"/>
      <c r="AH1208" s="18"/>
      <c r="AI1208" s="6"/>
    </row>
    <row r="1209" spans="1:35" ht="15" customHeight="1" x14ac:dyDescent="0.25">
      <c r="A1209" s="3"/>
      <c r="B1209" s="42" t="str">
        <f>"0x"&amp;DEC2HEX(Sheet3!$I$4,8)</f>
        <v>0x00400320</v>
      </c>
      <c r="C1209" s="42"/>
      <c r="D1209" s="42"/>
      <c r="E1209" s="16"/>
      <c r="F1209" s="322" t="str">
        <f>F1204&amp;BIN2HEX(MID(J1204,3,8),2)&amp;BIN2HEX(RIGHT(J1204,7)&amp;MID(O1204,3,1),2)&amp;BIN2HEX(MID(O1204,4,8),2)&amp;BIN2HEX(RIGHT(O1204,6)&amp;T1204&amp;U1204,2)</f>
        <v>0x0000000000080664</v>
      </c>
      <c r="G1209" s="322"/>
      <c r="H1209" s="322"/>
      <c r="I1209" s="322"/>
      <c r="J1209" s="5"/>
      <c r="K1209" s="5"/>
      <c r="L1209" s="5"/>
      <c r="M1209" s="5"/>
      <c r="N1209" s="5"/>
      <c r="O1209" s="5"/>
      <c r="P1209" s="16"/>
      <c r="Q1209" s="16"/>
      <c r="R1209" s="19"/>
      <c r="S1209" s="19"/>
      <c r="T1209" s="19"/>
      <c r="U1209" s="19"/>
      <c r="V1209" s="19"/>
      <c r="W1209" s="19"/>
      <c r="X1209" s="19"/>
      <c r="Y1209" s="19"/>
      <c r="Z1209" s="19"/>
      <c r="AA1209" s="19"/>
      <c r="AB1209" s="19"/>
      <c r="AC1209" s="19"/>
      <c r="AD1209" s="19"/>
      <c r="AE1209" s="19"/>
      <c r="AF1209" s="19"/>
      <c r="AG1209" s="5"/>
      <c r="AH1209" s="5"/>
      <c r="AI1209" s="6"/>
    </row>
    <row r="1210" spans="1:35" x14ac:dyDescent="0.25">
      <c r="A1210" s="3"/>
      <c r="B1210" s="37"/>
      <c r="C1210" s="37"/>
      <c r="D1210" s="37"/>
      <c r="E1210" s="5"/>
      <c r="F1210" s="38"/>
      <c r="G1210" s="38"/>
      <c r="H1210" s="38"/>
      <c r="I1210" s="38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6"/>
    </row>
    <row r="1211" spans="1:35" x14ac:dyDescent="0.25">
      <c r="A1211" s="3"/>
      <c r="B1211" s="37"/>
      <c r="C1211" s="37"/>
      <c r="D1211" s="37"/>
      <c r="E1211" s="5"/>
      <c r="F1211" s="38"/>
      <c r="G1211" s="38"/>
      <c r="H1211" s="38"/>
      <c r="I1211" s="38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6"/>
    </row>
    <row r="1212" spans="1:35" x14ac:dyDescent="0.25">
      <c r="A1212" s="20"/>
      <c r="B1212" s="21"/>
      <c r="C1212" s="21"/>
      <c r="D1212" s="21"/>
      <c r="E1212" s="21"/>
      <c r="F1212" s="21"/>
      <c r="G1212" s="21"/>
      <c r="H1212" s="21"/>
      <c r="I1212" s="21"/>
      <c r="J1212" s="21"/>
      <c r="K1212" s="21"/>
      <c r="L1212" s="21"/>
      <c r="M1212" s="21"/>
      <c r="N1212" s="21"/>
      <c r="O1212" s="22"/>
      <c r="P1212" s="21"/>
      <c r="Q1212" s="21"/>
      <c r="R1212" s="21"/>
      <c r="S1212" s="21"/>
      <c r="T1212" s="21"/>
      <c r="U1212" s="21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  <c r="AF1212" s="21"/>
      <c r="AG1212" s="21"/>
      <c r="AH1212" s="21"/>
      <c r="AI1212" s="23"/>
    </row>
    <row r="1213" spans="1:35" x14ac:dyDescent="0.25">
      <c r="A1213" s="24"/>
      <c r="B1213" s="28"/>
      <c r="C1213" s="25"/>
      <c r="D1213" s="25"/>
      <c r="E1213" s="25"/>
      <c r="F1213" s="25"/>
      <c r="G1213" s="25"/>
      <c r="H1213" s="25"/>
      <c r="I1213" s="25"/>
      <c r="J1213" s="25"/>
      <c r="K1213" s="25"/>
      <c r="L1213" s="25"/>
      <c r="M1213" s="25"/>
      <c r="N1213" s="25"/>
      <c r="O1213" s="25"/>
      <c r="P1213" s="25"/>
      <c r="Q1213" s="25"/>
      <c r="R1213" s="25"/>
      <c r="S1213" s="25"/>
      <c r="T1213" s="25"/>
      <c r="U1213" s="25"/>
      <c r="V1213" s="25"/>
      <c r="W1213" s="25"/>
      <c r="X1213" s="25"/>
      <c r="Y1213" s="25"/>
      <c r="Z1213" s="25"/>
      <c r="AA1213" s="25"/>
      <c r="AB1213" s="25"/>
      <c r="AC1213" s="25"/>
      <c r="AD1213" s="25"/>
      <c r="AE1213" s="25"/>
      <c r="AF1213" s="25"/>
      <c r="AG1213" s="25"/>
      <c r="AH1213" s="25"/>
      <c r="AI1213" s="26"/>
    </row>
    <row r="1214" spans="1:35" x14ac:dyDescent="0.25">
      <c r="A1214" s="3"/>
      <c r="B1214" s="4" t="s">
        <v>187</v>
      </c>
      <c r="C1214" s="5"/>
      <c r="D1214" s="5"/>
      <c r="E1214" s="5"/>
      <c r="F1214" s="5"/>
      <c r="G1214" s="5"/>
      <c r="H1214" s="5"/>
      <c r="I1214" s="5" t="str">
        <f>"0x"&amp;BIN2HEX(CONCATENATE(C1219,D1219,E1219,F1219,G1219,H1219,I1219,J1219),2)&amp;BIN2HEX(CONCATENATE(K1219,L1219,M1219,N1219,O1219,P1219,Q1219,R1219),2)&amp;BIN2HEX(CONCATENATE(S1219,T1219,U1219,V1219,W1219,X1219,Y1219,Z1219),2)&amp;BIN2HEX(CONCATENATE(AA1219,AB1219,AC1219,AD1219,AE1219,AF1219,AG1219,AH1219),2)&amp;"_"&amp;BIN2HEX(CONCATENATE(C1223,D1223,E1223,F1223,G1223,H1223,I1223,J1223),2)&amp;BIN2HEX(CONCATENATE(K1223,L1223,M1223,N1223,O1223,P1223,Q1223,R1223),2)&amp;BIN2HEX(CONCATENATE(S1223,T1223,U1223,V1223,W1223,X1223,Y1223,Z1223),2)&amp;BIN2HEX(CONCATENATE(AA1223,AB1223,AC1223,AD1223,AE1223,AF1223,AG1223,AH1223),2)</f>
        <v>0x00000000_00080668</v>
      </c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6"/>
    </row>
    <row r="1215" spans="1:35" ht="15.75" thickBot="1" x14ac:dyDescent="0.3">
      <c r="A1215" s="3"/>
      <c r="B1215" s="5"/>
      <c r="C1215" s="7">
        <v>0</v>
      </c>
      <c r="D1215" s="7">
        <v>1</v>
      </c>
      <c r="E1215" s="7">
        <v>2</v>
      </c>
      <c r="F1215" s="7">
        <v>3</v>
      </c>
      <c r="G1215" s="7">
        <v>4</v>
      </c>
      <c r="H1215" s="7">
        <v>5</v>
      </c>
      <c r="I1215" s="7">
        <v>6</v>
      </c>
      <c r="J1215" s="7">
        <v>7</v>
      </c>
      <c r="K1215" s="7">
        <v>8</v>
      </c>
      <c r="L1215" s="7">
        <v>9</v>
      </c>
      <c r="M1215" s="7">
        <v>10</v>
      </c>
      <c r="N1215" s="7">
        <v>11</v>
      </c>
      <c r="O1215" s="7">
        <v>12</v>
      </c>
      <c r="P1215" s="7">
        <v>13</v>
      </c>
      <c r="Q1215" s="7">
        <v>14</v>
      </c>
      <c r="R1215" s="7">
        <v>15</v>
      </c>
      <c r="S1215" s="7">
        <v>16</v>
      </c>
      <c r="T1215" s="7">
        <v>17</v>
      </c>
      <c r="U1215" s="7">
        <v>18</v>
      </c>
      <c r="V1215" s="7">
        <v>19</v>
      </c>
      <c r="W1215" s="7">
        <v>20</v>
      </c>
      <c r="X1215" s="7">
        <v>21</v>
      </c>
      <c r="Y1215" s="7">
        <v>22</v>
      </c>
      <c r="Z1215" s="7">
        <v>23</v>
      </c>
      <c r="AA1215" s="7">
        <v>24</v>
      </c>
      <c r="AB1215" s="7">
        <v>25</v>
      </c>
      <c r="AC1215" s="7">
        <v>26</v>
      </c>
      <c r="AD1215" s="7">
        <v>27</v>
      </c>
      <c r="AE1215" s="7">
        <v>28</v>
      </c>
      <c r="AF1215" s="7">
        <v>29</v>
      </c>
      <c r="AG1215" s="7">
        <v>30</v>
      </c>
      <c r="AH1215" s="7">
        <v>31</v>
      </c>
      <c r="AI1215" s="6"/>
    </row>
    <row r="1216" spans="1:35" x14ac:dyDescent="0.25">
      <c r="A1216" s="3"/>
      <c r="B1216" s="5" t="s">
        <v>31</v>
      </c>
      <c r="C1216" s="328" t="s">
        <v>161</v>
      </c>
      <c r="D1216" s="330" t="s">
        <v>63</v>
      </c>
      <c r="E1216" s="331"/>
      <c r="F1216" s="331"/>
      <c r="G1216" s="331"/>
      <c r="H1216" s="331"/>
      <c r="I1216" s="331"/>
      <c r="J1216" s="332"/>
      <c r="K1216" s="336">
        <v>0</v>
      </c>
      <c r="L1216" s="337"/>
      <c r="M1216" s="337"/>
      <c r="N1216" s="337"/>
      <c r="O1216" s="337"/>
      <c r="P1216" s="337"/>
      <c r="Q1216" s="337"/>
      <c r="R1216" s="337"/>
      <c r="S1216" s="337"/>
      <c r="T1216" s="337"/>
      <c r="U1216" s="337"/>
      <c r="V1216" s="337"/>
      <c r="W1216" s="337"/>
      <c r="X1216" s="337"/>
      <c r="Y1216" s="337"/>
      <c r="Z1216" s="337"/>
      <c r="AA1216" s="337"/>
      <c r="AB1216" s="337"/>
      <c r="AC1216" s="337"/>
      <c r="AD1216" s="337"/>
      <c r="AE1216" s="337"/>
      <c r="AF1216" s="337"/>
      <c r="AG1216" s="337"/>
      <c r="AH1216" s="338"/>
      <c r="AI1216" s="6"/>
    </row>
    <row r="1217" spans="1:35" x14ac:dyDescent="0.25">
      <c r="A1217" s="3"/>
      <c r="B1217" s="5" t="s">
        <v>32</v>
      </c>
      <c r="C1217" s="329"/>
      <c r="D1217" s="333"/>
      <c r="E1217" s="334"/>
      <c r="F1217" s="334"/>
      <c r="G1217" s="334"/>
      <c r="H1217" s="334"/>
      <c r="I1217" s="334"/>
      <c r="J1217" s="335"/>
      <c r="K1217" s="339"/>
      <c r="L1217" s="340"/>
      <c r="M1217" s="340"/>
      <c r="N1217" s="340"/>
      <c r="O1217" s="340"/>
      <c r="P1217" s="340"/>
      <c r="Q1217" s="340"/>
      <c r="R1217" s="340"/>
      <c r="S1217" s="340"/>
      <c r="T1217" s="340"/>
      <c r="U1217" s="340"/>
      <c r="V1217" s="340"/>
      <c r="W1217" s="340"/>
      <c r="X1217" s="340"/>
      <c r="Y1217" s="340"/>
      <c r="Z1217" s="340"/>
      <c r="AA1217" s="340"/>
      <c r="AB1217" s="340"/>
      <c r="AC1217" s="340"/>
      <c r="AD1217" s="340"/>
      <c r="AE1217" s="340"/>
      <c r="AF1217" s="340"/>
      <c r="AG1217" s="340"/>
      <c r="AH1217" s="341"/>
      <c r="AI1217" s="6"/>
    </row>
    <row r="1218" spans="1:35" x14ac:dyDescent="0.25">
      <c r="A1218" s="3"/>
      <c r="B1218" s="5" t="s">
        <v>11</v>
      </c>
      <c r="C1218" s="56">
        <v>0</v>
      </c>
      <c r="D1218" s="57">
        <v>0</v>
      </c>
      <c r="E1218" s="57">
        <v>0</v>
      </c>
      <c r="F1218" s="57">
        <v>0</v>
      </c>
      <c r="G1218" s="57">
        <v>0</v>
      </c>
      <c r="H1218" s="57">
        <v>0</v>
      </c>
      <c r="I1218" s="57">
        <v>0</v>
      </c>
      <c r="J1218" s="57">
        <v>0</v>
      </c>
      <c r="K1218" s="57">
        <v>0</v>
      </c>
      <c r="L1218" s="57">
        <v>0</v>
      </c>
      <c r="M1218" s="57">
        <v>0</v>
      </c>
      <c r="N1218" s="57">
        <v>0</v>
      </c>
      <c r="O1218" s="57">
        <v>0</v>
      </c>
      <c r="P1218" s="57">
        <v>0</v>
      </c>
      <c r="Q1218" s="57">
        <v>0</v>
      </c>
      <c r="R1218" s="57">
        <v>0</v>
      </c>
      <c r="S1218" s="57">
        <v>0</v>
      </c>
      <c r="T1218" s="57">
        <v>0</v>
      </c>
      <c r="U1218" s="57">
        <v>0</v>
      </c>
      <c r="V1218" s="57">
        <v>0</v>
      </c>
      <c r="W1218" s="57">
        <v>0</v>
      </c>
      <c r="X1218" s="57">
        <v>0</v>
      </c>
      <c r="Y1218" s="57">
        <v>0</v>
      </c>
      <c r="Z1218" s="57">
        <v>0</v>
      </c>
      <c r="AA1218" s="57">
        <v>0</v>
      </c>
      <c r="AB1218" s="57">
        <v>0</v>
      </c>
      <c r="AC1218" s="57">
        <v>0</v>
      </c>
      <c r="AD1218" s="57">
        <v>0</v>
      </c>
      <c r="AE1218" s="57">
        <v>0</v>
      </c>
      <c r="AF1218" s="57">
        <v>0</v>
      </c>
      <c r="AG1218" s="57">
        <v>0</v>
      </c>
      <c r="AH1218" s="58">
        <v>0</v>
      </c>
      <c r="AI1218" s="6"/>
    </row>
    <row r="1219" spans="1:35" ht="15.75" thickBot="1" x14ac:dyDescent="0.3">
      <c r="A1219" s="3"/>
      <c r="B1219" s="5" t="s">
        <v>12</v>
      </c>
      <c r="C1219" s="145">
        <v>0</v>
      </c>
      <c r="D1219" s="88">
        <v>0</v>
      </c>
      <c r="E1219" s="88">
        <v>0</v>
      </c>
      <c r="F1219" s="88">
        <v>0</v>
      </c>
      <c r="G1219" s="88">
        <v>0</v>
      </c>
      <c r="H1219" s="88">
        <v>0</v>
      </c>
      <c r="I1219" s="88">
        <v>0</v>
      </c>
      <c r="J1219" s="88">
        <v>0</v>
      </c>
      <c r="K1219" s="62">
        <v>0</v>
      </c>
      <c r="L1219" s="62">
        <v>0</v>
      </c>
      <c r="M1219" s="62">
        <v>0</v>
      </c>
      <c r="N1219" s="62">
        <v>0</v>
      </c>
      <c r="O1219" s="62">
        <v>0</v>
      </c>
      <c r="P1219" s="62">
        <v>0</v>
      </c>
      <c r="Q1219" s="62">
        <v>0</v>
      </c>
      <c r="R1219" s="62">
        <v>0</v>
      </c>
      <c r="S1219" s="62">
        <v>0</v>
      </c>
      <c r="T1219" s="62">
        <v>0</v>
      </c>
      <c r="U1219" s="62">
        <v>0</v>
      </c>
      <c r="V1219" s="62">
        <v>0</v>
      </c>
      <c r="W1219" s="62">
        <v>0</v>
      </c>
      <c r="X1219" s="62">
        <v>0</v>
      </c>
      <c r="Y1219" s="62">
        <v>0</v>
      </c>
      <c r="Z1219" s="62">
        <v>0</v>
      </c>
      <c r="AA1219" s="62">
        <v>0</v>
      </c>
      <c r="AB1219" s="62">
        <v>0</v>
      </c>
      <c r="AC1219" s="62">
        <v>0</v>
      </c>
      <c r="AD1219" s="62">
        <v>0</v>
      </c>
      <c r="AE1219" s="62">
        <v>0</v>
      </c>
      <c r="AF1219" s="62">
        <v>0</v>
      </c>
      <c r="AG1219" s="62">
        <v>0</v>
      </c>
      <c r="AH1219" s="146">
        <v>0</v>
      </c>
      <c r="AI1219" s="6"/>
    </row>
    <row r="1220" spans="1:35" x14ac:dyDescent="0.25">
      <c r="A1220" s="3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5"/>
      <c r="AI1220" s="6"/>
    </row>
    <row r="1221" spans="1:35" ht="15.75" thickBot="1" x14ac:dyDescent="0.3">
      <c r="A1221" s="3"/>
      <c r="B1221" s="5"/>
      <c r="C1221" s="7">
        <v>32</v>
      </c>
      <c r="D1221" s="7">
        <v>33</v>
      </c>
      <c r="E1221" s="7">
        <v>34</v>
      </c>
      <c r="F1221" s="7">
        <v>35</v>
      </c>
      <c r="G1221" s="7">
        <v>36</v>
      </c>
      <c r="H1221" s="7">
        <v>37</v>
      </c>
      <c r="I1221" s="7">
        <v>38</v>
      </c>
      <c r="J1221" s="7">
        <v>39</v>
      </c>
      <c r="K1221" s="7">
        <v>40</v>
      </c>
      <c r="L1221" s="7">
        <v>41</v>
      </c>
      <c r="M1221" s="7">
        <v>42</v>
      </c>
      <c r="N1221" s="7">
        <v>43</v>
      </c>
      <c r="O1221" s="7">
        <v>44</v>
      </c>
      <c r="P1221" s="7">
        <v>45</v>
      </c>
      <c r="Q1221" s="7">
        <v>46</v>
      </c>
      <c r="R1221" s="7">
        <v>47</v>
      </c>
      <c r="S1221" s="7">
        <v>48</v>
      </c>
      <c r="T1221" s="7">
        <v>49</v>
      </c>
      <c r="U1221" s="7">
        <v>50</v>
      </c>
      <c r="V1221" s="7">
        <v>51</v>
      </c>
      <c r="W1221" s="7">
        <v>52</v>
      </c>
      <c r="X1221" s="7">
        <v>53</v>
      </c>
      <c r="Y1221" s="7">
        <v>54</v>
      </c>
      <c r="Z1221" s="7">
        <v>55</v>
      </c>
      <c r="AA1221" s="7">
        <v>56</v>
      </c>
      <c r="AB1221" s="7">
        <v>57</v>
      </c>
      <c r="AC1221" s="7">
        <v>58</v>
      </c>
      <c r="AD1221" s="7">
        <v>59</v>
      </c>
      <c r="AE1221" s="7">
        <v>60</v>
      </c>
      <c r="AF1221" s="7">
        <v>61</v>
      </c>
      <c r="AG1221" s="7">
        <v>62</v>
      </c>
      <c r="AH1221" s="7">
        <v>63</v>
      </c>
      <c r="AI1221" s="6"/>
    </row>
    <row r="1222" spans="1:35" ht="15.75" thickBot="1" x14ac:dyDescent="0.3">
      <c r="A1222" s="3"/>
      <c r="B1222" s="5"/>
      <c r="C1222" s="147" t="s">
        <v>13</v>
      </c>
      <c r="D1222" s="148" t="s">
        <v>14</v>
      </c>
      <c r="E1222" s="148" t="s">
        <v>15</v>
      </c>
      <c r="F1222" s="148" t="s">
        <v>16</v>
      </c>
      <c r="G1222" s="148" t="s">
        <v>17</v>
      </c>
      <c r="H1222" s="148" t="s">
        <v>18</v>
      </c>
      <c r="I1222" s="148" t="s">
        <v>19</v>
      </c>
      <c r="J1222" s="148" t="s">
        <v>20</v>
      </c>
      <c r="K1222" s="148" t="s">
        <v>21</v>
      </c>
      <c r="L1222" s="148" t="s">
        <v>22</v>
      </c>
      <c r="M1222" s="148" t="s">
        <v>23</v>
      </c>
      <c r="N1222" s="148" t="s">
        <v>24</v>
      </c>
      <c r="O1222" s="148" t="s">
        <v>25</v>
      </c>
      <c r="P1222" s="148" t="s">
        <v>26</v>
      </c>
      <c r="Q1222" s="148" t="s">
        <v>27</v>
      </c>
      <c r="R1222" s="342" t="s">
        <v>30</v>
      </c>
      <c r="S1222" s="343"/>
      <c r="T1222" s="343"/>
      <c r="U1222" s="343"/>
      <c r="V1222" s="343"/>
      <c r="W1222" s="343"/>
      <c r="X1222" s="343"/>
      <c r="Y1222" s="343"/>
      <c r="Z1222" s="343"/>
      <c r="AA1222" s="343"/>
      <c r="AB1222" s="343"/>
      <c r="AC1222" s="343"/>
      <c r="AD1222" s="343"/>
      <c r="AE1222" s="343"/>
      <c r="AF1222" s="344"/>
      <c r="AG1222" s="67" t="s">
        <v>28</v>
      </c>
      <c r="AH1222" s="149" t="s">
        <v>29</v>
      </c>
      <c r="AI1222" s="6"/>
    </row>
    <row r="1223" spans="1:35" ht="15.75" thickBot="1" x14ac:dyDescent="0.3">
      <c r="A1223" s="3"/>
      <c r="B1223" s="5"/>
      <c r="C1223" s="150">
        <v>0</v>
      </c>
      <c r="D1223" s="151">
        <v>0</v>
      </c>
      <c r="E1223" s="151">
        <v>0</v>
      </c>
      <c r="F1223" s="151">
        <v>0</v>
      </c>
      <c r="G1223" s="151">
        <v>0</v>
      </c>
      <c r="H1223" s="151">
        <v>0</v>
      </c>
      <c r="I1223" s="151">
        <v>0</v>
      </c>
      <c r="J1223" s="151">
        <v>0</v>
      </c>
      <c r="K1223" s="151">
        <v>0</v>
      </c>
      <c r="L1223" s="151">
        <v>0</v>
      </c>
      <c r="M1223" s="151">
        <v>0</v>
      </c>
      <c r="N1223" s="151">
        <v>0</v>
      </c>
      <c r="O1223" s="151">
        <v>1</v>
      </c>
      <c r="P1223" s="151">
        <v>0</v>
      </c>
      <c r="Q1223" s="151">
        <v>0</v>
      </c>
      <c r="R1223" s="151">
        <v>0</v>
      </c>
      <c r="S1223" s="151">
        <v>0</v>
      </c>
      <c r="T1223" s="151">
        <v>0</v>
      </c>
      <c r="U1223" s="151">
        <v>0</v>
      </c>
      <c r="V1223" s="151">
        <v>0</v>
      </c>
      <c r="W1223" s="151">
        <v>0</v>
      </c>
      <c r="X1223" s="151">
        <v>1</v>
      </c>
      <c r="Y1223" s="151">
        <v>1</v>
      </c>
      <c r="Z1223" s="151">
        <v>0</v>
      </c>
      <c r="AA1223" s="151">
        <v>0</v>
      </c>
      <c r="AB1223" s="151">
        <v>1</v>
      </c>
      <c r="AC1223" s="151">
        <v>1</v>
      </c>
      <c r="AD1223" s="151">
        <v>0</v>
      </c>
      <c r="AE1223" s="151">
        <v>1</v>
      </c>
      <c r="AF1223" s="151">
        <v>0</v>
      </c>
      <c r="AG1223" s="151">
        <v>0</v>
      </c>
      <c r="AH1223" s="152">
        <v>0</v>
      </c>
      <c r="AI1223" s="6"/>
    </row>
    <row r="1224" spans="1:35" x14ac:dyDescent="0.25">
      <c r="A1224" s="3"/>
      <c r="B1224" s="4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5"/>
      <c r="AI1224" s="6"/>
    </row>
    <row r="1225" spans="1:35" x14ac:dyDescent="0.25">
      <c r="A1225" s="3"/>
      <c r="B1225" s="8" t="s">
        <v>43</v>
      </c>
      <c r="C1225" s="9"/>
      <c r="D1225" s="9"/>
      <c r="E1225" s="9"/>
      <c r="F1225" s="44" t="s">
        <v>44</v>
      </c>
      <c r="G1225" s="44"/>
      <c r="H1225" s="44"/>
      <c r="I1225" s="9"/>
      <c r="J1225" s="45" t="s">
        <v>45</v>
      </c>
      <c r="K1225" s="45"/>
      <c r="L1225" s="45"/>
      <c r="M1225" s="45"/>
      <c r="N1225" s="9"/>
      <c r="O1225" s="46" t="s">
        <v>46</v>
      </c>
      <c r="P1225" s="46"/>
      <c r="Q1225" s="46"/>
      <c r="R1225" s="46"/>
      <c r="S1225" s="9"/>
      <c r="T1225" s="1" t="s">
        <v>49</v>
      </c>
      <c r="U1225" s="10" t="s">
        <v>48</v>
      </c>
      <c r="V1225" s="5"/>
      <c r="W1225" s="9"/>
      <c r="X1225" s="9"/>
      <c r="Y1225" s="9"/>
      <c r="Z1225" s="9"/>
      <c r="AA1225" s="9"/>
      <c r="AB1225" s="9"/>
      <c r="AC1225" s="9"/>
      <c r="AD1225" s="9"/>
      <c r="AE1225" s="9"/>
      <c r="AF1225" s="9"/>
      <c r="AG1225" s="9"/>
      <c r="AH1225" s="9"/>
      <c r="AI1225" s="6"/>
    </row>
    <row r="1226" spans="1:35" ht="15" customHeight="1" x14ac:dyDescent="0.25">
      <c r="A1226" s="3"/>
      <c r="B1226" s="42" t="str">
        <f>"0x"&amp;DEC2HEX(Sheet3!$I$4,8)</f>
        <v>0x00400320</v>
      </c>
      <c r="C1226" s="42"/>
      <c r="D1226" s="42"/>
      <c r="E1226" s="12"/>
      <c r="F1226" s="319" t="str">
        <f>"0x"&amp;BIN2HEX(CONCATENATE(C1219,D1219,E1219,F1219,G1219,H1219,I1219,J1219),2)&amp;BIN2HEX(CONCATENATE(K1219,L1219,M1219,N1219,O1219,P1219,Q1219,R1219),2)&amp;BIN2HEX(CONCATENATE(S1219,T1219,U1219,V1219,W1219,X1219,Y1219,Z1219),2)&amp;BIN2HEX(CONCATENATE(AA1219,AB1219,AC1219,AD1219,AE1219,AF1219,AG1219,AH1219),2)</f>
        <v>0x00000000</v>
      </c>
      <c r="G1226" s="319"/>
      <c r="H1226" s="319"/>
      <c r="I1226" s="12"/>
      <c r="J1226" s="319" t="str">
        <f>"0b"&amp;C1223&amp;D1223&amp;E1223&amp;F1223&amp;G1223&amp;H1223&amp;I1223&amp;J1223&amp;K1223&amp;L1223&amp;M1223&amp;N1223&amp;O1223&amp;P1223&amp;Q1223</f>
        <v>0b000000000000100</v>
      </c>
      <c r="K1226" s="319"/>
      <c r="L1226" s="319"/>
      <c r="M1226" s="319"/>
      <c r="N1226" s="12"/>
      <c r="O1226" s="319" t="str">
        <f>"0b"&amp;DEC2BIN(((AF1223+AE1223*2+AD1223*4+AC1223*8+AB1223*16+AA1223*32+Z1223*64+Y1223*128+X1223*256+W1223*512+V1223*1024+U1223*2048+T1223*4096+S1223*2^13+R1223*2^14)/512),6)&amp;DEC2BIN(MOD((AF1223+AE1223*2+AD1223*4+AC1223*8+AB1223*16+AA1223*32+Z1223*64+Y1223*128+X1223*256+W1223*512+V1223*1024+U1223*2048+T1223*4096+S1223*2^13+R1223*2^14),512),9)</f>
        <v>0b000000110011010</v>
      </c>
      <c r="P1226" s="319"/>
      <c r="Q1226" s="319"/>
      <c r="R1226" s="319"/>
      <c r="S1226" s="12"/>
      <c r="T1226" s="13">
        <v>0</v>
      </c>
      <c r="U1226" s="13">
        <f>AH1223</f>
        <v>0</v>
      </c>
      <c r="V1226" s="5"/>
      <c r="W1226" s="14"/>
      <c r="X1226" s="14"/>
      <c r="Y1226" s="14"/>
      <c r="Z1226" s="14"/>
      <c r="AA1226" s="14"/>
      <c r="AB1226" s="14"/>
      <c r="AC1226" s="14"/>
      <c r="AD1226" s="14"/>
      <c r="AE1226" s="14"/>
      <c r="AF1226" s="14"/>
      <c r="AG1226" s="14"/>
      <c r="AH1226" s="14"/>
      <c r="AI1226" s="6"/>
    </row>
    <row r="1227" spans="1:35" x14ac:dyDescent="0.25">
      <c r="A1227" s="3"/>
      <c r="B1227" s="42"/>
      <c r="C1227" s="42"/>
      <c r="D1227" s="42"/>
      <c r="E1227" s="15"/>
      <c r="F1227" s="43"/>
      <c r="G1227" s="43"/>
      <c r="H1227" s="43"/>
      <c r="I1227" s="15"/>
      <c r="J1227" s="42"/>
      <c r="K1227" s="42"/>
      <c r="L1227" s="42"/>
      <c r="M1227" s="42"/>
      <c r="N1227" s="15"/>
      <c r="O1227" s="42"/>
      <c r="P1227" s="42"/>
      <c r="Q1227" s="42"/>
      <c r="R1227" s="42"/>
      <c r="S1227" s="15"/>
      <c r="T1227" s="13"/>
      <c r="U1227" s="15"/>
      <c r="V1227" s="5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6"/>
    </row>
    <row r="1228" spans="1:35" x14ac:dyDescent="0.25">
      <c r="A1228" s="3"/>
      <c r="B1228" s="42"/>
      <c r="C1228" s="42"/>
      <c r="D1228" s="42"/>
      <c r="E1228" s="15"/>
      <c r="F1228" s="43"/>
      <c r="G1228" s="43"/>
      <c r="H1228" s="43"/>
      <c r="I1228" s="15"/>
      <c r="J1228" s="42"/>
      <c r="K1228" s="42"/>
      <c r="L1228" s="42"/>
      <c r="M1228" s="42"/>
      <c r="N1228" s="15"/>
      <c r="O1228" s="42"/>
      <c r="P1228" s="42"/>
      <c r="Q1228" s="42"/>
      <c r="R1228" s="42"/>
      <c r="S1228" s="15"/>
      <c r="T1228" s="13"/>
      <c r="U1228" s="15"/>
      <c r="V1228" s="5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6"/>
    </row>
    <row r="1229" spans="1:35" x14ac:dyDescent="0.25">
      <c r="A1229" s="3"/>
      <c r="B1229" s="5"/>
      <c r="C1229" s="5"/>
      <c r="D1229" s="5"/>
      <c r="E1229" s="5"/>
      <c r="F1229" s="17"/>
      <c r="G1229" s="17"/>
      <c r="H1229" s="17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5"/>
      <c r="AI1229" s="6"/>
    </row>
    <row r="1230" spans="1:35" x14ac:dyDescent="0.25">
      <c r="A1230" s="3"/>
      <c r="B1230" s="5" t="s">
        <v>47</v>
      </c>
      <c r="C1230" s="18"/>
      <c r="D1230" s="18"/>
      <c r="E1230" s="18"/>
      <c r="F1230" s="5"/>
      <c r="G1230" s="5"/>
      <c r="H1230" s="5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  <c r="AB1230" s="18"/>
      <c r="AC1230" s="18"/>
      <c r="AD1230" s="18"/>
      <c r="AE1230" s="18"/>
      <c r="AF1230" s="18"/>
      <c r="AG1230" s="18"/>
      <c r="AH1230" s="18"/>
      <c r="AI1230" s="6"/>
    </row>
    <row r="1231" spans="1:35" ht="15" customHeight="1" x14ac:dyDescent="0.25">
      <c r="A1231" s="3"/>
      <c r="B1231" s="42" t="str">
        <f>"0x"&amp;DEC2HEX(Sheet3!$I$4,8)</f>
        <v>0x00400320</v>
      </c>
      <c r="C1231" s="42"/>
      <c r="D1231" s="42"/>
      <c r="E1231" s="16"/>
      <c r="F1231" s="322" t="str">
        <f>F1226&amp;BIN2HEX(MID(J1226,3,8),2)&amp;BIN2HEX(RIGHT(J1226,7)&amp;MID(O1226,3,1),2)&amp;BIN2HEX(MID(O1226,4,8),2)&amp;BIN2HEX(RIGHT(O1226,6)&amp;T1226&amp;U1226,2)</f>
        <v>0x0000000000080668</v>
      </c>
      <c r="G1231" s="322"/>
      <c r="H1231" s="322"/>
      <c r="I1231" s="322"/>
      <c r="J1231" s="5"/>
      <c r="K1231" s="5"/>
      <c r="L1231" s="5"/>
      <c r="M1231" s="5"/>
      <c r="N1231" s="5"/>
      <c r="O1231" s="5"/>
      <c r="P1231" s="16"/>
      <c r="Q1231" s="16"/>
      <c r="R1231" s="19"/>
      <c r="S1231" s="19"/>
      <c r="T1231" s="19"/>
      <c r="U1231" s="19"/>
      <c r="V1231" s="19"/>
      <c r="W1231" s="19"/>
      <c r="X1231" s="19"/>
      <c r="Y1231" s="19"/>
      <c r="Z1231" s="19"/>
      <c r="AA1231" s="19"/>
      <c r="AB1231" s="19"/>
      <c r="AC1231" s="19"/>
      <c r="AD1231" s="19"/>
      <c r="AE1231" s="19"/>
      <c r="AF1231" s="19"/>
      <c r="AG1231" s="5"/>
      <c r="AH1231" s="5"/>
      <c r="AI1231" s="6"/>
    </row>
    <row r="1232" spans="1:35" x14ac:dyDescent="0.25">
      <c r="A1232" s="3"/>
      <c r="B1232" s="37"/>
      <c r="C1232" s="37"/>
      <c r="D1232" s="37"/>
      <c r="E1232" s="5"/>
      <c r="F1232" s="38"/>
      <c r="G1232" s="38"/>
      <c r="H1232" s="38"/>
      <c r="I1232" s="38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5"/>
      <c r="AI1232" s="6"/>
    </row>
    <row r="1233" spans="1:35" x14ac:dyDescent="0.25">
      <c r="A1233" s="3"/>
      <c r="B1233" s="37"/>
      <c r="C1233" s="37"/>
      <c r="D1233" s="37"/>
      <c r="E1233" s="5"/>
      <c r="F1233" s="38"/>
      <c r="G1233" s="38"/>
      <c r="H1233" s="38"/>
      <c r="I1233" s="38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5"/>
      <c r="AI1233" s="6"/>
    </row>
    <row r="1234" spans="1:35" x14ac:dyDescent="0.25">
      <c r="A1234" s="20"/>
      <c r="B1234" s="21"/>
      <c r="C1234" s="21"/>
      <c r="D1234" s="21"/>
      <c r="E1234" s="21"/>
      <c r="F1234" s="21"/>
      <c r="G1234" s="21"/>
      <c r="H1234" s="21"/>
      <c r="I1234" s="21"/>
      <c r="J1234" s="21"/>
      <c r="K1234" s="21"/>
      <c r="L1234" s="21"/>
      <c r="M1234" s="21"/>
      <c r="N1234" s="21"/>
      <c r="O1234" s="22"/>
      <c r="P1234" s="21"/>
      <c r="Q1234" s="21"/>
      <c r="R1234" s="21"/>
      <c r="S1234" s="21"/>
      <c r="T1234" s="21"/>
      <c r="U1234" s="21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  <c r="AI1234" s="23"/>
    </row>
    <row r="1235" spans="1:35" x14ac:dyDescent="0.25">
      <c r="A1235" s="24"/>
      <c r="B1235" s="28"/>
      <c r="C1235" s="25"/>
      <c r="D1235" s="25"/>
      <c r="E1235" s="25"/>
      <c r="F1235" s="25"/>
      <c r="G1235" s="25"/>
      <c r="H1235" s="25"/>
      <c r="I1235" s="25"/>
      <c r="J1235" s="25"/>
      <c r="K1235" s="25"/>
      <c r="L1235" s="25"/>
      <c r="M1235" s="25"/>
      <c r="N1235" s="25"/>
      <c r="O1235" s="25"/>
      <c r="P1235" s="25"/>
      <c r="Q1235" s="25"/>
      <c r="R1235" s="25"/>
      <c r="S1235" s="25"/>
      <c r="T1235" s="25"/>
      <c r="U1235" s="25"/>
      <c r="V1235" s="25"/>
      <c r="W1235" s="25"/>
      <c r="X1235" s="25"/>
      <c r="Y1235" s="25"/>
      <c r="Z1235" s="25"/>
      <c r="AA1235" s="25"/>
      <c r="AB1235" s="25"/>
      <c r="AC1235" s="25"/>
      <c r="AD1235" s="25"/>
      <c r="AE1235" s="25"/>
      <c r="AF1235" s="25"/>
      <c r="AG1235" s="25"/>
      <c r="AH1235" s="25"/>
      <c r="AI1235" s="26"/>
    </row>
    <row r="1236" spans="1:35" x14ac:dyDescent="0.25">
      <c r="A1236" s="3"/>
      <c r="B1236" s="4" t="s">
        <v>188</v>
      </c>
      <c r="C1236" s="5"/>
      <c r="D1236" s="5"/>
      <c r="E1236" s="5"/>
      <c r="F1236" s="5"/>
      <c r="G1236" s="5"/>
      <c r="H1236" s="5"/>
      <c r="I1236" s="5" t="str">
        <f>"0x"&amp;BIN2HEX(CONCATENATE(C1241,D1241,E1241,F1241,G1241,H1241,I1241,J1241),2)&amp;BIN2HEX(CONCATENATE(K1241,L1241,M1241,N1241,O1241,P1241,Q1241,R1241),2)&amp;BIN2HEX(CONCATENATE(S1241,T1241,U1241,V1241,W1241,X1241,Y1241,Z1241),2)&amp;BIN2HEX(CONCATENATE(AA1241,AB1241,AC1241,AD1241,AE1241,AF1241,AG1241,AH1241),2)&amp;"_"&amp;BIN2HEX(CONCATENATE(C1245,D1245,E1245,F1245,G1245,H1245,I1245,J1245),2)&amp;BIN2HEX(CONCATENATE(K1245,L1245,M1245,N1245,O1245,P1245,Q1245,R1245),2)&amp;BIN2HEX(CONCATENATE(S1245,T1245,U1245,V1245,W1245,X1245,Y1245,Z1245),2)&amp;BIN2HEX(CONCATENATE(AA1245,AB1245,AC1245,AD1245,AE1245,AF1245,AG1245,AH1245),2)</f>
        <v>0x00000000_0008066C</v>
      </c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5"/>
      <c r="AI1236" s="6"/>
    </row>
    <row r="1237" spans="1:35" ht="15.75" thickBot="1" x14ac:dyDescent="0.3">
      <c r="A1237" s="3"/>
      <c r="B1237" s="5"/>
      <c r="C1237" s="7">
        <v>0</v>
      </c>
      <c r="D1237" s="7">
        <v>1</v>
      </c>
      <c r="E1237" s="7">
        <v>2</v>
      </c>
      <c r="F1237" s="7">
        <v>3</v>
      </c>
      <c r="G1237" s="7">
        <v>4</v>
      </c>
      <c r="H1237" s="7">
        <v>5</v>
      </c>
      <c r="I1237" s="7">
        <v>6</v>
      </c>
      <c r="J1237" s="7">
        <v>7</v>
      </c>
      <c r="K1237" s="7">
        <v>8</v>
      </c>
      <c r="L1237" s="7">
        <v>9</v>
      </c>
      <c r="M1237" s="7">
        <v>10</v>
      </c>
      <c r="N1237" s="7">
        <v>11</v>
      </c>
      <c r="O1237" s="7">
        <v>12</v>
      </c>
      <c r="P1237" s="7">
        <v>13</v>
      </c>
      <c r="Q1237" s="7">
        <v>14</v>
      </c>
      <c r="R1237" s="7">
        <v>15</v>
      </c>
      <c r="S1237" s="7">
        <v>16</v>
      </c>
      <c r="T1237" s="7">
        <v>17</v>
      </c>
      <c r="U1237" s="7">
        <v>18</v>
      </c>
      <c r="V1237" s="7">
        <v>19</v>
      </c>
      <c r="W1237" s="7">
        <v>20</v>
      </c>
      <c r="X1237" s="7">
        <v>21</v>
      </c>
      <c r="Y1237" s="7">
        <v>22</v>
      </c>
      <c r="Z1237" s="7">
        <v>23</v>
      </c>
      <c r="AA1237" s="7">
        <v>24</v>
      </c>
      <c r="AB1237" s="7">
        <v>25</v>
      </c>
      <c r="AC1237" s="7">
        <v>26</v>
      </c>
      <c r="AD1237" s="7">
        <v>27</v>
      </c>
      <c r="AE1237" s="7">
        <v>28</v>
      </c>
      <c r="AF1237" s="7">
        <v>29</v>
      </c>
      <c r="AG1237" s="7">
        <v>30</v>
      </c>
      <c r="AH1237" s="7">
        <v>31</v>
      </c>
      <c r="AI1237" s="6"/>
    </row>
    <row r="1238" spans="1:35" x14ac:dyDescent="0.25">
      <c r="A1238" s="3"/>
      <c r="B1238" s="5" t="s">
        <v>31</v>
      </c>
      <c r="C1238" s="328" t="s">
        <v>161</v>
      </c>
      <c r="D1238" s="330" t="s">
        <v>63</v>
      </c>
      <c r="E1238" s="331"/>
      <c r="F1238" s="331"/>
      <c r="G1238" s="331"/>
      <c r="H1238" s="331"/>
      <c r="I1238" s="331"/>
      <c r="J1238" s="332"/>
      <c r="K1238" s="336">
        <v>0</v>
      </c>
      <c r="L1238" s="337"/>
      <c r="M1238" s="337"/>
      <c r="N1238" s="337"/>
      <c r="O1238" s="337"/>
      <c r="P1238" s="337"/>
      <c r="Q1238" s="337"/>
      <c r="R1238" s="337"/>
      <c r="S1238" s="337"/>
      <c r="T1238" s="337"/>
      <c r="U1238" s="337"/>
      <c r="V1238" s="337"/>
      <c r="W1238" s="337"/>
      <c r="X1238" s="337"/>
      <c r="Y1238" s="337"/>
      <c r="Z1238" s="337"/>
      <c r="AA1238" s="337"/>
      <c r="AB1238" s="337"/>
      <c r="AC1238" s="337"/>
      <c r="AD1238" s="337"/>
      <c r="AE1238" s="337"/>
      <c r="AF1238" s="337"/>
      <c r="AG1238" s="337"/>
      <c r="AH1238" s="338"/>
      <c r="AI1238" s="6"/>
    </row>
    <row r="1239" spans="1:35" x14ac:dyDescent="0.25">
      <c r="A1239" s="3"/>
      <c r="B1239" s="5" t="s">
        <v>32</v>
      </c>
      <c r="C1239" s="329"/>
      <c r="D1239" s="333"/>
      <c r="E1239" s="334"/>
      <c r="F1239" s="334"/>
      <c r="G1239" s="334"/>
      <c r="H1239" s="334"/>
      <c r="I1239" s="334"/>
      <c r="J1239" s="335"/>
      <c r="K1239" s="339"/>
      <c r="L1239" s="340"/>
      <c r="M1239" s="340"/>
      <c r="N1239" s="340"/>
      <c r="O1239" s="340"/>
      <c r="P1239" s="340"/>
      <c r="Q1239" s="340"/>
      <c r="R1239" s="340"/>
      <c r="S1239" s="340"/>
      <c r="T1239" s="340"/>
      <c r="U1239" s="340"/>
      <c r="V1239" s="340"/>
      <c r="W1239" s="340"/>
      <c r="X1239" s="340"/>
      <c r="Y1239" s="340"/>
      <c r="Z1239" s="340"/>
      <c r="AA1239" s="340"/>
      <c r="AB1239" s="340"/>
      <c r="AC1239" s="340"/>
      <c r="AD1239" s="340"/>
      <c r="AE1239" s="340"/>
      <c r="AF1239" s="340"/>
      <c r="AG1239" s="340"/>
      <c r="AH1239" s="341"/>
      <c r="AI1239" s="6"/>
    </row>
    <row r="1240" spans="1:35" x14ac:dyDescent="0.25">
      <c r="A1240" s="3"/>
      <c r="B1240" s="5" t="s">
        <v>11</v>
      </c>
      <c r="C1240" s="56">
        <v>0</v>
      </c>
      <c r="D1240" s="57">
        <v>0</v>
      </c>
      <c r="E1240" s="57">
        <v>0</v>
      </c>
      <c r="F1240" s="57">
        <v>0</v>
      </c>
      <c r="G1240" s="57">
        <v>0</v>
      </c>
      <c r="H1240" s="57">
        <v>0</v>
      </c>
      <c r="I1240" s="57">
        <v>0</v>
      </c>
      <c r="J1240" s="57">
        <v>0</v>
      </c>
      <c r="K1240" s="57">
        <v>0</v>
      </c>
      <c r="L1240" s="57">
        <v>0</v>
      </c>
      <c r="M1240" s="57">
        <v>0</v>
      </c>
      <c r="N1240" s="57">
        <v>0</v>
      </c>
      <c r="O1240" s="57">
        <v>0</v>
      </c>
      <c r="P1240" s="57">
        <v>0</v>
      </c>
      <c r="Q1240" s="57">
        <v>0</v>
      </c>
      <c r="R1240" s="57">
        <v>0</v>
      </c>
      <c r="S1240" s="57">
        <v>0</v>
      </c>
      <c r="T1240" s="57">
        <v>0</v>
      </c>
      <c r="U1240" s="57">
        <v>0</v>
      </c>
      <c r="V1240" s="57">
        <v>0</v>
      </c>
      <c r="W1240" s="57">
        <v>0</v>
      </c>
      <c r="X1240" s="57">
        <v>0</v>
      </c>
      <c r="Y1240" s="57">
        <v>0</v>
      </c>
      <c r="Z1240" s="57">
        <v>0</v>
      </c>
      <c r="AA1240" s="57">
        <v>0</v>
      </c>
      <c r="AB1240" s="57">
        <v>0</v>
      </c>
      <c r="AC1240" s="57">
        <v>0</v>
      </c>
      <c r="AD1240" s="57">
        <v>0</v>
      </c>
      <c r="AE1240" s="57">
        <v>0</v>
      </c>
      <c r="AF1240" s="57">
        <v>0</v>
      </c>
      <c r="AG1240" s="57">
        <v>0</v>
      </c>
      <c r="AH1240" s="58">
        <v>0</v>
      </c>
      <c r="AI1240" s="6"/>
    </row>
    <row r="1241" spans="1:35" ht="15.75" thickBot="1" x14ac:dyDescent="0.3">
      <c r="A1241" s="3"/>
      <c r="B1241" s="5" t="s">
        <v>12</v>
      </c>
      <c r="C1241" s="145">
        <v>0</v>
      </c>
      <c r="D1241" s="88">
        <v>0</v>
      </c>
      <c r="E1241" s="88">
        <v>0</v>
      </c>
      <c r="F1241" s="88">
        <v>0</v>
      </c>
      <c r="G1241" s="88">
        <v>0</v>
      </c>
      <c r="H1241" s="88">
        <v>0</v>
      </c>
      <c r="I1241" s="88">
        <v>0</v>
      </c>
      <c r="J1241" s="88">
        <v>0</v>
      </c>
      <c r="K1241" s="62">
        <v>0</v>
      </c>
      <c r="L1241" s="62">
        <v>0</v>
      </c>
      <c r="M1241" s="62">
        <v>0</v>
      </c>
      <c r="N1241" s="62">
        <v>0</v>
      </c>
      <c r="O1241" s="62">
        <v>0</v>
      </c>
      <c r="P1241" s="62">
        <v>0</v>
      </c>
      <c r="Q1241" s="62">
        <v>0</v>
      </c>
      <c r="R1241" s="62">
        <v>0</v>
      </c>
      <c r="S1241" s="62">
        <v>0</v>
      </c>
      <c r="T1241" s="62">
        <v>0</v>
      </c>
      <c r="U1241" s="62">
        <v>0</v>
      </c>
      <c r="V1241" s="62">
        <v>0</v>
      </c>
      <c r="W1241" s="62">
        <v>0</v>
      </c>
      <c r="X1241" s="62">
        <v>0</v>
      </c>
      <c r="Y1241" s="62">
        <v>0</v>
      </c>
      <c r="Z1241" s="62">
        <v>0</v>
      </c>
      <c r="AA1241" s="62">
        <v>0</v>
      </c>
      <c r="AB1241" s="62">
        <v>0</v>
      </c>
      <c r="AC1241" s="62">
        <v>0</v>
      </c>
      <c r="AD1241" s="62">
        <v>0</v>
      </c>
      <c r="AE1241" s="62">
        <v>0</v>
      </c>
      <c r="AF1241" s="62">
        <v>0</v>
      </c>
      <c r="AG1241" s="62">
        <v>0</v>
      </c>
      <c r="AH1241" s="146">
        <v>0</v>
      </c>
      <c r="AI1241" s="6"/>
    </row>
    <row r="1242" spans="1:35" x14ac:dyDescent="0.25">
      <c r="A1242" s="3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5"/>
      <c r="AI1242" s="6"/>
    </row>
    <row r="1243" spans="1:35" ht="15.75" thickBot="1" x14ac:dyDescent="0.3">
      <c r="A1243" s="3"/>
      <c r="B1243" s="5"/>
      <c r="C1243" s="7">
        <v>32</v>
      </c>
      <c r="D1243" s="7">
        <v>33</v>
      </c>
      <c r="E1243" s="7">
        <v>34</v>
      </c>
      <c r="F1243" s="7">
        <v>35</v>
      </c>
      <c r="G1243" s="7">
        <v>36</v>
      </c>
      <c r="H1243" s="7">
        <v>37</v>
      </c>
      <c r="I1243" s="7">
        <v>38</v>
      </c>
      <c r="J1243" s="7">
        <v>39</v>
      </c>
      <c r="K1243" s="7">
        <v>40</v>
      </c>
      <c r="L1243" s="7">
        <v>41</v>
      </c>
      <c r="M1243" s="7">
        <v>42</v>
      </c>
      <c r="N1243" s="7">
        <v>43</v>
      </c>
      <c r="O1243" s="7">
        <v>44</v>
      </c>
      <c r="P1243" s="7">
        <v>45</v>
      </c>
      <c r="Q1243" s="7">
        <v>46</v>
      </c>
      <c r="R1243" s="7">
        <v>47</v>
      </c>
      <c r="S1243" s="7">
        <v>48</v>
      </c>
      <c r="T1243" s="7">
        <v>49</v>
      </c>
      <c r="U1243" s="7">
        <v>50</v>
      </c>
      <c r="V1243" s="7">
        <v>51</v>
      </c>
      <c r="W1243" s="7">
        <v>52</v>
      </c>
      <c r="X1243" s="7">
        <v>53</v>
      </c>
      <c r="Y1243" s="7">
        <v>54</v>
      </c>
      <c r="Z1243" s="7">
        <v>55</v>
      </c>
      <c r="AA1243" s="7">
        <v>56</v>
      </c>
      <c r="AB1243" s="7">
        <v>57</v>
      </c>
      <c r="AC1243" s="7">
        <v>58</v>
      </c>
      <c r="AD1243" s="7">
        <v>59</v>
      </c>
      <c r="AE1243" s="7">
        <v>60</v>
      </c>
      <c r="AF1243" s="7">
        <v>61</v>
      </c>
      <c r="AG1243" s="7">
        <v>62</v>
      </c>
      <c r="AH1243" s="7">
        <v>63</v>
      </c>
      <c r="AI1243" s="6"/>
    </row>
    <row r="1244" spans="1:35" ht="15.75" thickBot="1" x14ac:dyDescent="0.3">
      <c r="A1244" s="3"/>
      <c r="B1244" s="5"/>
      <c r="C1244" s="147" t="s">
        <v>13</v>
      </c>
      <c r="D1244" s="148" t="s">
        <v>14</v>
      </c>
      <c r="E1244" s="148" t="s">
        <v>15</v>
      </c>
      <c r="F1244" s="148" t="s">
        <v>16</v>
      </c>
      <c r="G1244" s="148" t="s">
        <v>17</v>
      </c>
      <c r="H1244" s="148" t="s">
        <v>18</v>
      </c>
      <c r="I1244" s="148" t="s">
        <v>19</v>
      </c>
      <c r="J1244" s="148" t="s">
        <v>20</v>
      </c>
      <c r="K1244" s="148" t="s">
        <v>21</v>
      </c>
      <c r="L1244" s="148" t="s">
        <v>22</v>
      </c>
      <c r="M1244" s="148" t="s">
        <v>23</v>
      </c>
      <c r="N1244" s="148" t="s">
        <v>24</v>
      </c>
      <c r="O1244" s="148" t="s">
        <v>25</v>
      </c>
      <c r="P1244" s="148" t="s">
        <v>26</v>
      </c>
      <c r="Q1244" s="148" t="s">
        <v>27</v>
      </c>
      <c r="R1244" s="342" t="s">
        <v>30</v>
      </c>
      <c r="S1244" s="343"/>
      <c r="T1244" s="343"/>
      <c r="U1244" s="343"/>
      <c r="V1244" s="343"/>
      <c r="W1244" s="343"/>
      <c r="X1244" s="343"/>
      <c r="Y1244" s="343"/>
      <c r="Z1244" s="343"/>
      <c r="AA1244" s="343"/>
      <c r="AB1244" s="343"/>
      <c r="AC1244" s="343"/>
      <c r="AD1244" s="343"/>
      <c r="AE1244" s="343"/>
      <c r="AF1244" s="344"/>
      <c r="AG1244" s="67" t="s">
        <v>28</v>
      </c>
      <c r="AH1244" s="149" t="s">
        <v>29</v>
      </c>
      <c r="AI1244" s="6"/>
    </row>
    <row r="1245" spans="1:35" ht="15.75" thickBot="1" x14ac:dyDescent="0.3">
      <c r="A1245" s="3"/>
      <c r="B1245" s="5"/>
      <c r="C1245" s="150">
        <v>0</v>
      </c>
      <c r="D1245" s="151">
        <v>0</v>
      </c>
      <c r="E1245" s="151">
        <v>0</v>
      </c>
      <c r="F1245" s="151">
        <v>0</v>
      </c>
      <c r="G1245" s="151">
        <v>0</v>
      </c>
      <c r="H1245" s="151">
        <v>0</v>
      </c>
      <c r="I1245" s="151">
        <v>0</v>
      </c>
      <c r="J1245" s="151">
        <v>0</v>
      </c>
      <c r="K1245" s="151">
        <v>0</v>
      </c>
      <c r="L1245" s="151">
        <v>0</v>
      </c>
      <c r="M1245" s="151">
        <v>0</v>
      </c>
      <c r="N1245" s="151">
        <v>0</v>
      </c>
      <c r="O1245" s="151">
        <v>1</v>
      </c>
      <c r="P1245" s="151">
        <v>0</v>
      </c>
      <c r="Q1245" s="151">
        <v>0</v>
      </c>
      <c r="R1245" s="151">
        <v>0</v>
      </c>
      <c r="S1245" s="151">
        <v>0</v>
      </c>
      <c r="T1245" s="151">
        <v>0</v>
      </c>
      <c r="U1245" s="151">
        <v>0</v>
      </c>
      <c r="V1245" s="151">
        <v>0</v>
      </c>
      <c r="W1245" s="151">
        <v>0</v>
      </c>
      <c r="X1245" s="151">
        <v>1</v>
      </c>
      <c r="Y1245" s="151">
        <v>1</v>
      </c>
      <c r="Z1245" s="151">
        <v>0</v>
      </c>
      <c r="AA1245" s="151">
        <v>0</v>
      </c>
      <c r="AB1245" s="151">
        <v>1</v>
      </c>
      <c r="AC1245" s="151">
        <v>1</v>
      </c>
      <c r="AD1245" s="151">
        <v>0</v>
      </c>
      <c r="AE1245" s="151">
        <v>1</v>
      </c>
      <c r="AF1245" s="151">
        <v>1</v>
      </c>
      <c r="AG1245" s="151">
        <v>0</v>
      </c>
      <c r="AH1245" s="152">
        <v>0</v>
      </c>
      <c r="AI1245" s="6"/>
    </row>
    <row r="1246" spans="1:35" x14ac:dyDescent="0.25">
      <c r="A1246" s="3"/>
      <c r="B1246" s="4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6"/>
    </row>
    <row r="1247" spans="1:35" x14ac:dyDescent="0.25">
      <c r="A1247" s="3"/>
      <c r="B1247" s="8" t="s">
        <v>43</v>
      </c>
      <c r="C1247" s="9"/>
      <c r="D1247" s="9"/>
      <c r="E1247" s="9"/>
      <c r="F1247" s="44" t="s">
        <v>44</v>
      </c>
      <c r="G1247" s="44"/>
      <c r="H1247" s="44"/>
      <c r="I1247" s="9"/>
      <c r="J1247" s="45" t="s">
        <v>45</v>
      </c>
      <c r="K1247" s="45"/>
      <c r="L1247" s="45"/>
      <c r="M1247" s="45"/>
      <c r="N1247" s="9"/>
      <c r="O1247" s="46" t="s">
        <v>46</v>
      </c>
      <c r="P1247" s="46"/>
      <c r="Q1247" s="46"/>
      <c r="R1247" s="46"/>
      <c r="S1247" s="9"/>
      <c r="T1247" s="1" t="s">
        <v>49</v>
      </c>
      <c r="U1247" s="10" t="s">
        <v>48</v>
      </c>
      <c r="V1247" s="5"/>
      <c r="W1247" s="9"/>
      <c r="X1247" s="9"/>
      <c r="Y1247" s="9"/>
      <c r="Z1247" s="9"/>
      <c r="AA1247" s="9"/>
      <c r="AB1247" s="9"/>
      <c r="AC1247" s="9"/>
      <c r="AD1247" s="9"/>
      <c r="AE1247" s="9"/>
      <c r="AF1247" s="9"/>
      <c r="AG1247" s="9"/>
      <c r="AH1247" s="9"/>
      <c r="AI1247" s="6"/>
    </row>
    <row r="1248" spans="1:35" ht="15" customHeight="1" x14ac:dyDescent="0.25">
      <c r="A1248" s="3"/>
      <c r="B1248" s="42" t="str">
        <f>"0x"&amp;DEC2HEX(Sheet3!$I$4,8)</f>
        <v>0x00400320</v>
      </c>
      <c r="C1248" s="42"/>
      <c r="D1248" s="42"/>
      <c r="E1248" s="12"/>
      <c r="F1248" s="319" t="str">
        <f>"0x"&amp;BIN2HEX(CONCATENATE(C1241,D1241,E1241,F1241,G1241,H1241,I1241,J1241),2)&amp;BIN2HEX(CONCATENATE(K1241,L1241,M1241,N1241,O1241,P1241,Q1241,R1241),2)&amp;BIN2HEX(CONCATENATE(S1241,T1241,U1241,V1241,W1241,X1241,Y1241,Z1241),2)&amp;BIN2HEX(CONCATENATE(AA1241,AB1241,AC1241,AD1241,AE1241,AF1241,AG1241,AH1241),2)</f>
        <v>0x00000000</v>
      </c>
      <c r="G1248" s="319"/>
      <c r="H1248" s="319"/>
      <c r="I1248" s="12"/>
      <c r="J1248" s="319" t="str">
        <f>"0b"&amp;C1245&amp;D1245&amp;E1245&amp;F1245&amp;G1245&amp;H1245&amp;I1245&amp;J1245&amp;K1245&amp;L1245&amp;M1245&amp;N1245&amp;O1245&amp;P1245&amp;Q1245</f>
        <v>0b000000000000100</v>
      </c>
      <c r="K1248" s="319"/>
      <c r="L1248" s="319"/>
      <c r="M1248" s="319"/>
      <c r="N1248" s="12"/>
      <c r="O1248" s="319" t="str">
        <f>"0b"&amp;DEC2BIN(((AF1245+AE1245*2+AD1245*4+AC1245*8+AB1245*16+AA1245*32+Z1245*64+Y1245*128+X1245*256+W1245*512+V1245*1024+U1245*2048+T1245*4096+S1245*2^13+R1245*2^14)/512),6)&amp;DEC2BIN(MOD((AF1245+AE1245*2+AD1245*4+AC1245*8+AB1245*16+AA1245*32+Z1245*64+Y1245*128+X1245*256+W1245*512+V1245*1024+U1245*2048+T1245*4096+S1245*2^13+R1245*2^14),512),9)</f>
        <v>0b000000110011011</v>
      </c>
      <c r="P1248" s="319"/>
      <c r="Q1248" s="319"/>
      <c r="R1248" s="319"/>
      <c r="S1248" s="12"/>
      <c r="T1248" s="13">
        <v>0</v>
      </c>
      <c r="U1248" s="13">
        <f>AH1245</f>
        <v>0</v>
      </c>
      <c r="V1248" s="5"/>
      <c r="W1248" s="14"/>
      <c r="X1248" s="14"/>
      <c r="Y1248" s="14"/>
      <c r="Z1248" s="14"/>
      <c r="AA1248" s="14"/>
      <c r="AB1248" s="14"/>
      <c r="AC1248" s="14"/>
      <c r="AD1248" s="14"/>
      <c r="AE1248" s="14"/>
      <c r="AF1248" s="14"/>
      <c r="AG1248" s="14"/>
      <c r="AH1248" s="14"/>
      <c r="AI1248" s="6"/>
    </row>
    <row r="1249" spans="1:35" x14ac:dyDescent="0.25">
      <c r="A1249" s="3"/>
      <c r="B1249" s="42"/>
      <c r="C1249" s="42"/>
      <c r="D1249" s="42"/>
      <c r="E1249" s="15"/>
      <c r="F1249" s="43"/>
      <c r="G1249" s="43"/>
      <c r="H1249" s="43"/>
      <c r="I1249" s="15"/>
      <c r="J1249" s="42"/>
      <c r="K1249" s="42"/>
      <c r="L1249" s="42"/>
      <c r="M1249" s="42"/>
      <c r="N1249" s="15"/>
      <c r="O1249" s="42"/>
      <c r="P1249" s="42"/>
      <c r="Q1249" s="42"/>
      <c r="R1249" s="42"/>
      <c r="S1249" s="15"/>
      <c r="T1249" s="13"/>
      <c r="U1249" s="15"/>
      <c r="V1249" s="5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6"/>
    </row>
    <row r="1250" spans="1:35" x14ac:dyDescent="0.25">
      <c r="A1250" s="3"/>
      <c r="B1250" s="42"/>
      <c r="C1250" s="42"/>
      <c r="D1250" s="42"/>
      <c r="E1250" s="15"/>
      <c r="F1250" s="43"/>
      <c r="G1250" s="43"/>
      <c r="H1250" s="43"/>
      <c r="I1250" s="15"/>
      <c r="J1250" s="42"/>
      <c r="K1250" s="42"/>
      <c r="L1250" s="42"/>
      <c r="M1250" s="42"/>
      <c r="N1250" s="15"/>
      <c r="O1250" s="42"/>
      <c r="P1250" s="42"/>
      <c r="Q1250" s="42"/>
      <c r="R1250" s="42"/>
      <c r="S1250" s="15"/>
      <c r="T1250" s="13"/>
      <c r="U1250" s="15"/>
      <c r="V1250" s="5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6"/>
    </row>
    <row r="1251" spans="1:35" x14ac:dyDescent="0.25">
      <c r="A1251" s="3"/>
      <c r="B1251" s="5"/>
      <c r="C1251" s="5"/>
      <c r="D1251" s="5"/>
      <c r="E1251" s="5"/>
      <c r="F1251" s="17"/>
      <c r="G1251" s="17"/>
      <c r="H1251" s="17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5"/>
      <c r="AI1251" s="6"/>
    </row>
    <row r="1252" spans="1:35" x14ac:dyDescent="0.25">
      <c r="A1252" s="3"/>
      <c r="B1252" s="5" t="s">
        <v>47</v>
      </c>
      <c r="C1252" s="18"/>
      <c r="D1252" s="18"/>
      <c r="E1252" s="18"/>
      <c r="F1252" s="5"/>
      <c r="G1252" s="5"/>
      <c r="H1252" s="5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  <c r="AB1252" s="18"/>
      <c r="AC1252" s="18"/>
      <c r="AD1252" s="18"/>
      <c r="AE1252" s="18"/>
      <c r="AF1252" s="18"/>
      <c r="AG1252" s="18"/>
      <c r="AH1252" s="18"/>
      <c r="AI1252" s="6"/>
    </row>
    <row r="1253" spans="1:35" ht="15" customHeight="1" x14ac:dyDescent="0.25">
      <c r="A1253" s="3"/>
      <c r="B1253" s="42" t="str">
        <f>"0x"&amp;DEC2HEX(Sheet3!$I$4,8)</f>
        <v>0x00400320</v>
      </c>
      <c r="C1253" s="42"/>
      <c r="D1253" s="42"/>
      <c r="E1253" s="16"/>
      <c r="F1253" s="322" t="str">
        <f>F1248&amp;BIN2HEX(MID(J1248,3,8),2)&amp;BIN2HEX(RIGHT(J1248,7)&amp;MID(O1248,3,1),2)&amp;BIN2HEX(MID(O1248,4,8),2)&amp;BIN2HEX(RIGHT(O1248,6)&amp;T1248&amp;U1248,2)</f>
        <v>0x000000000008066C</v>
      </c>
      <c r="G1253" s="322"/>
      <c r="H1253" s="322"/>
      <c r="I1253" s="322"/>
      <c r="J1253" s="5"/>
      <c r="K1253" s="5"/>
      <c r="L1253" s="5"/>
      <c r="M1253" s="5"/>
      <c r="N1253" s="5"/>
      <c r="O1253" s="5"/>
      <c r="P1253" s="16"/>
      <c r="Q1253" s="16"/>
      <c r="R1253" s="19"/>
      <c r="S1253" s="19"/>
      <c r="T1253" s="19"/>
      <c r="U1253" s="19"/>
      <c r="V1253" s="19"/>
      <c r="W1253" s="19"/>
      <c r="X1253" s="19"/>
      <c r="Y1253" s="19"/>
      <c r="Z1253" s="19"/>
      <c r="AA1253" s="19"/>
      <c r="AB1253" s="19"/>
      <c r="AC1253" s="19"/>
      <c r="AD1253" s="19"/>
      <c r="AE1253" s="19"/>
      <c r="AF1253" s="19"/>
      <c r="AG1253" s="5"/>
      <c r="AH1253" s="5"/>
      <c r="AI1253" s="6"/>
    </row>
    <row r="1254" spans="1:35" x14ac:dyDescent="0.25">
      <c r="A1254" s="3"/>
      <c r="B1254" s="37"/>
      <c r="C1254" s="37"/>
      <c r="D1254" s="37"/>
      <c r="E1254" s="5"/>
      <c r="F1254" s="38"/>
      <c r="G1254" s="38"/>
      <c r="H1254" s="38"/>
      <c r="I1254" s="38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5"/>
      <c r="AI1254" s="6"/>
    </row>
    <row r="1255" spans="1:35" x14ac:dyDescent="0.25">
      <c r="A1255" s="3"/>
      <c r="B1255" s="37"/>
      <c r="C1255" s="37"/>
      <c r="D1255" s="37"/>
      <c r="E1255" s="5"/>
      <c r="F1255" s="38"/>
      <c r="G1255" s="38"/>
      <c r="H1255" s="38"/>
      <c r="I1255" s="38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5"/>
      <c r="AI1255" s="6"/>
    </row>
    <row r="1256" spans="1:35" x14ac:dyDescent="0.25">
      <c r="A1256" s="20"/>
      <c r="B1256" s="21"/>
      <c r="C1256" s="21"/>
      <c r="D1256" s="21"/>
      <c r="E1256" s="21"/>
      <c r="F1256" s="21"/>
      <c r="G1256" s="21"/>
      <c r="H1256" s="21"/>
      <c r="I1256" s="21"/>
      <c r="J1256" s="21"/>
      <c r="K1256" s="21"/>
      <c r="L1256" s="21"/>
      <c r="M1256" s="21"/>
      <c r="N1256" s="21"/>
      <c r="O1256" s="22"/>
      <c r="P1256" s="21"/>
      <c r="Q1256" s="21"/>
      <c r="R1256" s="21"/>
      <c r="S1256" s="21"/>
      <c r="T1256" s="21"/>
      <c r="U1256" s="21"/>
      <c r="V1256" s="21"/>
      <c r="W1256" s="21"/>
      <c r="X1256" s="21"/>
      <c r="Y1256" s="21"/>
      <c r="Z1256" s="21"/>
      <c r="AA1256" s="21"/>
      <c r="AB1256" s="21"/>
      <c r="AC1256" s="21"/>
      <c r="AD1256" s="21"/>
      <c r="AE1256" s="21"/>
      <c r="AF1256" s="21"/>
      <c r="AG1256" s="21"/>
      <c r="AH1256" s="21"/>
      <c r="AI1256" s="23"/>
    </row>
    <row r="1257" spans="1:35" x14ac:dyDescent="0.25">
      <c r="A1257" s="24"/>
      <c r="B1257" s="28"/>
      <c r="C1257" s="25"/>
      <c r="D1257" s="25"/>
      <c r="E1257" s="25"/>
      <c r="F1257" s="25"/>
      <c r="G1257" s="25"/>
      <c r="H1257" s="25"/>
      <c r="I1257" s="25"/>
      <c r="J1257" s="25"/>
      <c r="K1257" s="25"/>
      <c r="L1257" s="25"/>
      <c r="M1257" s="25"/>
      <c r="N1257" s="25"/>
      <c r="O1257" s="25"/>
      <c r="P1257" s="25"/>
      <c r="Q1257" s="25"/>
      <c r="R1257" s="25"/>
      <c r="S1257" s="25"/>
      <c r="T1257" s="25"/>
      <c r="U1257" s="25"/>
      <c r="V1257" s="25"/>
      <c r="W1257" s="25"/>
      <c r="X1257" s="25"/>
      <c r="Y1257" s="25"/>
      <c r="Z1257" s="25"/>
      <c r="AA1257" s="25"/>
      <c r="AB1257" s="25"/>
      <c r="AC1257" s="25"/>
      <c r="AD1257" s="25"/>
      <c r="AE1257" s="25"/>
      <c r="AF1257" s="25"/>
      <c r="AG1257" s="25"/>
      <c r="AH1257" s="25"/>
      <c r="AI1257" s="26"/>
    </row>
    <row r="1258" spans="1:35" x14ac:dyDescent="0.25">
      <c r="A1258" s="3"/>
      <c r="B1258" s="4" t="s">
        <v>189</v>
      </c>
      <c r="C1258" s="5"/>
      <c r="D1258" s="5"/>
      <c r="E1258" s="5"/>
      <c r="F1258" s="5"/>
      <c r="G1258" s="5"/>
      <c r="H1258" s="5"/>
      <c r="I1258" s="5" t="str">
        <f>"0x"&amp;BIN2HEX(CONCATENATE(C1263,D1263,E1263,F1263,G1263,H1263,I1263,J1263),2)&amp;BIN2HEX(CONCATENATE(K1263,L1263,M1263,N1263,O1263,P1263,Q1263,R1263),2)&amp;BIN2HEX(CONCATENATE(S1263,T1263,U1263,V1263,W1263,X1263,Y1263,Z1263),2)&amp;BIN2HEX(CONCATENATE(AA1263,AB1263,AC1263,AD1263,AE1263,AF1263,AG1263,AH1263),2)&amp;"_"&amp;BIN2HEX(CONCATENATE(C1267,D1267,E1267,F1267,G1267,H1267,I1267,J1267),2)&amp;BIN2HEX(CONCATENATE(K1267,L1267,M1267,N1267,O1267,P1267,Q1267,R1267),2)&amp;BIN2HEX(CONCATENATE(S1267,T1267,U1267,V1267,W1267,X1267,Y1267,Z1267),2)&amp;BIN2HEX(CONCATENATE(AA1267,AB1267,AC1267,AD1267,AE1267,AF1267,AG1267,AH1267),2)</f>
        <v>0x00000000_00080670</v>
      </c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5"/>
      <c r="AI1258" s="6"/>
    </row>
    <row r="1259" spans="1:35" ht="15.75" thickBot="1" x14ac:dyDescent="0.3">
      <c r="A1259" s="3"/>
      <c r="B1259" s="5"/>
      <c r="C1259" s="7">
        <v>0</v>
      </c>
      <c r="D1259" s="7">
        <v>1</v>
      </c>
      <c r="E1259" s="7">
        <v>2</v>
      </c>
      <c r="F1259" s="7">
        <v>3</v>
      </c>
      <c r="G1259" s="7">
        <v>4</v>
      </c>
      <c r="H1259" s="7">
        <v>5</v>
      </c>
      <c r="I1259" s="7">
        <v>6</v>
      </c>
      <c r="J1259" s="7">
        <v>7</v>
      </c>
      <c r="K1259" s="7">
        <v>8</v>
      </c>
      <c r="L1259" s="7">
        <v>9</v>
      </c>
      <c r="M1259" s="7">
        <v>10</v>
      </c>
      <c r="N1259" s="7">
        <v>11</v>
      </c>
      <c r="O1259" s="7">
        <v>12</v>
      </c>
      <c r="P1259" s="7">
        <v>13</v>
      </c>
      <c r="Q1259" s="7">
        <v>14</v>
      </c>
      <c r="R1259" s="7">
        <v>15</v>
      </c>
      <c r="S1259" s="7">
        <v>16</v>
      </c>
      <c r="T1259" s="7">
        <v>17</v>
      </c>
      <c r="U1259" s="7">
        <v>18</v>
      </c>
      <c r="V1259" s="7">
        <v>19</v>
      </c>
      <c r="W1259" s="7">
        <v>20</v>
      </c>
      <c r="X1259" s="7">
        <v>21</v>
      </c>
      <c r="Y1259" s="7">
        <v>22</v>
      </c>
      <c r="Z1259" s="7">
        <v>23</v>
      </c>
      <c r="AA1259" s="7">
        <v>24</v>
      </c>
      <c r="AB1259" s="7">
        <v>25</v>
      </c>
      <c r="AC1259" s="7">
        <v>26</v>
      </c>
      <c r="AD1259" s="7">
        <v>27</v>
      </c>
      <c r="AE1259" s="7">
        <v>28</v>
      </c>
      <c r="AF1259" s="7">
        <v>29</v>
      </c>
      <c r="AG1259" s="7">
        <v>30</v>
      </c>
      <c r="AH1259" s="7">
        <v>31</v>
      </c>
      <c r="AI1259" s="6"/>
    </row>
    <row r="1260" spans="1:35" x14ac:dyDescent="0.25">
      <c r="A1260" s="3"/>
      <c r="B1260" s="5" t="s">
        <v>31</v>
      </c>
      <c r="C1260" s="328" t="s">
        <v>161</v>
      </c>
      <c r="D1260" s="330" t="s">
        <v>63</v>
      </c>
      <c r="E1260" s="331"/>
      <c r="F1260" s="331"/>
      <c r="G1260" s="331"/>
      <c r="H1260" s="331"/>
      <c r="I1260" s="331"/>
      <c r="J1260" s="332"/>
      <c r="K1260" s="336">
        <v>0</v>
      </c>
      <c r="L1260" s="337"/>
      <c r="M1260" s="337"/>
      <c r="N1260" s="337"/>
      <c r="O1260" s="337"/>
      <c r="P1260" s="337"/>
      <c r="Q1260" s="337"/>
      <c r="R1260" s="337"/>
      <c r="S1260" s="337"/>
      <c r="T1260" s="337"/>
      <c r="U1260" s="337"/>
      <c r="V1260" s="337"/>
      <c r="W1260" s="337"/>
      <c r="X1260" s="337"/>
      <c r="Y1260" s="337"/>
      <c r="Z1260" s="337"/>
      <c r="AA1260" s="337"/>
      <c r="AB1260" s="337"/>
      <c r="AC1260" s="337"/>
      <c r="AD1260" s="337"/>
      <c r="AE1260" s="337"/>
      <c r="AF1260" s="337"/>
      <c r="AG1260" s="337"/>
      <c r="AH1260" s="338"/>
      <c r="AI1260" s="6"/>
    </row>
    <row r="1261" spans="1:35" x14ac:dyDescent="0.25">
      <c r="A1261" s="3"/>
      <c r="B1261" s="5" t="s">
        <v>32</v>
      </c>
      <c r="C1261" s="329"/>
      <c r="D1261" s="333"/>
      <c r="E1261" s="334"/>
      <c r="F1261" s="334"/>
      <c r="G1261" s="334"/>
      <c r="H1261" s="334"/>
      <c r="I1261" s="334"/>
      <c r="J1261" s="335"/>
      <c r="K1261" s="339"/>
      <c r="L1261" s="340"/>
      <c r="M1261" s="340"/>
      <c r="N1261" s="340"/>
      <c r="O1261" s="340"/>
      <c r="P1261" s="340"/>
      <c r="Q1261" s="340"/>
      <c r="R1261" s="340"/>
      <c r="S1261" s="340"/>
      <c r="T1261" s="340"/>
      <c r="U1261" s="340"/>
      <c r="V1261" s="340"/>
      <c r="W1261" s="340"/>
      <c r="X1261" s="340"/>
      <c r="Y1261" s="340"/>
      <c r="Z1261" s="340"/>
      <c r="AA1261" s="340"/>
      <c r="AB1261" s="340"/>
      <c r="AC1261" s="340"/>
      <c r="AD1261" s="340"/>
      <c r="AE1261" s="340"/>
      <c r="AF1261" s="340"/>
      <c r="AG1261" s="340"/>
      <c r="AH1261" s="341"/>
      <c r="AI1261" s="6"/>
    </row>
    <row r="1262" spans="1:35" x14ac:dyDescent="0.25">
      <c r="A1262" s="3"/>
      <c r="B1262" s="5" t="s">
        <v>11</v>
      </c>
      <c r="C1262" s="56">
        <v>0</v>
      </c>
      <c r="D1262" s="57">
        <v>0</v>
      </c>
      <c r="E1262" s="57">
        <v>0</v>
      </c>
      <c r="F1262" s="57">
        <v>0</v>
      </c>
      <c r="G1262" s="57">
        <v>0</v>
      </c>
      <c r="H1262" s="57">
        <v>0</v>
      </c>
      <c r="I1262" s="57">
        <v>0</v>
      </c>
      <c r="J1262" s="57">
        <v>0</v>
      </c>
      <c r="K1262" s="57">
        <v>0</v>
      </c>
      <c r="L1262" s="57">
        <v>0</v>
      </c>
      <c r="M1262" s="57">
        <v>0</v>
      </c>
      <c r="N1262" s="57">
        <v>0</v>
      </c>
      <c r="O1262" s="57">
        <v>0</v>
      </c>
      <c r="P1262" s="57">
        <v>0</v>
      </c>
      <c r="Q1262" s="57">
        <v>0</v>
      </c>
      <c r="R1262" s="57">
        <v>0</v>
      </c>
      <c r="S1262" s="57">
        <v>0</v>
      </c>
      <c r="T1262" s="57">
        <v>0</v>
      </c>
      <c r="U1262" s="57">
        <v>0</v>
      </c>
      <c r="V1262" s="57">
        <v>0</v>
      </c>
      <c r="W1262" s="57">
        <v>0</v>
      </c>
      <c r="X1262" s="57">
        <v>0</v>
      </c>
      <c r="Y1262" s="57">
        <v>0</v>
      </c>
      <c r="Z1262" s="57">
        <v>0</v>
      </c>
      <c r="AA1262" s="57">
        <v>0</v>
      </c>
      <c r="AB1262" s="57">
        <v>0</v>
      </c>
      <c r="AC1262" s="57">
        <v>0</v>
      </c>
      <c r="AD1262" s="57">
        <v>0</v>
      </c>
      <c r="AE1262" s="57">
        <v>0</v>
      </c>
      <c r="AF1262" s="57">
        <v>0</v>
      </c>
      <c r="AG1262" s="57">
        <v>0</v>
      </c>
      <c r="AH1262" s="58">
        <v>0</v>
      </c>
      <c r="AI1262" s="6"/>
    </row>
    <row r="1263" spans="1:35" ht="15.75" thickBot="1" x14ac:dyDescent="0.3">
      <c r="A1263" s="3"/>
      <c r="B1263" s="5" t="s">
        <v>12</v>
      </c>
      <c r="C1263" s="145">
        <v>0</v>
      </c>
      <c r="D1263" s="88">
        <v>0</v>
      </c>
      <c r="E1263" s="88">
        <v>0</v>
      </c>
      <c r="F1263" s="88">
        <v>0</v>
      </c>
      <c r="G1263" s="88">
        <v>0</v>
      </c>
      <c r="H1263" s="88">
        <v>0</v>
      </c>
      <c r="I1263" s="88">
        <v>0</v>
      </c>
      <c r="J1263" s="88">
        <v>0</v>
      </c>
      <c r="K1263" s="62">
        <v>0</v>
      </c>
      <c r="L1263" s="62">
        <v>0</v>
      </c>
      <c r="M1263" s="62">
        <v>0</v>
      </c>
      <c r="N1263" s="62">
        <v>0</v>
      </c>
      <c r="O1263" s="62">
        <v>0</v>
      </c>
      <c r="P1263" s="62">
        <v>0</v>
      </c>
      <c r="Q1263" s="62">
        <v>0</v>
      </c>
      <c r="R1263" s="62">
        <v>0</v>
      </c>
      <c r="S1263" s="62">
        <v>0</v>
      </c>
      <c r="T1263" s="62">
        <v>0</v>
      </c>
      <c r="U1263" s="62">
        <v>0</v>
      </c>
      <c r="V1263" s="62">
        <v>0</v>
      </c>
      <c r="W1263" s="62">
        <v>0</v>
      </c>
      <c r="X1263" s="62">
        <v>0</v>
      </c>
      <c r="Y1263" s="62">
        <v>0</v>
      </c>
      <c r="Z1263" s="62">
        <v>0</v>
      </c>
      <c r="AA1263" s="62">
        <v>0</v>
      </c>
      <c r="AB1263" s="62">
        <v>0</v>
      </c>
      <c r="AC1263" s="62">
        <v>0</v>
      </c>
      <c r="AD1263" s="62">
        <v>0</v>
      </c>
      <c r="AE1263" s="62">
        <v>0</v>
      </c>
      <c r="AF1263" s="62">
        <v>0</v>
      </c>
      <c r="AG1263" s="62">
        <v>0</v>
      </c>
      <c r="AH1263" s="146">
        <v>0</v>
      </c>
      <c r="AI1263" s="6"/>
    </row>
    <row r="1264" spans="1:35" x14ac:dyDescent="0.25">
      <c r="A1264" s="3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5"/>
      <c r="AI1264" s="6"/>
    </row>
    <row r="1265" spans="1:35" ht="15.75" thickBot="1" x14ac:dyDescent="0.3">
      <c r="A1265" s="3"/>
      <c r="B1265" s="5"/>
      <c r="C1265" s="7">
        <v>32</v>
      </c>
      <c r="D1265" s="7">
        <v>33</v>
      </c>
      <c r="E1265" s="7">
        <v>34</v>
      </c>
      <c r="F1265" s="7">
        <v>35</v>
      </c>
      <c r="G1265" s="7">
        <v>36</v>
      </c>
      <c r="H1265" s="7">
        <v>37</v>
      </c>
      <c r="I1265" s="7">
        <v>38</v>
      </c>
      <c r="J1265" s="7">
        <v>39</v>
      </c>
      <c r="K1265" s="7">
        <v>40</v>
      </c>
      <c r="L1265" s="7">
        <v>41</v>
      </c>
      <c r="M1265" s="7">
        <v>42</v>
      </c>
      <c r="N1265" s="7">
        <v>43</v>
      </c>
      <c r="O1265" s="7">
        <v>44</v>
      </c>
      <c r="P1265" s="7">
        <v>45</v>
      </c>
      <c r="Q1265" s="7">
        <v>46</v>
      </c>
      <c r="R1265" s="7">
        <v>47</v>
      </c>
      <c r="S1265" s="7">
        <v>48</v>
      </c>
      <c r="T1265" s="7">
        <v>49</v>
      </c>
      <c r="U1265" s="7">
        <v>50</v>
      </c>
      <c r="V1265" s="7">
        <v>51</v>
      </c>
      <c r="W1265" s="7">
        <v>52</v>
      </c>
      <c r="X1265" s="7">
        <v>53</v>
      </c>
      <c r="Y1265" s="7">
        <v>54</v>
      </c>
      <c r="Z1265" s="7">
        <v>55</v>
      </c>
      <c r="AA1265" s="7">
        <v>56</v>
      </c>
      <c r="AB1265" s="7">
        <v>57</v>
      </c>
      <c r="AC1265" s="7">
        <v>58</v>
      </c>
      <c r="AD1265" s="7">
        <v>59</v>
      </c>
      <c r="AE1265" s="7">
        <v>60</v>
      </c>
      <c r="AF1265" s="7">
        <v>61</v>
      </c>
      <c r="AG1265" s="7">
        <v>62</v>
      </c>
      <c r="AH1265" s="7">
        <v>63</v>
      </c>
      <c r="AI1265" s="6"/>
    </row>
    <row r="1266" spans="1:35" ht="15.75" thickBot="1" x14ac:dyDescent="0.3">
      <c r="A1266" s="3"/>
      <c r="B1266" s="5"/>
      <c r="C1266" s="147" t="s">
        <v>13</v>
      </c>
      <c r="D1266" s="148" t="s">
        <v>14</v>
      </c>
      <c r="E1266" s="148" t="s">
        <v>15</v>
      </c>
      <c r="F1266" s="148" t="s">
        <v>16</v>
      </c>
      <c r="G1266" s="148" t="s">
        <v>17</v>
      </c>
      <c r="H1266" s="148" t="s">
        <v>18</v>
      </c>
      <c r="I1266" s="148" t="s">
        <v>19</v>
      </c>
      <c r="J1266" s="148" t="s">
        <v>20</v>
      </c>
      <c r="K1266" s="148" t="s">
        <v>21</v>
      </c>
      <c r="L1266" s="148" t="s">
        <v>22</v>
      </c>
      <c r="M1266" s="148" t="s">
        <v>23</v>
      </c>
      <c r="N1266" s="148" t="s">
        <v>24</v>
      </c>
      <c r="O1266" s="148" t="s">
        <v>25</v>
      </c>
      <c r="P1266" s="148" t="s">
        <v>26</v>
      </c>
      <c r="Q1266" s="148" t="s">
        <v>27</v>
      </c>
      <c r="R1266" s="342" t="s">
        <v>30</v>
      </c>
      <c r="S1266" s="343"/>
      <c r="T1266" s="343"/>
      <c r="U1266" s="343"/>
      <c r="V1266" s="343"/>
      <c r="W1266" s="343"/>
      <c r="X1266" s="343"/>
      <c r="Y1266" s="343"/>
      <c r="Z1266" s="343"/>
      <c r="AA1266" s="343"/>
      <c r="AB1266" s="343"/>
      <c r="AC1266" s="343"/>
      <c r="AD1266" s="343"/>
      <c r="AE1266" s="343"/>
      <c r="AF1266" s="344"/>
      <c r="AG1266" s="67" t="s">
        <v>28</v>
      </c>
      <c r="AH1266" s="149" t="s">
        <v>29</v>
      </c>
      <c r="AI1266" s="6"/>
    </row>
    <row r="1267" spans="1:35" ht="15.75" thickBot="1" x14ac:dyDescent="0.3">
      <c r="A1267" s="3"/>
      <c r="B1267" s="5"/>
      <c r="C1267" s="150">
        <v>0</v>
      </c>
      <c r="D1267" s="151">
        <v>0</v>
      </c>
      <c r="E1267" s="151">
        <v>0</v>
      </c>
      <c r="F1267" s="151">
        <v>0</v>
      </c>
      <c r="G1267" s="151">
        <v>0</v>
      </c>
      <c r="H1267" s="151">
        <v>0</v>
      </c>
      <c r="I1267" s="151">
        <v>0</v>
      </c>
      <c r="J1267" s="151">
        <v>0</v>
      </c>
      <c r="K1267" s="151">
        <v>0</v>
      </c>
      <c r="L1267" s="151">
        <v>0</v>
      </c>
      <c r="M1267" s="151">
        <v>0</v>
      </c>
      <c r="N1267" s="151">
        <v>0</v>
      </c>
      <c r="O1267" s="151">
        <v>1</v>
      </c>
      <c r="P1267" s="151">
        <v>0</v>
      </c>
      <c r="Q1267" s="151">
        <v>0</v>
      </c>
      <c r="R1267" s="151">
        <v>0</v>
      </c>
      <c r="S1267" s="151">
        <v>0</v>
      </c>
      <c r="T1267" s="151">
        <v>0</v>
      </c>
      <c r="U1267" s="151">
        <v>0</v>
      </c>
      <c r="V1267" s="151">
        <v>0</v>
      </c>
      <c r="W1267" s="151">
        <v>0</v>
      </c>
      <c r="X1267" s="151">
        <v>1</v>
      </c>
      <c r="Y1267" s="151">
        <v>1</v>
      </c>
      <c r="Z1267" s="151">
        <v>0</v>
      </c>
      <c r="AA1267" s="151">
        <v>0</v>
      </c>
      <c r="AB1267" s="151">
        <v>1</v>
      </c>
      <c r="AC1267" s="151">
        <v>1</v>
      </c>
      <c r="AD1267" s="151">
        <v>1</v>
      </c>
      <c r="AE1267" s="151">
        <v>0</v>
      </c>
      <c r="AF1267" s="151">
        <v>0</v>
      </c>
      <c r="AG1267" s="151">
        <v>0</v>
      </c>
      <c r="AH1267" s="152">
        <v>0</v>
      </c>
      <c r="AI1267" s="6"/>
    </row>
    <row r="1268" spans="1:35" x14ac:dyDescent="0.25">
      <c r="A1268" s="3"/>
      <c r="B1268" s="4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5"/>
      <c r="AI1268" s="6"/>
    </row>
    <row r="1269" spans="1:35" x14ac:dyDescent="0.25">
      <c r="A1269" s="3"/>
      <c r="B1269" s="8" t="s">
        <v>43</v>
      </c>
      <c r="C1269" s="9"/>
      <c r="D1269" s="9"/>
      <c r="E1269" s="9"/>
      <c r="F1269" s="44" t="s">
        <v>44</v>
      </c>
      <c r="G1269" s="44"/>
      <c r="H1269" s="44"/>
      <c r="I1269" s="9"/>
      <c r="J1269" s="45" t="s">
        <v>45</v>
      </c>
      <c r="K1269" s="45"/>
      <c r="L1269" s="45"/>
      <c r="M1269" s="45"/>
      <c r="N1269" s="9"/>
      <c r="O1269" s="46" t="s">
        <v>46</v>
      </c>
      <c r="P1269" s="46"/>
      <c r="Q1269" s="46"/>
      <c r="R1269" s="46"/>
      <c r="S1269" s="9"/>
      <c r="T1269" s="1" t="s">
        <v>49</v>
      </c>
      <c r="U1269" s="10" t="s">
        <v>48</v>
      </c>
      <c r="V1269" s="5"/>
      <c r="W1269" s="9"/>
      <c r="X1269" s="9"/>
      <c r="Y1269" s="9"/>
      <c r="Z1269" s="9"/>
      <c r="AA1269" s="9"/>
      <c r="AB1269" s="9"/>
      <c r="AC1269" s="9"/>
      <c r="AD1269" s="9"/>
      <c r="AE1269" s="9"/>
      <c r="AF1269" s="9"/>
      <c r="AG1269" s="9"/>
      <c r="AH1269" s="9"/>
      <c r="AI1269" s="6"/>
    </row>
    <row r="1270" spans="1:35" ht="15" customHeight="1" x14ac:dyDescent="0.25">
      <c r="A1270" s="3"/>
      <c r="B1270" s="42" t="str">
        <f>"0x"&amp;DEC2HEX(Sheet3!$I$4,8)</f>
        <v>0x00400320</v>
      </c>
      <c r="C1270" s="42"/>
      <c r="D1270" s="42"/>
      <c r="E1270" s="12"/>
      <c r="F1270" s="319" t="str">
        <f>"0x"&amp;BIN2HEX(CONCATENATE(C1263,D1263,E1263,F1263,G1263,H1263,I1263,J1263),2)&amp;BIN2HEX(CONCATENATE(K1263,L1263,M1263,N1263,O1263,P1263,Q1263,R1263),2)&amp;BIN2HEX(CONCATENATE(S1263,T1263,U1263,V1263,W1263,X1263,Y1263,Z1263),2)&amp;BIN2HEX(CONCATENATE(AA1263,AB1263,AC1263,AD1263,AE1263,AF1263,AG1263,AH1263),2)</f>
        <v>0x00000000</v>
      </c>
      <c r="G1270" s="319"/>
      <c r="H1270" s="319"/>
      <c r="I1270" s="12"/>
      <c r="J1270" s="319" t="str">
        <f>"0b"&amp;C1267&amp;D1267&amp;E1267&amp;F1267&amp;G1267&amp;H1267&amp;I1267&amp;J1267&amp;K1267&amp;L1267&amp;M1267&amp;N1267&amp;O1267&amp;P1267&amp;Q1267</f>
        <v>0b000000000000100</v>
      </c>
      <c r="K1270" s="319"/>
      <c r="L1270" s="319"/>
      <c r="M1270" s="319"/>
      <c r="N1270" s="12"/>
      <c r="O1270" s="319" t="str">
        <f>"0b"&amp;DEC2BIN(((AF1267+AE1267*2+AD1267*4+AC1267*8+AB1267*16+AA1267*32+Z1267*64+Y1267*128+X1267*256+W1267*512+V1267*1024+U1267*2048+T1267*4096+S1267*2^13+R1267*2^14)/512),6)&amp;DEC2BIN(MOD((AF1267+AE1267*2+AD1267*4+AC1267*8+AB1267*16+AA1267*32+Z1267*64+Y1267*128+X1267*256+W1267*512+V1267*1024+U1267*2048+T1267*4096+S1267*2^13+R1267*2^14),512),9)</f>
        <v>0b000000110011100</v>
      </c>
      <c r="P1270" s="319"/>
      <c r="Q1270" s="319"/>
      <c r="R1270" s="319"/>
      <c r="S1270" s="12"/>
      <c r="T1270" s="13">
        <v>0</v>
      </c>
      <c r="U1270" s="13">
        <f>AH1267</f>
        <v>0</v>
      </c>
      <c r="V1270" s="5"/>
      <c r="W1270" s="14"/>
      <c r="X1270" s="14"/>
      <c r="Y1270" s="14"/>
      <c r="Z1270" s="14"/>
      <c r="AA1270" s="14"/>
      <c r="AB1270" s="14"/>
      <c r="AC1270" s="14"/>
      <c r="AD1270" s="14"/>
      <c r="AE1270" s="14"/>
      <c r="AF1270" s="14"/>
      <c r="AG1270" s="14"/>
      <c r="AH1270" s="14"/>
      <c r="AI1270" s="6"/>
    </row>
    <row r="1271" spans="1:35" x14ac:dyDescent="0.25">
      <c r="A1271" s="3"/>
      <c r="B1271" s="42"/>
      <c r="C1271" s="42"/>
      <c r="D1271" s="42"/>
      <c r="E1271" s="15"/>
      <c r="F1271" s="43"/>
      <c r="G1271" s="43"/>
      <c r="H1271" s="43"/>
      <c r="I1271" s="15"/>
      <c r="J1271" s="42"/>
      <c r="K1271" s="42"/>
      <c r="L1271" s="42"/>
      <c r="M1271" s="42"/>
      <c r="N1271" s="15"/>
      <c r="O1271" s="42"/>
      <c r="P1271" s="42"/>
      <c r="Q1271" s="42"/>
      <c r="R1271" s="42"/>
      <c r="S1271" s="15"/>
      <c r="T1271" s="13"/>
      <c r="U1271" s="15"/>
      <c r="V1271" s="5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6"/>
    </row>
    <row r="1272" spans="1:35" x14ac:dyDescent="0.25">
      <c r="A1272" s="3"/>
      <c r="B1272" s="42"/>
      <c r="C1272" s="42"/>
      <c r="D1272" s="42"/>
      <c r="E1272" s="15"/>
      <c r="F1272" s="43"/>
      <c r="G1272" s="43"/>
      <c r="H1272" s="43"/>
      <c r="I1272" s="15"/>
      <c r="J1272" s="42"/>
      <c r="K1272" s="42"/>
      <c r="L1272" s="42"/>
      <c r="M1272" s="42"/>
      <c r="N1272" s="15"/>
      <c r="O1272" s="42"/>
      <c r="P1272" s="42"/>
      <c r="Q1272" s="42"/>
      <c r="R1272" s="42"/>
      <c r="S1272" s="15"/>
      <c r="T1272" s="13"/>
      <c r="U1272" s="15"/>
      <c r="V1272" s="5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6"/>
    </row>
    <row r="1273" spans="1:35" x14ac:dyDescent="0.25">
      <c r="A1273" s="3"/>
      <c r="B1273" s="5"/>
      <c r="C1273" s="5"/>
      <c r="D1273" s="5"/>
      <c r="E1273" s="5"/>
      <c r="F1273" s="17"/>
      <c r="G1273" s="17"/>
      <c r="H1273" s="17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5"/>
      <c r="AI1273" s="6"/>
    </row>
    <row r="1274" spans="1:35" x14ac:dyDescent="0.25">
      <c r="A1274" s="3"/>
      <c r="B1274" s="5" t="s">
        <v>47</v>
      </c>
      <c r="C1274" s="18"/>
      <c r="D1274" s="18"/>
      <c r="E1274" s="18"/>
      <c r="F1274" s="5"/>
      <c r="G1274" s="5"/>
      <c r="H1274" s="5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  <c r="AB1274" s="18"/>
      <c r="AC1274" s="18"/>
      <c r="AD1274" s="18"/>
      <c r="AE1274" s="18"/>
      <c r="AF1274" s="18"/>
      <c r="AG1274" s="18"/>
      <c r="AH1274" s="18"/>
      <c r="AI1274" s="6"/>
    </row>
    <row r="1275" spans="1:35" ht="15" customHeight="1" x14ac:dyDescent="0.25">
      <c r="A1275" s="3"/>
      <c r="B1275" s="42" t="str">
        <f>"0x"&amp;DEC2HEX(Sheet3!$I$4,8)</f>
        <v>0x00400320</v>
      </c>
      <c r="C1275" s="42"/>
      <c r="D1275" s="42"/>
      <c r="E1275" s="16"/>
      <c r="F1275" s="322" t="str">
        <f>F1270&amp;BIN2HEX(MID(J1270,3,8),2)&amp;BIN2HEX(RIGHT(J1270,7)&amp;MID(O1270,3,1),2)&amp;BIN2HEX(MID(O1270,4,8),2)&amp;BIN2HEX(RIGHT(O1270,6)&amp;T1270&amp;U1270,2)</f>
        <v>0x0000000000080670</v>
      </c>
      <c r="G1275" s="322"/>
      <c r="H1275" s="322"/>
      <c r="I1275" s="322"/>
      <c r="J1275" s="5"/>
      <c r="K1275" s="5"/>
      <c r="L1275" s="5"/>
      <c r="M1275" s="5"/>
      <c r="N1275" s="5"/>
      <c r="O1275" s="5"/>
      <c r="P1275" s="16"/>
      <c r="Q1275" s="16"/>
      <c r="R1275" s="19"/>
      <c r="S1275" s="19"/>
      <c r="T1275" s="19"/>
      <c r="U1275" s="19"/>
      <c r="V1275" s="19"/>
      <c r="W1275" s="19"/>
      <c r="X1275" s="19"/>
      <c r="Y1275" s="19"/>
      <c r="Z1275" s="19"/>
      <c r="AA1275" s="19"/>
      <c r="AB1275" s="19"/>
      <c r="AC1275" s="19"/>
      <c r="AD1275" s="19"/>
      <c r="AE1275" s="19"/>
      <c r="AF1275" s="19"/>
      <c r="AG1275" s="5"/>
      <c r="AH1275" s="5"/>
      <c r="AI1275" s="6"/>
    </row>
    <row r="1276" spans="1:35" x14ac:dyDescent="0.25">
      <c r="A1276" s="3"/>
      <c r="B1276" s="37"/>
      <c r="C1276" s="37"/>
      <c r="D1276" s="37"/>
      <c r="E1276" s="5"/>
      <c r="F1276" s="38"/>
      <c r="G1276" s="38"/>
      <c r="H1276" s="38"/>
      <c r="I1276" s="38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5"/>
      <c r="AI1276" s="6"/>
    </row>
    <row r="1277" spans="1:35" x14ac:dyDescent="0.25">
      <c r="A1277" s="3"/>
      <c r="B1277" s="37"/>
      <c r="C1277" s="37"/>
      <c r="D1277" s="37"/>
      <c r="E1277" s="5"/>
      <c r="F1277" s="38"/>
      <c r="G1277" s="38"/>
      <c r="H1277" s="38"/>
      <c r="I1277" s="38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5"/>
      <c r="AI1277" s="6"/>
    </row>
    <row r="1278" spans="1:35" x14ac:dyDescent="0.25">
      <c r="A1278" s="20"/>
      <c r="B1278" s="21"/>
      <c r="C1278" s="21"/>
      <c r="D1278" s="21"/>
      <c r="E1278" s="21"/>
      <c r="F1278" s="21"/>
      <c r="G1278" s="21"/>
      <c r="H1278" s="21"/>
      <c r="I1278" s="21"/>
      <c r="J1278" s="21"/>
      <c r="K1278" s="21"/>
      <c r="L1278" s="21"/>
      <c r="M1278" s="21"/>
      <c r="N1278" s="21"/>
      <c r="O1278" s="22"/>
      <c r="P1278" s="21"/>
      <c r="Q1278" s="21"/>
      <c r="R1278" s="21"/>
      <c r="S1278" s="21"/>
      <c r="T1278" s="21"/>
      <c r="U1278" s="21"/>
      <c r="V1278" s="21"/>
      <c r="W1278" s="21"/>
      <c r="X1278" s="21"/>
      <c r="Y1278" s="21"/>
      <c r="Z1278" s="21"/>
      <c r="AA1278" s="21"/>
      <c r="AB1278" s="21"/>
      <c r="AC1278" s="21"/>
      <c r="AD1278" s="21"/>
      <c r="AE1278" s="21"/>
      <c r="AF1278" s="21"/>
      <c r="AG1278" s="21"/>
      <c r="AH1278" s="21"/>
      <c r="AI1278" s="23"/>
    </row>
    <row r="1279" spans="1:35" x14ac:dyDescent="0.25">
      <c r="A1279" s="24"/>
      <c r="B1279" s="28"/>
      <c r="C1279" s="25"/>
      <c r="D1279" s="25"/>
      <c r="E1279" s="25"/>
      <c r="F1279" s="25"/>
      <c r="G1279" s="25"/>
      <c r="H1279" s="25"/>
      <c r="I1279" s="25"/>
      <c r="J1279" s="25"/>
      <c r="K1279" s="25"/>
      <c r="L1279" s="25"/>
      <c r="M1279" s="25"/>
      <c r="N1279" s="25"/>
      <c r="O1279" s="25"/>
      <c r="P1279" s="25"/>
      <c r="Q1279" s="25"/>
      <c r="R1279" s="25"/>
      <c r="S1279" s="25"/>
      <c r="T1279" s="25"/>
      <c r="U1279" s="25"/>
      <c r="V1279" s="25"/>
      <c r="W1279" s="25"/>
      <c r="X1279" s="25"/>
      <c r="Y1279" s="25"/>
      <c r="Z1279" s="25"/>
      <c r="AA1279" s="25"/>
      <c r="AB1279" s="25"/>
      <c r="AC1279" s="25"/>
      <c r="AD1279" s="25"/>
      <c r="AE1279" s="25"/>
      <c r="AF1279" s="25"/>
      <c r="AG1279" s="25"/>
      <c r="AH1279" s="25"/>
      <c r="AI1279" s="26"/>
    </row>
    <row r="1280" spans="1:35" x14ac:dyDescent="0.25">
      <c r="A1280" s="3"/>
      <c r="B1280" s="4" t="s">
        <v>190</v>
      </c>
      <c r="C1280" s="5"/>
      <c r="D1280" s="5"/>
      <c r="E1280" s="5"/>
      <c r="F1280" s="5"/>
      <c r="G1280" s="5"/>
      <c r="H1280" s="5"/>
      <c r="I1280" s="5" t="str">
        <f>"0x"&amp;BIN2HEX(CONCATENATE(C1285,D1285,E1285,F1285,G1285,H1285,I1285,J1285),2)&amp;BIN2HEX(CONCATENATE(K1285,L1285,M1285,N1285,O1285,P1285,Q1285,R1285),2)&amp;BIN2HEX(CONCATENATE(S1285,T1285,U1285,V1285,W1285,X1285,Y1285,Z1285),2)&amp;BIN2HEX(CONCATENATE(AA1285,AB1285,AC1285,AD1285,AE1285,AF1285,AG1285,AH1285),2)&amp;"_"&amp;BIN2HEX(CONCATENATE(C1289,D1289,E1289,F1289,G1289,H1289,I1289,J1289),2)&amp;BIN2HEX(CONCATENATE(K1289,L1289,M1289,N1289,O1289,P1289,Q1289,R1289),2)&amp;BIN2HEX(CONCATENATE(S1289,T1289,U1289,V1289,W1289,X1289,Y1289,Z1289),2)&amp;BIN2HEX(CONCATENATE(AA1289,AB1289,AC1289,AD1289,AE1289,AF1289,AG1289,AH1289),2)</f>
        <v>0x00000000_00080674</v>
      </c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5"/>
      <c r="AI1280" s="6"/>
    </row>
    <row r="1281" spans="1:35" ht="15.75" thickBot="1" x14ac:dyDescent="0.3">
      <c r="A1281" s="3"/>
      <c r="B1281" s="5"/>
      <c r="C1281" s="7">
        <v>0</v>
      </c>
      <c r="D1281" s="7">
        <v>1</v>
      </c>
      <c r="E1281" s="7">
        <v>2</v>
      </c>
      <c r="F1281" s="7">
        <v>3</v>
      </c>
      <c r="G1281" s="7">
        <v>4</v>
      </c>
      <c r="H1281" s="7">
        <v>5</v>
      </c>
      <c r="I1281" s="7">
        <v>6</v>
      </c>
      <c r="J1281" s="7">
        <v>7</v>
      </c>
      <c r="K1281" s="7">
        <v>8</v>
      </c>
      <c r="L1281" s="7">
        <v>9</v>
      </c>
      <c r="M1281" s="7">
        <v>10</v>
      </c>
      <c r="N1281" s="7">
        <v>11</v>
      </c>
      <c r="O1281" s="7">
        <v>12</v>
      </c>
      <c r="P1281" s="7">
        <v>13</v>
      </c>
      <c r="Q1281" s="7">
        <v>14</v>
      </c>
      <c r="R1281" s="7">
        <v>15</v>
      </c>
      <c r="S1281" s="7">
        <v>16</v>
      </c>
      <c r="T1281" s="7">
        <v>17</v>
      </c>
      <c r="U1281" s="7">
        <v>18</v>
      </c>
      <c r="V1281" s="7">
        <v>19</v>
      </c>
      <c r="W1281" s="7">
        <v>20</v>
      </c>
      <c r="X1281" s="7">
        <v>21</v>
      </c>
      <c r="Y1281" s="7">
        <v>22</v>
      </c>
      <c r="Z1281" s="7">
        <v>23</v>
      </c>
      <c r="AA1281" s="7">
        <v>24</v>
      </c>
      <c r="AB1281" s="7">
        <v>25</v>
      </c>
      <c r="AC1281" s="7">
        <v>26</v>
      </c>
      <c r="AD1281" s="7">
        <v>27</v>
      </c>
      <c r="AE1281" s="7">
        <v>28</v>
      </c>
      <c r="AF1281" s="7">
        <v>29</v>
      </c>
      <c r="AG1281" s="7">
        <v>30</v>
      </c>
      <c r="AH1281" s="7">
        <v>31</v>
      </c>
      <c r="AI1281" s="6"/>
    </row>
    <row r="1282" spans="1:35" x14ac:dyDescent="0.25">
      <c r="A1282" s="3"/>
      <c r="B1282" s="5" t="s">
        <v>31</v>
      </c>
      <c r="C1282" s="328" t="s">
        <v>161</v>
      </c>
      <c r="D1282" s="330" t="s">
        <v>63</v>
      </c>
      <c r="E1282" s="331"/>
      <c r="F1282" s="331"/>
      <c r="G1282" s="331"/>
      <c r="H1282" s="331"/>
      <c r="I1282" s="331"/>
      <c r="J1282" s="332"/>
      <c r="K1282" s="336">
        <v>0</v>
      </c>
      <c r="L1282" s="337"/>
      <c r="M1282" s="337"/>
      <c r="N1282" s="337"/>
      <c r="O1282" s="337"/>
      <c r="P1282" s="337"/>
      <c r="Q1282" s="337"/>
      <c r="R1282" s="337"/>
      <c r="S1282" s="337"/>
      <c r="T1282" s="337"/>
      <c r="U1282" s="337"/>
      <c r="V1282" s="337"/>
      <c r="W1282" s="337"/>
      <c r="X1282" s="337"/>
      <c r="Y1282" s="337"/>
      <c r="Z1282" s="337"/>
      <c r="AA1282" s="337"/>
      <c r="AB1282" s="337"/>
      <c r="AC1282" s="337"/>
      <c r="AD1282" s="337"/>
      <c r="AE1282" s="337"/>
      <c r="AF1282" s="337"/>
      <c r="AG1282" s="337"/>
      <c r="AH1282" s="338"/>
      <c r="AI1282" s="6"/>
    </row>
    <row r="1283" spans="1:35" x14ac:dyDescent="0.25">
      <c r="A1283" s="3"/>
      <c r="B1283" s="5" t="s">
        <v>32</v>
      </c>
      <c r="C1283" s="329"/>
      <c r="D1283" s="333"/>
      <c r="E1283" s="334"/>
      <c r="F1283" s="334"/>
      <c r="G1283" s="334"/>
      <c r="H1283" s="334"/>
      <c r="I1283" s="334"/>
      <c r="J1283" s="335"/>
      <c r="K1283" s="339"/>
      <c r="L1283" s="340"/>
      <c r="M1283" s="340"/>
      <c r="N1283" s="340"/>
      <c r="O1283" s="340"/>
      <c r="P1283" s="340"/>
      <c r="Q1283" s="340"/>
      <c r="R1283" s="340"/>
      <c r="S1283" s="340"/>
      <c r="T1283" s="340"/>
      <c r="U1283" s="340"/>
      <c r="V1283" s="340"/>
      <c r="W1283" s="340"/>
      <c r="X1283" s="340"/>
      <c r="Y1283" s="340"/>
      <c r="Z1283" s="340"/>
      <c r="AA1283" s="340"/>
      <c r="AB1283" s="340"/>
      <c r="AC1283" s="340"/>
      <c r="AD1283" s="340"/>
      <c r="AE1283" s="340"/>
      <c r="AF1283" s="340"/>
      <c r="AG1283" s="340"/>
      <c r="AH1283" s="341"/>
      <c r="AI1283" s="6"/>
    </row>
    <row r="1284" spans="1:35" x14ac:dyDescent="0.25">
      <c r="A1284" s="3"/>
      <c r="B1284" s="5" t="s">
        <v>11</v>
      </c>
      <c r="C1284" s="56">
        <v>0</v>
      </c>
      <c r="D1284" s="57">
        <v>0</v>
      </c>
      <c r="E1284" s="57">
        <v>0</v>
      </c>
      <c r="F1284" s="57">
        <v>0</v>
      </c>
      <c r="G1284" s="57">
        <v>0</v>
      </c>
      <c r="H1284" s="57">
        <v>0</v>
      </c>
      <c r="I1284" s="57">
        <v>0</v>
      </c>
      <c r="J1284" s="57">
        <v>0</v>
      </c>
      <c r="K1284" s="57">
        <v>0</v>
      </c>
      <c r="L1284" s="57">
        <v>0</v>
      </c>
      <c r="M1284" s="57">
        <v>0</v>
      </c>
      <c r="N1284" s="57">
        <v>0</v>
      </c>
      <c r="O1284" s="57">
        <v>0</v>
      </c>
      <c r="P1284" s="57">
        <v>0</v>
      </c>
      <c r="Q1284" s="57">
        <v>0</v>
      </c>
      <c r="R1284" s="57">
        <v>0</v>
      </c>
      <c r="S1284" s="57">
        <v>0</v>
      </c>
      <c r="T1284" s="57">
        <v>0</v>
      </c>
      <c r="U1284" s="57">
        <v>0</v>
      </c>
      <c r="V1284" s="57">
        <v>0</v>
      </c>
      <c r="W1284" s="57">
        <v>0</v>
      </c>
      <c r="X1284" s="57">
        <v>0</v>
      </c>
      <c r="Y1284" s="57">
        <v>0</v>
      </c>
      <c r="Z1284" s="57">
        <v>0</v>
      </c>
      <c r="AA1284" s="57">
        <v>0</v>
      </c>
      <c r="AB1284" s="57">
        <v>0</v>
      </c>
      <c r="AC1284" s="57">
        <v>0</v>
      </c>
      <c r="AD1284" s="57">
        <v>0</v>
      </c>
      <c r="AE1284" s="57">
        <v>0</v>
      </c>
      <c r="AF1284" s="57">
        <v>0</v>
      </c>
      <c r="AG1284" s="57">
        <v>0</v>
      </c>
      <c r="AH1284" s="58">
        <v>0</v>
      </c>
      <c r="AI1284" s="6"/>
    </row>
    <row r="1285" spans="1:35" ht="15.75" thickBot="1" x14ac:dyDescent="0.3">
      <c r="A1285" s="3"/>
      <c r="B1285" s="5" t="s">
        <v>12</v>
      </c>
      <c r="C1285" s="145">
        <v>0</v>
      </c>
      <c r="D1285" s="88">
        <v>0</v>
      </c>
      <c r="E1285" s="88">
        <v>0</v>
      </c>
      <c r="F1285" s="88">
        <v>0</v>
      </c>
      <c r="G1285" s="88">
        <v>0</v>
      </c>
      <c r="H1285" s="88">
        <v>0</v>
      </c>
      <c r="I1285" s="88">
        <v>0</v>
      </c>
      <c r="J1285" s="88">
        <v>0</v>
      </c>
      <c r="K1285" s="62">
        <v>0</v>
      </c>
      <c r="L1285" s="62">
        <v>0</v>
      </c>
      <c r="M1285" s="62">
        <v>0</v>
      </c>
      <c r="N1285" s="62">
        <v>0</v>
      </c>
      <c r="O1285" s="62">
        <v>0</v>
      </c>
      <c r="P1285" s="62">
        <v>0</v>
      </c>
      <c r="Q1285" s="62">
        <v>0</v>
      </c>
      <c r="R1285" s="62">
        <v>0</v>
      </c>
      <c r="S1285" s="62">
        <v>0</v>
      </c>
      <c r="T1285" s="62">
        <v>0</v>
      </c>
      <c r="U1285" s="62">
        <v>0</v>
      </c>
      <c r="V1285" s="62">
        <v>0</v>
      </c>
      <c r="W1285" s="62">
        <v>0</v>
      </c>
      <c r="X1285" s="62">
        <v>0</v>
      </c>
      <c r="Y1285" s="62">
        <v>0</v>
      </c>
      <c r="Z1285" s="62">
        <v>0</v>
      </c>
      <c r="AA1285" s="62">
        <v>0</v>
      </c>
      <c r="AB1285" s="62">
        <v>0</v>
      </c>
      <c r="AC1285" s="62">
        <v>0</v>
      </c>
      <c r="AD1285" s="62">
        <v>0</v>
      </c>
      <c r="AE1285" s="62">
        <v>0</v>
      </c>
      <c r="AF1285" s="62">
        <v>0</v>
      </c>
      <c r="AG1285" s="62">
        <v>0</v>
      </c>
      <c r="AH1285" s="146">
        <v>0</v>
      </c>
      <c r="AI1285" s="6"/>
    </row>
    <row r="1286" spans="1:35" x14ac:dyDescent="0.25">
      <c r="A1286" s="3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5"/>
      <c r="AI1286" s="6"/>
    </row>
    <row r="1287" spans="1:35" ht="15.75" thickBot="1" x14ac:dyDescent="0.3">
      <c r="A1287" s="3"/>
      <c r="B1287" s="5"/>
      <c r="C1287" s="7">
        <v>32</v>
      </c>
      <c r="D1287" s="7">
        <v>33</v>
      </c>
      <c r="E1287" s="7">
        <v>34</v>
      </c>
      <c r="F1287" s="7">
        <v>35</v>
      </c>
      <c r="G1287" s="7">
        <v>36</v>
      </c>
      <c r="H1287" s="7">
        <v>37</v>
      </c>
      <c r="I1287" s="7">
        <v>38</v>
      </c>
      <c r="J1287" s="7">
        <v>39</v>
      </c>
      <c r="K1287" s="7">
        <v>40</v>
      </c>
      <c r="L1287" s="7">
        <v>41</v>
      </c>
      <c r="M1287" s="7">
        <v>42</v>
      </c>
      <c r="N1287" s="7">
        <v>43</v>
      </c>
      <c r="O1287" s="7">
        <v>44</v>
      </c>
      <c r="P1287" s="7">
        <v>45</v>
      </c>
      <c r="Q1287" s="7">
        <v>46</v>
      </c>
      <c r="R1287" s="7">
        <v>47</v>
      </c>
      <c r="S1287" s="7">
        <v>48</v>
      </c>
      <c r="T1287" s="7">
        <v>49</v>
      </c>
      <c r="U1287" s="7">
        <v>50</v>
      </c>
      <c r="V1287" s="7">
        <v>51</v>
      </c>
      <c r="W1287" s="7">
        <v>52</v>
      </c>
      <c r="X1287" s="7">
        <v>53</v>
      </c>
      <c r="Y1287" s="7">
        <v>54</v>
      </c>
      <c r="Z1287" s="7">
        <v>55</v>
      </c>
      <c r="AA1287" s="7">
        <v>56</v>
      </c>
      <c r="AB1287" s="7">
        <v>57</v>
      </c>
      <c r="AC1287" s="7">
        <v>58</v>
      </c>
      <c r="AD1287" s="7">
        <v>59</v>
      </c>
      <c r="AE1287" s="7">
        <v>60</v>
      </c>
      <c r="AF1287" s="7">
        <v>61</v>
      </c>
      <c r="AG1287" s="7">
        <v>62</v>
      </c>
      <c r="AH1287" s="7">
        <v>63</v>
      </c>
      <c r="AI1287" s="6"/>
    </row>
    <row r="1288" spans="1:35" ht="15.75" thickBot="1" x14ac:dyDescent="0.3">
      <c r="A1288" s="3"/>
      <c r="B1288" s="5"/>
      <c r="C1288" s="147" t="s">
        <v>13</v>
      </c>
      <c r="D1288" s="148" t="s">
        <v>14</v>
      </c>
      <c r="E1288" s="148" t="s">
        <v>15</v>
      </c>
      <c r="F1288" s="148" t="s">
        <v>16</v>
      </c>
      <c r="G1288" s="148" t="s">
        <v>17</v>
      </c>
      <c r="H1288" s="148" t="s">
        <v>18</v>
      </c>
      <c r="I1288" s="148" t="s">
        <v>19</v>
      </c>
      <c r="J1288" s="148" t="s">
        <v>20</v>
      </c>
      <c r="K1288" s="148" t="s">
        <v>21</v>
      </c>
      <c r="L1288" s="148" t="s">
        <v>22</v>
      </c>
      <c r="M1288" s="148" t="s">
        <v>23</v>
      </c>
      <c r="N1288" s="148" t="s">
        <v>24</v>
      </c>
      <c r="O1288" s="148" t="s">
        <v>25</v>
      </c>
      <c r="P1288" s="148" t="s">
        <v>26</v>
      </c>
      <c r="Q1288" s="148" t="s">
        <v>27</v>
      </c>
      <c r="R1288" s="342" t="s">
        <v>30</v>
      </c>
      <c r="S1288" s="343"/>
      <c r="T1288" s="343"/>
      <c r="U1288" s="343"/>
      <c r="V1288" s="343"/>
      <c r="W1288" s="343"/>
      <c r="X1288" s="343"/>
      <c r="Y1288" s="343"/>
      <c r="Z1288" s="343"/>
      <c r="AA1288" s="343"/>
      <c r="AB1288" s="343"/>
      <c r="AC1288" s="343"/>
      <c r="AD1288" s="343"/>
      <c r="AE1288" s="343"/>
      <c r="AF1288" s="344"/>
      <c r="AG1288" s="67" t="s">
        <v>28</v>
      </c>
      <c r="AH1288" s="149" t="s">
        <v>29</v>
      </c>
      <c r="AI1288" s="6"/>
    </row>
    <row r="1289" spans="1:35" ht="15.75" thickBot="1" x14ac:dyDescent="0.3">
      <c r="A1289" s="3"/>
      <c r="B1289" s="5"/>
      <c r="C1289" s="150">
        <v>0</v>
      </c>
      <c r="D1289" s="151">
        <v>0</v>
      </c>
      <c r="E1289" s="151">
        <v>0</v>
      </c>
      <c r="F1289" s="151">
        <v>0</v>
      </c>
      <c r="G1289" s="151">
        <v>0</v>
      </c>
      <c r="H1289" s="151">
        <v>0</v>
      </c>
      <c r="I1289" s="151">
        <v>0</v>
      </c>
      <c r="J1289" s="151">
        <v>0</v>
      </c>
      <c r="K1289" s="151">
        <v>0</v>
      </c>
      <c r="L1289" s="151">
        <v>0</v>
      </c>
      <c r="M1289" s="151">
        <v>0</v>
      </c>
      <c r="N1289" s="151">
        <v>0</v>
      </c>
      <c r="O1289" s="151">
        <v>1</v>
      </c>
      <c r="P1289" s="151">
        <v>0</v>
      </c>
      <c r="Q1289" s="151">
        <v>0</v>
      </c>
      <c r="R1289" s="151">
        <v>0</v>
      </c>
      <c r="S1289" s="151">
        <v>0</v>
      </c>
      <c r="T1289" s="151">
        <v>0</v>
      </c>
      <c r="U1289" s="151">
        <v>0</v>
      </c>
      <c r="V1289" s="151">
        <v>0</v>
      </c>
      <c r="W1289" s="151">
        <v>0</v>
      </c>
      <c r="X1289" s="151">
        <v>1</v>
      </c>
      <c r="Y1289" s="151">
        <v>1</v>
      </c>
      <c r="Z1289" s="151">
        <v>0</v>
      </c>
      <c r="AA1289" s="151">
        <v>0</v>
      </c>
      <c r="AB1289" s="151">
        <v>1</v>
      </c>
      <c r="AC1289" s="151">
        <v>1</v>
      </c>
      <c r="AD1289" s="151">
        <v>1</v>
      </c>
      <c r="AE1289" s="151">
        <v>0</v>
      </c>
      <c r="AF1289" s="151">
        <v>1</v>
      </c>
      <c r="AG1289" s="151">
        <v>0</v>
      </c>
      <c r="AH1289" s="152">
        <v>0</v>
      </c>
      <c r="AI1289" s="6"/>
    </row>
    <row r="1290" spans="1:35" x14ac:dyDescent="0.25">
      <c r="A1290" s="3"/>
      <c r="B1290" s="4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5"/>
      <c r="AI1290" s="6"/>
    </row>
    <row r="1291" spans="1:35" x14ac:dyDescent="0.25">
      <c r="A1291" s="3"/>
      <c r="B1291" s="8" t="s">
        <v>43</v>
      </c>
      <c r="C1291" s="9"/>
      <c r="D1291" s="9"/>
      <c r="E1291" s="9"/>
      <c r="F1291" s="44" t="s">
        <v>44</v>
      </c>
      <c r="G1291" s="44"/>
      <c r="H1291" s="44"/>
      <c r="I1291" s="9"/>
      <c r="J1291" s="45" t="s">
        <v>45</v>
      </c>
      <c r="K1291" s="45"/>
      <c r="L1291" s="45"/>
      <c r="M1291" s="45"/>
      <c r="N1291" s="9"/>
      <c r="O1291" s="46" t="s">
        <v>46</v>
      </c>
      <c r="P1291" s="46"/>
      <c r="Q1291" s="46"/>
      <c r="R1291" s="46"/>
      <c r="S1291" s="9"/>
      <c r="T1291" s="1" t="s">
        <v>49</v>
      </c>
      <c r="U1291" s="10" t="s">
        <v>48</v>
      </c>
      <c r="V1291" s="5"/>
      <c r="W1291" s="9"/>
      <c r="X1291" s="9"/>
      <c r="Y1291" s="9"/>
      <c r="Z1291" s="9"/>
      <c r="AA1291" s="9"/>
      <c r="AB1291" s="9"/>
      <c r="AC1291" s="9"/>
      <c r="AD1291" s="9"/>
      <c r="AE1291" s="9"/>
      <c r="AF1291" s="9"/>
      <c r="AG1291" s="9"/>
      <c r="AH1291" s="9"/>
      <c r="AI1291" s="6"/>
    </row>
    <row r="1292" spans="1:35" ht="15" customHeight="1" x14ac:dyDescent="0.25">
      <c r="A1292" s="3"/>
      <c r="B1292" s="42" t="str">
        <f>"0x"&amp;DEC2HEX(Sheet3!$I$4,8)</f>
        <v>0x00400320</v>
      </c>
      <c r="C1292" s="42"/>
      <c r="D1292" s="42"/>
      <c r="E1292" s="12"/>
      <c r="F1292" s="319" t="str">
        <f>"0x"&amp;BIN2HEX(CONCATENATE(C1285,D1285,E1285,F1285,G1285,H1285,I1285,J1285),2)&amp;BIN2HEX(CONCATENATE(K1285,L1285,M1285,N1285,O1285,P1285,Q1285,R1285),2)&amp;BIN2HEX(CONCATENATE(S1285,T1285,U1285,V1285,W1285,X1285,Y1285,Z1285),2)&amp;BIN2HEX(CONCATENATE(AA1285,AB1285,AC1285,AD1285,AE1285,AF1285,AG1285,AH1285),2)</f>
        <v>0x00000000</v>
      </c>
      <c r="G1292" s="319"/>
      <c r="H1292" s="319"/>
      <c r="I1292" s="12"/>
      <c r="J1292" s="319" t="str">
        <f>"0b"&amp;C1289&amp;D1289&amp;E1289&amp;F1289&amp;G1289&amp;H1289&amp;I1289&amp;J1289&amp;K1289&amp;L1289&amp;M1289&amp;N1289&amp;O1289&amp;P1289&amp;Q1289</f>
        <v>0b000000000000100</v>
      </c>
      <c r="K1292" s="319"/>
      <c r="L1292" s="319"/>
      <c r="M1292" s="319"/>
      <c r="N1292" s="12"/>
      <c r="O1292" s="319" t="str">
        <f>"0b"&amp;DEC2BIN(((AF1289+AE1289*2+AD1289*4+AC1289*8+AB1289*16+AA1289*32+Z1289*64+Y1289*128+X1289*256+W1289*512+V1289*1024+U1289*2048+T1289*4096+S1289*2^13+R1289*2^14)/512),6)&amp;DEC2BIN(MOD((AF1289+AE1289*2+AD1289*4+AC1289*8+AB1289*16+AA1289*32+Z1289*64+Y1289*128+X1289*256+W1289*512+V1289*1024+U1289*2048+T1289*4096+S1289*2^13+R1289*2^14),512),9)</f>
        <v>0b000000110011101</v>
      </c>
      <c r="P1292" s="319"/>
      <c r="Q1292" s="319"/>
      <c r="R1292" s="319"/>
      <c r="S1292" s="12"/>
      <c r="T1292" s="13">
        <v>0</v>
      </c>
      <c r="U1292" s="13">
        <f>AH1289</f>
        <v>0</v>
      </c>
      <c r="V1292" s="5"/>
      <c r="W1292" s="14"/>
      <c r="X1292" s="14"/>
      <c r="Y1292" s="14"/>
      <c r="Z1292" s="14"/>
      <c r="AA1292" s="14"/>
      <c r="AB1292" s="14"/>
      <c r="AC1292" s="14"/>
      <c r="AD1292" s="14"/>
      <c r="AE1292" s="14"/>
      <c r="AF1292" s="14"/>
      <c r="AG1292" s="14"/>
      <c r="AH1292" s="14"/>
      <c r="AI1292" s="6"/>
    </row>
    <row r="1293" spans="1:35" x14ac:dyDescent="0.25">
      <c r="A1293" s="3"/>
      <c r="B1293" s="42"/>
      <c r="C1293" s="42"/>
      <c r="D1293" s="42"/>
      <c r="E1293" s="15"/>
      <c r="F1293" s="43"/>
      <c r="G1293" s="43"/>
      <c r="H1293" s="43"/>
      <c r="I1293" s="15"/>
      <c r="J1293" s="42"/>
      <c r="K1293" s="42"/>
      <c r="L1293" s="42"/>
      <c r="M1293" s="42"/>
      <c r="N1293" s="15"/>
      <c r="O1293" s="42"/>
      <c r="P1293" s="42"/>
      <c r="Q1293" s="42"/>
      <c r="R1293" s="42"/>
      <c r="S1293" s="15"/>
      <c r="T1293" s="13"/>
      <c r="U1293" s="15"/>
      <c r="V1293" s="5"/>
      <c r="W1293" s="16"/>
      <c r="X1293" s="16"/>
      <c r="Y1293" s="16"/>
      <c r="Z1293" s="16"/>
      <c r="AA1293" s="16"/>
      <c r="AB1293" s="16"/>
      <c r="AC1293" s="16"/>
      <c r="AD1293" s="16"/>
      <c r="AE1293" s="16"/>
      <c r="AF1293" s="16"/>
      <c r="AG1293" s="16"/>
      <c r="AH1293" s="16"/>
      <c r="AI1293" s="6"/>
    </row>
    <row r="1294" spans="1:35" x14ac:dyDescent="0.25">
      <c r="A1294" s="3"/>
      <c r="B1294" s="42"/>
      <c r="C1294" s="42"/>
      <c r="D1294" s="42"/>
      <c r="E1294" s="15"/>
      <c r="F1294" s="43"/>
      <c r="G1294" s="43"/>
      <c r="H1294" s="43"/>
      <c r="I1294" s="15"/>
      <c r="J1294" s="42"/>
      <c r="K1294" s="42"/>
      <c r="L1294" s="42"/>
      <c r="M1294" s="42"/>
      <c r="N1294" s="15"/>
      <c r="O1294" s="42"/>
      <c r="P1294" s="42"/>
      <c r="Q1294" s="42"/>
      <c r="R1294" s="42"/>
      <c r="S1294" s="15"/>
      <c r="T1294" s="13"/>
      <c r="U1294" s="15"/>
      <c r="V1294" s="5"/>
      <c r="W1294" s="16"/>
      <c r="X1294" s="16"/>
      <c r="Y1294" s="16"/>
      <c r="Z1294" s="16"/>
      <c r="AA1294" s="16"/>
      <c r="AB1294" s="16"/>
      <c r="AC1294" s="16"/>
      <c r="AD1294" s="16"/>
      <c r="AE1294" s="16"/>
      <c r="AF1294" s="16"/>
      <c r="AG1294" s="16"/>
      <c r="AH1294" s="16"/>
      <c r="AI1294" s="6"/>
    </row>
    <row r="1295" spans="1:35" x14ac:dyDescent="0.25">
      <c r="A1295" s="3"/>
      <c r="B1295" s="5"/>
      <c r="C1295" s="5"/>
      <c r="D1295" s="5"/>
      <c r="E1295" s="5"/>
      <c r="F1295" s="17"/>
      <c r="G1295" s="17"/>
      <c r="H1295" s="17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5"/>
      <c r="AI1295" s="6"/>
    </row>
    <row r="1296" spans="1:35" x14ac:dyDescent="0.25">
      <c r="A1296" s="3"/>
      <c r="B1296" s="5" t="s">
        <v>47</v>
      </c>
      <c r="C1296" s="18"/>
      <c r="D1296" s="18"/>
      <c r="E1296" s="18"/>
      <c r="F1296" s="5"/>
      <c r="G1296" s="5"/>
      <c r="H1296" s="5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  <c r="AB1296" s="18"/>
      <c r="AC1296" s="18"/>
      <c r="AD1296" s="18"/>
      <c r="AE1296" s="18"/>
      <c r="AF1296" s="18"/>
      <c r="AG1296" s="18"/>
      <c r="AH1296" s="18"/>
      <c r="AI1296" s="6"/>
    </row>
    <row r="1297" spans="1:35" ht="15" customHeight="1" x14ac:dyDescent="0.25">
      <c r="A1297" s="3"/>
      <c r="B1297" s="42" t="str">
        <f>"0x"&amp;DEC2HEX(Sheet3!$I$4,8)</f>
        <v>0x00400320</v>
      </c>
      <c r="C1297" s="42"/>
      <c r="D1297" s="42"/>
      <c r="E1297" s="16"/>
      <c r="F1297" s="322" t="str">
        <f>F1292&amp;BIN2HEX(MID(J1292,3,8),2)&amp;BIN2HEX(RIGHT(J1292,7)&amp;MID(O1292,3,1),2)&amp;BIN2HEX(MID(O1292,4,8),2)&amp;BIN2HEX(RIGHT(O1292,6)&amp;T1292&amp;U1292,2)</f>
        <v>0x0000000000080674</v>
      </c>
      <c r="G1297" s="322"/>
      <c r="H1297" s="322"/>
      <c r="I1297" s="322"/>
      <c r="J1297" s="5"/>
      <c r="K1297" s="5"/>
      <c r="L1297" s="5"/>
      <c r="M1297" s="5"/>
      <c r="N1297" s="5"/>
      <c r="O1297" s="5"/>
      <c r="P1297" s="16"/>
      <c r="Q1297" s="16"/>
      <c r="R1297" s="19"/>
      <c r="S1297" s="19"/>
      <c r="T1297" s="19"/>
      <c r="U1297" s="19"/>
      <c r="V1297" s="19"/>
      <c r="W1297" s="19"/>
      <c r="X1297" s="19"/>
      <c r="Y1297" s="19"/>
      <c r="Z1297" s="19"/>
      <c r="AA1297" s="19"/>
      <c r="AB1297" s="19"/>
      <c r="AC1297" s="19"/>
      <c r="AD1297" s="19"/>
      <c r="AE1297" s="19"/>
      <c r="AF1297" s="19"/>
      <c r="AG1297" s="5"/>
      <c r="AH1297" s="5"/>
      <c r="AI1297" s="6"/>
    </row>
    <row r="1298" spans="1:35" x14ac:dyDescent="0.25">
      <c r="A1298" s="3"/>
      <c r="B1298" s="37"/>
      <c r="C1298" s="37"/>
      <c r="D1298" s="37"/>
      <c r="E1298" s="5"/>
      <c r="F1298" s="38"/>
      <c r="G1298" s="38"/>
      <c r="H1298" s="38"/>
      <c r="I1298" s="38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5"/>
      <c r="AI1298" s="6"/>
    </row>
    <row r="1299" spans="1:35" x14ac:dyDescent="0.25">
      <c r="A1299" s="3"/>
      <c r="B1299" s="37"/>
      <c r="C1299" s="37"/>
      <c r="D1299" s="37"/>
      <c r="E1299" s="5"/>
      <c r="F1299" s="38"/>
      <c r="G1299" s="38"/>
      <c r="H1299" s="38"/>
      <c r="I1299" s="38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5"/>
      <c r="AI1299" s="6"/>
    </row>
    <row r="1300" spans="1:35" x14ac:dyDescent="0.25">
      <c r="A1300" s="20"/>
      <c r="B1300" s="21"/>
      <c r="C1300" s="21"/>
      <c r="D1300" s="21"/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2"/>
      <c r="P1300" s="21"/>
      <c r="Q1300" s="21"/>
      <c r="R1300" s="21"/>
      <c r="S1300" s="21"/>
      <c r="T1300" s="21"/>
      <c r="U1300" s="21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  <c r="AF1300" s="21"/>
      <c r="AG1300" s="21"/>
      <c r="AH1300" s="21"/>
      <c r="AI1300" s="23"/>
    </row>
    <row r="1301" spans="1:35" x14ac:dyDescent="0.25">
      <c r="A1301" s="24"/>
      <c r="B1301" s="28"/>
      <c r="C1301" s="25"/>
      <c r="D1301" s="25"/>
      <c r="E1301" s="25"/>
      <c r="F1301" s="25"/>
      <c r="G1301" s="25"/>
      <c r="H1301" s="25"/>
      <c r="I1301" s="25"/>
      <c r="J1301" s="25"/>
      <c r="K1301" s="25"/>
      <c r="L1301" s="25"/>
      <c r="M1301" s="25"/>
      <c r="N1301" s="25"/>
      <c r="O1301" s="25"/>
      <c r="P1301" s="25"/>
      <c r="Q1301" s="25"/>
      <c r="R1301" s="25"/>
      <c r="S1301" s="25"/>
      <c r="T1301" s="25"/>
      <c r="U1301" s="25"/>
      <c r="V1301" s="25"/>
      <c r="W1301" s="25"/>
      <c r="X1301" s="25"/>
      <c r="Y1301" s="25"/>
      <c r="Z1301" s="25"/>
      <c r="AA1301" s="25"/>
      <c r="AB1301" s="25"/>
      <c r="AC1301" s="25"/>
      <c r="AD1301" s="25"/>
      <c r="AE1301" s="25"/>
      <c r="AF1301" s="25"/>
      <c r="AG1301" s="25"/>
      <c r="AH1301" s="25"/>
      <c r="AI1301" s="26"/>
    </row>
    <row r="1302" spans="1:35" x14ac:dyDescent="0.25">
      <c r="A1302" s="3"/>
      <c r="B1302" s="4" t="s">
        <v>191</v>
      </c>
      <c r="C1302" s="5"/>
      <c r="D1302" s="5"/>
      <c r="E1302" s="5"/>
      <c r="F1302" s="5"/>
      <c r="G1302" s="5"/>
      <c r="H1302" s="5"/>
      <c r="I1302" s="5" t="str">
        <f>"0x"&amp;BIN2HEX(CONCATENATE(C1307,D1307,E1307,F1307,G1307,H1307,I1307,J1307),2)&amp;BIN2HEX(CONCATENATE(K1307,L1307,M1307,N1307,O1307,P1307,Q1307,R1307),2)&amp;BIN2HEX(CONCATENATE(S1307,T1307,U1307,V1307,W1307,X1307,Y1307,Z1307),2)&amp;BIN2HEX(CONCATENATE(AA1307,AB1307,AC1307,AD1307,AE1307,AF1307,AG1307,AH1307),2)&amp;"_"&amp;BIN2HEX(CONCATENATE(C1311,D1311,E1311,F1311,G1311,H1311,I1311,J1311),2)&amp;BIN2HEX(CONCATENATE(K1311,L1311,M1311,N1311,O1311,P1311,Q1311,R1311),2)&amp;BIN2HEX(CONCATENATE(S1311,T1311,U1311,V1311,W1311,X1311,Y1311,Z1311),2)&amp;BIN2HEX(CONCATENATE(AA1311,AB1311,AC1311,AD1311,AE1311,AF1311,AG1311,AH1311),2)</f>
        <v>0x00000000_00080678</v>
      </c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5"/>
      <c r="AI1302" s="6"/>
    </row>
    <row r="1303" spans="1:35" ht="15.75" thickBot="1" x14ac:dyDescent="0.3">
      <c r="A1303" s="3"/>
      <c r="B1303" s="5"/>
      <c r="C1303" s="7">
        <v>0</v>
      </c>
      <c r="D1303" s="7">
        <v>1</v>
      </c>
      <c r="E1303" s="7">
        <v>2</v>
      </c>
      <c r="F1303" s="7">
        <v>3</v>
      </c>
      <c r="G1303" s="7">
        <v>4</v>
      </c>
      <c r="H1303" s="7">
        <v>5</v>
      </c>
      <c r="I1303" s="7">
        <v>6</v>
      </c>
      <c r="J1303" s="7">
        <v>7</v>
      </c>
      <c r="K1303" s="7">
        <v>8</v>
      </c>
      <c r="L1303" s="7">
        <v>9</v>
      </c>
      <c r="M1303" s="7">
        <v>10</v>
      </c>
      <c r="N1303" s="7">
        <v>11</v>
      </c>
      <c r="O1303" s="7">
        <v>12</v>
      </c>
      <c r="P1303" s="7">
        <v>13</v>
      </c>
      <c r="Q1303" s="7">
        <v>14</v>
      </c>
      <c r="R1303" s="7">
        <v>15</v>
      </c>
      <c r="S1303" s="7">
        <v>16</v>
      </c>
      <c r="T1303" s="7">
        <v>17</v>
      </c>
      <c r="U1303" s="7">
        <v>18</v>
      </c>
      <c r="V1303" s="7">
        <v>19</v>
      </c>
      <c r="W1303" s="7">
        <v>20</v>
      </c>
      <c r="X1303" s="7">
        <v>21</v>
      </c>
      <c r="Y1303" s="7">
        <v>22</v>
      </c>
      <c r="Z1303" s="7">
        <v>23</v>
      </c>
      <c r="AA1303" s="7">
        <v>24</v>
      </c>
      <c r="AB1303" s="7">
        <v>25</v>
      </c>
      <c r="AC1303" s="7">
        <v>26</v>
      </c>
      <c r="AD1303" s="7">
        <v>27</v>
      </c>
      <c r="AE1303" s="7">
        <v>28</v>
      </c>
      <c r="AF1303" s="7">
        <v>29</v>
      </c>
      <c r="AG1303" s="7">
        <v>30</v>
      </c>
      <c r="AH1303" s="7">
        <v>31</v>
      </c>
      <c r="AI1303" s="6"/>
    </row>
    <row r="1304" spans="1:35" x14ac:dyDescent="0.25">
      <c r="A1304" s="3"/>
      <c r="B1304" s="5" t="s">
        <v>31</v>
      </c>
      <c r="C1304" s="328" t="s">
        <v>161</v>
      </c>
      <c r="D1304" s="330" t="s">
        <v>63</v>
      </c>
      <c r="E1304" s="331"/>
      <c r="F1304" s="331"/>
      <c r="G1304" s="331"/>
      <c r="H1304" s="331"/>
      <c r="I1304" s="331"/>
      <c r="J1304" s="332"/>
      <c r="K1304" s="336">
        <v>0</v>
      </c>
      <c r="L1304" s="337"/>
      <c r="M1304" s="337"/>
      <c r="N1304" s="337"/>
      <c r="O1304" s="337"/>
      <c r="P1304" s="337"/>
      <c r="Q1304" s="337"/>
      <c r="R1304" s="337"/>
      <c r="S1304" s="337"/>
      <c r="T1304" s="337"/>
      <c r="U1304" s="337"/>
      <c r="V1304" s="337"/>
      <c r="W1304" s="337"/>
      <c r="X1304" s="337"/>
      <c r="Y1304" s="337"/>
      <c r="Z1304" s="337"/>
      <c r="AA1304" s="337"/>
      <c r="AB1304" s="337"/>
      <c r="AC1304" s="337"/>
      <c r="AD1304" s="337"/>
      <c r="AE1304" s="337"/>
      <c r="AF1304" s="337"/>
      <c r="AG1304" s="337"/>
      <c r="AH1304" s="338"/>
      <c r="AI1304" s="6"/>
    </row>
    <row r="1305" spans="1:35" x14ac:dyDescent="0.25">
      <c r="A1305" s="3"/>
      <c r="B1305" s="5" t="s">
        <v>32</v>
      </c>
      <c r="C1305" s="329"/>
      <c r="D1305" s="333"/>
      <c r="E1305" s="334"/>
      <c r="F1305" s="334"/>
      <c r="G1305" s="334"/>
      <c r="H1305" s="334"/>
      <c r="I1305" s="334"/>
      <c r="J1305" s="335"/>
      <c r="K1305" s="339"/>
      <c r="L1305" s="340"/>
      <c r="M1305" s="340"/>
      <c r="N1305" s="340"/>
      <c r="O1305" s="340"/>
      <c r="P1305" s="340"/>
      <c r="Q1305" s="340"/>
      <c r="R1305" s="340"/>
      <c r="S1305" s="340"/>
      <c r="T1305" s="340"/>
      <c r="U1305" s="340"/>
      <c r="V1305" s="340"/>
      <c r="W1305" s="340"/>
      <c r="X1305" s="340"/>
      <c r="Y1305" s="340"/>
      <c r="Z1305" s="340"/>
      <c r="AA1305" s="340"/>
      <c r="AB1305" s="340"/>
      <c r="AC1305" s="340"/>
      <c r="AD1305" s="340"/>
      <c r="AE1305" s="340"/>
      <c r="AF1305" s="340"/>
      <c r="AG1305" s="340"/>
      <c r="AH1305" s="341"/>
      <c r="AI1305" s="6"/>
    </row>
    <row r="1306" spans="1:35" x14ac:dyDescent="0.25">
      <c r="A1306" s="3"/>
      <c r="B1306" s="5" t="s">
        <v>11</v>
      </c>
      <c r="C1306" s="56">
        <v>0</v>
      </c>
      <c r="D1306" s="57">
        <v>0</v>
      </c>
      <c r="E1306" s="57">
        <v>0</v>
      </c>
      <c r="F1306" s="57">
        <v>0</v>
      </c>
      <c r="G1306" s="57">
        <v>0</v>
      </c>
      <c r="H1306" s="57">
        <v>0</v>
      </c>
      <c r="I1306" s="57">
        <v>0</v>
      </c>
      <c r="J1306" s="57">
        <v>0</v>
      </c>
      <c r="K1306" s="57">
        <v>0</v>
      </c>
      <c r="L1306" s="57">
        <v>0</v>
      </c>
      <c r="M1306" s="57">
        <v>0</v>
      </c>
      <c r="N1306" s="57">
        <v>0</v>
      </c>
      <c r="O1306" s="57">
        <v>0</v>
      </c>
      <c r="P1306" s="57">
        <v>0</v>
      </c>
      <c r="Q1306" s="57">
        <v>0</v>
      </c>
      <c r="R1306" s="57">
        <v>0</v>
      </c>
      <c r="S1306" s="57">
        <v>0</v>
      </c>
      <c r="T1306" s="57">
        <v>0</v>
      </c>
      <c r="U1306" s="57">
        <v>0</v>
      </c>
      <c r="V1306" s="57">
        <v>0</v>
      </c>
      <c r="W1306" s="57">
        <v>0</v>
      </c>
      <c r="X1306" s="57">
        <v>0</v>
      </c>
      <c r="Y1306" s="57">
        <v>0</v>
      </c>
      <c r="Z1306" s="57">
        <v>0</v>
      </c>
      <c r="AA1306" s="57">
        <v>0</v>
      </c>
      <c r="AB1306" s="57">
        <v>0</v>
      </c>
      <c r="AC1306" s="57">
        <v>0</v>
      </c>
      <c r="AD1306" s="57">
        <v>0</v>
      </c>
      <c r="AE1306" s="57">
        <v>0</v>
      </c>
      <c r="AF1306" s="57">
        <v>0</v>
      </c>
      <c r="AG1306" s="57">
        <v>0</v>
      </c>
      <c r="AH1306" s="58">
        <v>0</v>
      </c>
      <c r="AI1306" s="6"/>
    </row>
    <row r="1307" spans="1:35" ht="15.75" thickBot="1" x14ac:dyDescent="0.3">
      <c r="A1307" s="3"/>
      <c r="B1307" s="5" t="s">
        <v>12</v>
      </c>
      <c r="C1307" s="145">
        <v>0</v>
      </c>
      <c r="D1307" s="88">
        <v>0</v>
      </c>
      <c r="E1307" s="88">
        <v>0</v>
      </c>
      <c r="F1307" s="88">
        <v>0</v>
      </c>
      <c r="G1307" s="88">
        <v>0</v>
      </c>
      <c r="H1307" s="88">
        <v>0</v>
      </c>
      <c r="I1307" s="88">
        <v>0</v>
      </c>
      <c r="J1307" s="88">
        <v>0</v>
      </c>
      <c r="K1307" s="62">
        <v>0</v>
      </c>
      <c r="L1307" s="62">
        <v>0</v>
      </c>
      <c r="M1307" s="62">
        <v>0</v>
      </c>
      <c r="N1307" s="62">
        <v>0</v>
      </c>
      <c r="O1307" s="62">
        <v>0</v>
      </c>
      <c r="P1307" s="62">
        <v>0</v>
      </c>
      <c r="Q1307" s="62">
        <v>0</v>
      </c>
      <c r="R1307" s="62">
        <v>0</v>
      </c>
      <c r="S1307" s="62">
        <v>0</v>
      </c>
      <c r="T1307" s="62">
        <v>0</v>
      </c>
      <c r="U1307" s="62">
        <v>0</v>
      </c>
      <c r="V1307" s="62">
        <v>0</v>
      </c>
      <c r="W1307" s="62">
        <v>0</v>
      </c>
      <c r="X1307" s="62">
        <v>0</v>
      </c>
      <c r="Y1307" s="62">
        <v>0</v>
      </c>
      <c r="Z1307" s="62">
        <v>0</v>
      </c>
      <c r="AA1307" s="62">
        <v>0</v>
      </c>
      <c r="AB1307" s="62">
        <v>0</v>
      </c>
      <c r="AC1307" s="62">
        <v>0</v>
      </c>
      <c r="AD1307" s="62">
        <v>0</v>
      </c>
      <c r="AE1307" s="62">
        <v>0</v>
      </c>
      <c r="AF1307" s="62">
        <v>0</v>
      </c>
      <c r="AG1307" s="62">
        <v>0</v>
      </c>
      <c r="AH1307" s="146">
        <v>0</v>
      </c>
      <c r="AI1307" s="6"/>
    </row>
    <row r="1308" spans="1:35" x14ac:dyDescent="0.25">
      <c r="A1308" s="3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5"/>
      <c r="AI1308" s="6"/>
    </row>
    <row r="1309" spans="1:35" ht="15.75" thickBot="1" x14ac:dyDescent="0.3">
      <c r="A1309" s="3"/>
      <c r="B1309" s="5"/>
      <c r="C1309" s="7">
        <v>32</v>
      </c>
      <c r="D1309" s="7">
        <v>33</v>
      </c>
      <c r="E1309" s="7">
        <v>34</v>
      </c>
      <c r="F1309" s="7">
        <v>35</v>
      </c>
      <c r="G1309" s="7">
        <v>36</v>
      </c>
      <c r="H1309" s="7">
        <v>37</v>
      </c>
      <c r="I1309" s="7">
        <v>38</v>
      </c>
      <c r="J1309" s="7">
        <v>39</v>
      </c>
      <c r="K1309" s="7">
        <v>40</v>
      </c>
      <c r="L1309" s="7">
        <v>41</v>
      </c>
      <c r="M1309" s="7">
        <v>42</v>
      </c>
      <c r="N1309" s="7">
        <v>43</v>
      </c>
      <c r="O1309" s="7">
        <v>44</v>
      </c>
      <c r="P1309" s="7">
        <v>45</v>
      </c>
      <c r="Q1309" s="7">
        <v>46</v>
      </c>
      <c r="R1309" s="7">
        <v>47</v>
      </c>
      <c r="S1309" s="7">
        <v>48</v>
      </c>
      <c r="T1309" s="7">
        <v>49</v>
      </c>
      <c r="U1309" s="7">
        <v>50</v>
      </c>
      <c r="V1309" s="7">
        <v>51</v>
      </c>
      <c r="W1309" s="7">
        <v>52</v>
      </c>
      <c r="X1309" s="7">
        <v>53</v>
      </c>
      <c r="Y1309" s="7">
        <v>54</v>
      </c>
      <c r="Z1309" s="7">
        <v>55</v>
      </c>
      <c r="AA1309" s="7">
        <v>56</v>
      </c>
      <c r="AB1309" s="7">
        <v>57</v>
      </c>
      <c r="AC1309" s="7">
        <v>58</v>
      </c>
      <c r="AD1309" s="7">
        <v>59</v>
      </c>
      <c r="AE1309" s="7">
        <v>60</v>
      </c>
      <c r="AF1309" s="7">
        <v>61</v>
      </c>
      <c r="AG1309" s="7">
        <v>62</v>
      </c>
      <c r="AH1309" s="7">
        <v>63</v>
      </c>
      <c r="AI1309" s="6"/>
    </row>
    <row r="1310" spans="1:35" ht="15.75" thickBot="1" x14ac:dyDescent="0.3">
      <c r="A1310" s="3"/>
      <c r="B1310" s="5"/>
      <c r="C1310" s="147" t="s">
        <v>13</v>
      </c>
      <c r="D1310" s="148" t="s">
        <v>14</v>
      </c>
      <c r="E1310" s="148" t="s">
        <v>15</v>
      </c>
      <c r="F1310" s="148" t="s">
        <v>16</v>
      </c>
      <c r="G1310" s="148" t="s">
        <v>17</v>
      </c>
      <c r="H1310" s="148" t="s">
        <v>18</v>
      </c>
      <c r="I1310" s="148" t="s">
        <v>19</v>
      </c>
      <c r="J1310" s="148" t="s">
        <v>20</v>
      </c>
      <c r="K1310" s="148" t="s">
        <v>21</v>
      </c>
      <c r="L1310" s="148" t="s">
        <v>22</v>
      </c>
      <c r="M1310" s="148" t="s">
        <v>23</v>
      </c>
      <c r="N1310" s="148" t="s">
        <v>24</v>
      </c>
      <c r="O1310" s="148" t="s">
        <v>25</v>
      </c>
      <c r="P1310" s="148" t="s">
        <v>26</v>
      </c>
      <c r="Q1310" s="148" t="s">
        <v>27</v>
      </c>
      <c r="R1310" s="342" t="s">
        <v>30</v>
      </c>
      <c r="S1310" s="343"/>
      <c r="T1310" s="343"/>
      <c r="U1310" s="343"/>
      <c r="V1310" s="343"/>
      <c r="W1310" s="343"/>
      <c r="X1310" s="343"/>
      <c r="Y1310" s="343"/>
      <c r="Z1310" s="343"/>
      <c r="AA1310" s="343"/>
      <c r="AB1310" s="343"/>
      <c r="AC1310" s="343"/>
      <c r="AD1310" s="343"/>
      <c r="AE1310" s="343"/>
      <c r="AF1310" s="344"/>
      <c r="AG1310" s="67" t="s">
        <v>28</v>
      </c>
      <c r="AH1310" s="149" t="s">
        <v>29</v>
      </c>
      <c r="AI1310" s="6"/>
    </row>
    <row r="1311" spans="1:35" ht="15.75" thickBot="1" x14ac:dyDescent="0.3">
      <c r="A1311" s="3"/>
      <c r="B1311" s="5"/>
      <c r="C1311" s="150">
        <v>0</v>
      </c>
      <c r="D1311" s="151">
        <v>0</v>
      </c>
      <c r="E1311" s="151">
        <v>0</v>
      </c>
      <c r="F1311" s="151">
        <v>0</v>
      </c>
      <c r="G1311" s="151">
        <v>0</v>
      </c>
      <c r="H1311" s="151">
        <v>0</v>
      </c>
      <c r="I1311" s="151">
        <v>0</v>
      </c>
      <c r="J1311" s="151">
        <v>0</v>
      </c>
      <c r="K1311" s="151">
        <v>0</v>
      </c>
      <c r="L1311" s="151">
        <v>0</v>
      </c>
      <c r="M1311" s="151">
        <v>0</v>
      </c>
      <c r="N1311" s="151">
        <v>0</v>
      </c>
      <c r="O1311" s="151">
        <v>1</v>
      </c>
      <c r="P1311" s="151">
        <v>0</v>
      </c>
      <c r="Q1311" s="151">
        <v>0</v>
      </c>
      <c r="R1311" s="151">
        <v>0</v>
      </c>
      <c r="S1311" s="151">
        <v>0</v>
      </c>
      <c r="T1311" s="151">
        <v>0</v>
      </c>
      <c r="U1311" s="151">
        <v>0</v>
      </c>
      <c r="V1311" s="151">
        <v>0</v>
      </c>
      <c r="W1311" s="151">
        <v>0</v>
      </c>
      <c r="X1311" s="151">
        <v>1</v>
      </c>
      <c r="Y1311" s="151">
        <v>1</v>
      </c>
      <c r="Z1311" s="151">
        <v>0</v>
      </c>
      <c r="AA1311" s="151">
        <v>0</v>
      </c>
      <c r="AB1311" s="151">
        <v>1</v>
      </c>
      <c r="AC1311" s="151">
        <v>1</v>
      </c>
      <c r="AD1311" s="151">
        <v>1</v>
      </c>
      <c r="AE1311" s="151">
        <v>1</v>
      </c>
      <c r="AF1311" s="151">
        <v>0</v>
      </c>
      <c r="AG1311" s="151">
        <v>0</v>
      </c>
      <c r="AH1311" s="152">
        <v>0</v>
      </c>
      <c r="AI1311" s="6"/>
    </row>
    <row r="1312" spans="1:35" x14ac:dyDescent="0.25">
      <c r="A1312" s="3"/>
      <c r="B1312" s="4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5"/>
      <c r="AI1312" s="6"/>
    </row>
    <row r="1313" spans="1:35" x14ac:dyDescent="0.25">
      <c r="A1313" s="3"/>
      <c r="B1313" s="8" t="s">
        <v>43</v>
      </c>
      <c r="C1313" s="9"/>
      <c r="D1313" s="9"/>
      <c r="E1313" s="9"/>
      <c r="F1313" s="44" t="s">
        <v>44</v>
      </c>
      <c r="G1313" s="44"/>
      <c r="H1313" s="44"/>
      <c r="I1313" s="9"/>
      <c r="J1313" s="45" t="s">
        <v>45</v>
      </c>
      <c r="K1313" s="45"/>
      <c r="L1313" s="45"/>
      <c r="M1313" s="45"/>
      <c r="N1313" s="9"/>
      <c r="O1313" s="46" t="s">
        <v>46</v>
      </c>
      <c r="P1313" s="46"/>
      <c r="Q1313" s="46"/>
      <c r="R1313" s="46"/>
      <c r="S1313" s="9"/>
      <c r="T1313" s="1" t="s">
        <v>49</v>
      </c>
      <c r="U1313" s="10" t="s">
        <v>48</v>
      </c>
      <c r="V1313" s="5"/>
      <c r="W1313" s="9"/>
      <c r="X1313" s="9"/>
      <c r="Y1313" s="9"/>
      <c r="Z1313" s="9"/>
      <c r="AA1313" s="9"/>
      <c r="AB1313" s="9"/>
      <c r="AC1313" s="9"/>
      <c r="AD1313" s="9"/>
      <c r="AE1313" s="9"/>
      <c r="AF1313" s="9"/>
      <c r="AG1313" s="9"/>
      <c r="AH1313" s="9"/>
      <c r="AI1313" s="6"/>
    </row>
    <row r="1314" spans="1:35" ht="15" customHeight="1" x14ac:dyDescent="0.25">
      <c r="A1314" s="3"/>
      <c r="B1314" s="42" t="str">
        <f>"0x"&amp;DEC2HEX(Sheet3!$I$4,8)</f>
        <v>0x00400320</v>
      </c>
      <c r="C1314" s="42"/>
      <c r="D1314" s="42"/>
      <c r="E1314" s="12"/>
      <c r="F1314" s="319" t="str">
        <f>"0x"&amp;BIN2HEX(CONCATENATE(C1307,D1307,E1307,F1307,G1307,H1307,I1307,J1307),2)&amp;BIN2HEX(CONCATENATE(K1307,L1307,M1307,N1307,O1307,P1307,Q1307,R1307),2)&amp;BIN2HEX(CONCATENATE(S1307,T1307,U1307,V1307,W1307,X1307,Y1307,Z1307),2)&amp;BIN2HEX(CONCATENATE(AA1307,AB1307,AC1307,AD1307,AE1307,AF1307,AG1307,AH1307),2)</f>
        <v>0x00000000</v>
      </c>
      <c r="G1314" s="319"/>
      <c r="H1314" s="319"/>
      <c r="I1314" s="12"/>
      <c r="J1314" s="319" t="str">
        <f>"0b"&amp;C1311&amp;D1311&amp;E1311&amp;F1311&amp;G1311&amp;H1311&amp;I1311&amp;J1311&amp;K1311&amp;L1311&amp;M1311&amp;N1311&amp;O1311&amp;P1311&amp;Q1311</f>
        <v>0b000000000000100</v>
      </c>
      <c r="K1314" s="319"/>
      <c r="L1314" s="319"/>
      <c r="M1314" s="319"/>
      <c r="N1314" s="12"/>
      <c r="O1314" s="319" t="str">
        <f>"0b"&amp;DEC2BIN(((AF1311+AE1311*2+AD1311*4+AC1311*8+AB1311*16+AA1311*32+Z1311*64+Y1311*128+X1311*256+W1311*512+V1311*1024+U1311*2048+T1311*4096+S1311*2^13+R1311*2^14)/512),6)&amp;DEC2BIN(MOD((AF1311+AE1311*2+AD1311*4+AC1311*8+AB1311*16+AA1311*32+Z1311*64+Y1311*128+X1311*256+W1311*512+V1311*1024+U1311*2048+T1311*4096+S1311*2^13+R1311*2^14),512),9)</f>
        <v>0b000000110011110</v>
      </c>
      <c r="P1314" s="319"/>
      <c r="Q1314" s="319"/>
      <c r="R1314" s="319"/>
      <c r="S1314" s="12"/>
      <c r="T1314" s="13">
        <v>0</v>
      </c>
      <c r="U1314" s="13">
        <f>AH1311</f>
        <v>0</v>
      </c>
      <c r="V1314" s="5"/>
      <c r="W1314" s="14"/>
      <c r="X1314" s="14"/>
      <c r="Y1314" s="14"/>
      <c r="Z1314" s="14"/>
      <c r="AA1314" s="14"/>
      <c r="AB1314" s="14"/>
      <c r="AC1314" s="14"/>
      <c r="AD1314" s="14"/>
      <c r="AE1314" s="14"/>
      <c r="AF1314" s="14"/>
      <c r="AG1314" s="14"/>
      <c r="AH1314" s="14"/>
      <c r="AI1314" s="6"/>
    </row>
    <row r="1315" spans="1:35" x14ac:dyDescent="0.25">
      <c r="A1315" s="3"/>
      <c r="B1315" s="42"/>
      <c r="C1315" s="42"/>
      <c r="D1315" s="42"/>
      <c r="E1315" s="15"/>
      <c r="F1315" s="43"/>
      <c r="G1315" s="43"/>
      <c r="H1315" s="43"/>
      <c r="I1315" s="15"/>
      <c r="J1315" s="42"/>
      <c r="K1315" s="42"/>
      <c r="L1315" s="42"/>
      <c r="M1315" s="42"/>
      <c r="N1315" s="15"/>
      <c r="O1315" s="42"/>
      <c r="P1315" s="42"/>
      <c r="Q1315" s="42"/>
      <c r="R1315" s="42"/>
      <c r="S1315" s="15"/>
      <c r="T1315" s="13"/>
      <c r="U1315" s="15"/>
      <c r="V1315" s="5"/>
      <c r="W1315" s="16"/>
      <c r="X1315" s="16"/>
      <c r="Y1315" s="16"/>
      <c r="Z1315" s="16"/>
      <c r="AA1315" s="16"/>
      <c r="AB1315" s="16"/>
      <c r="AC1315" s="16"/>
      <c r="AD1315" s="16"/>
      <c r="AE1315" s="16"/>
      <c r="AF1315" s="16"/>
      <c r="AG1315" s="16"/>
      <c r="AH1315" s="16"/>
      <c r="AI1315" s="6"/>
    </row>
    <row r="1316" spans="1:35" x14ac:dyDescent="0.25">
      <c r="A1316" s="3"/>
      <c r="B1316" s="42"/>
      <c r="C1316" s="42"/>
      <c r="D1316" s="42"/>
      <c r="E1316" s="15"/>
      <c r="F1316" s="43"/>
      <c r="G1316" s="43"/>
      <c r="H1316" s="43"/>
      <c r="I1316" s="15"/>
      <c r="J1316" s="42"/>
      <c r="K1316" s="42"/>
      <c r="L1316" s="42"/>
      <c r="M1316" s="42"/>
      <c r="N1316" s="15"/>
      <c r="O1316" s="42"/>
      <c r="P1316" s="42"/>
      <c r="Q1316" s="42"/>
      <c r="R1316" s="42"/>
      <c r="S1316" s="15"/>
      <c r="T1316" s="13"/>
      <c r="U1316" s="15"/>
      <c r="V1316" s="5"/>
      <c r="W1316" s="16"/>
      <c r="X1316" s="16"/>
      <c r="Y1316" s="16"/>
      <c r="Z1316" s="16"/>
      <c r="AA1316" s="16"/>
      <c r="AB1316" s="16"/>
      <c r="AC1316" s="16"/>
      <c r="AD1316" s="16"/>
      <c r="AE1316" s="16"/>
      <c r="AF1316" s="16"/>
      <c r="AG1316" s="16"/>
      <c r="AH1316" s="16"/>
      <c r="AI1316" s="6"/>
    </row>
    <row r="1317" spans="1:35" x14ac:dyDescent="0.25">
      <c r="A1317" s="3"/>
      <c r="B1317" s="5"/>
      <c r="C1317" s="5"/>
      <c r="D1317" s="5"/>
      <c r="E1317" s="5"/>
      <c r="F1317" s="17"/>
      <c r="G1317" s="17"/>
      <c r="H1317" s="17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5"/>
      <c r="AI1317" s="6"/>
    </row>
    <row r="1318" spans="1:35" x14ac:dyDescent="0.25">
      <c r="A1318" s="3"/>
      <c r="B1318" s="5" t="s">
        <v>47</v>
      </c>
      <c r="C1318" s="18"/>
      <c r="D1318" s="18"/>
      <c r="E1318" s="18"/>
      <c r="F1318" s="5"/>
      <c r="G1318" s="5"/>
      <c r="H1318" s="5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  <c r="AB1318" s="18"/>
      <c r="AC1318" s="18"/>
      <c r="AD1318" s="18"/>
      <c r="AE1318" s="18"/>
      <c r="AF1318" s="18"/>
      <c r="AG1318" s="18"/>
      <c r="AH1318" s="18"/>
      <c r="AI1318" s="6"/>
    </row>
    <row r="1319" spans="1:35" ht="15" customHeight="1" x14ac:dyDescent="0.25">
      <c r="A1319" s="3"/>
      <c r="B1319" s="42" t="str">
        <f>"0x"&amp;DEC2HEX(Sheet3!$I$4,8)</f>
        <v>0x00400320</v>
      </c>
      <c r="C1319" s="42"/>
      <c r="D1319" s="42"/>
      <c r="E1319" s="16"/>
      <c r="F1319" s="322" t="str">
        <f>F1314&amp;BIN2HEX(MID(J1314,3,8),2)&amp;BIN2HEX(RIGHT(J1314,7)&amp;MID(O1314,3,1),2)&amp;BIN2HEX(MID(O1314,4,8),2)&amp;BIN2HEX(RIGHT(O1314,6)&amp;T1314&amp;U1314,2)</f>
        <v>0x0000000000080678</v>
      </c>
      <c r="G1319" s="322"/>
      <c r="H1319" s="322"/>
      <c r="I1319" s="322"/>
      <c r="J1319" s="5"/>
      <c r="K1319" s="5"/>
      <c r="L1319" s="5"/>
      <c r="M1319" s="5"/>
      <c r="N1319" s="5"/>
      <c r="O1319" s="5"/>
      <c r="P1319" s="16"/>
      <c r="Q1319" s="16"/>
      <c r="R1319" s="19"/>
      <c r="S1319" s="19"/>
      <c r="T1319" s="19"/>
      <c r="U1319" s="19"/>
      <c r="V1319" s="19"/>
      <c r="W1319" s="19"/>
      <c r="X1319" s="19"/>
      <c r="Y1319" s="19"/>
      <c r="Z1319" s="19"/>
      <c r="AA1319" s="19"/>
      <c r="AB1319" s="19"/>
      <c r="AC1319" s="19"/>
      <c r="AD1319" s="19"/>
      <c r="AE1319" s="19"/>
      <c r="AF1319" s="19"/>
      <c r="AG1319" s="5"/>
      <c r="AH1319" s="5"/>
      <c r="AI1319" s="6"/>
    </row>
    <row r="1320" spans="1:35" x14ac:dyDescent="0.25">
      <c r="A1320" s="3"/>
      <c r="B1320" s="37"/>
      <c r="C1320" s="37"/>
      <c r="D1320" s="37"/>
      <c r="E1320" s="5"/>
      <c r="F1320" s="38"/>
      <c r="G1320" s="38"/>
      <c r="H1320" s="38"/>
      <c r="I1320" s="38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5"/>
      <c r="AI1320" s="6"/>
    </row>
    <row r="1321" spans="1:35" x14ac:dyDescent="0.25">
      <c r="A1321" s="3"/>
      <c r="B1321" s="37"/>
      <c r="C1321" s="37"/>
      <c r="D1321" s="37"/>
      <c r="E1321" s="5"/>
      <c r="F1321" s="38"/>
      <c r="G1321" s="38"/>
      <c r="H1321" s="38"/>
      <c r="I1321" s="38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5"/>
      <c r="AI1321" s="6"/>
    </row>
    <row r="1322" spans="1:35" x14ac:dyDescent="0.25">
      <c r="A1322" s="20"/>
      <c r="B1322" s="21"/>
      <c r="C1322" s="21"/>
      <c r="D1322" s="21"/>
      <c r="E1322" s="21"/>
      <c r="F1322" s="21"/>
      <c r="G1322" s="21"/>
      <c r="H1322" s="21"/>
      <c r="I1322" s="21"/>
      <c r="J1322" s="21"/>
      <c r="K1322" s="21"/>
      <c r="L1322" s="21"/>
      <c r="M1322" s="21"/>
      <c r="N1322" s="21"/>
      <c r="O1322" s="22"/>
      <c r="P1322" s="21"/>
      <c r="Q1322" s="21"/>
      <c r="R1322" s="21"/>
      <c r="S1322" s="21"/>
      <c r="T1322" s="21"/>
      <c r="U1322" s="21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  <c r="AF1322" s="21"/>
      <c r="AG1322" s="21"/>
      <c r="AH1322" s="21"/>
      <c r="AI1322" s="23"/>
    </row>
    <row r="1323" spans="1:35" x14ac:dyDescent="0.25">
      <c r="A1323" s="24"/>
      <c r="B1323" s="28"/>
      <c r="C1323" s="25"/>
      <c r="D1323" s="25"/>
      <c r="E1323" s="25"/>
      <c r="F1323" s="25"/>
      <c r="G1323" s="25"/>
      <c r="H1323" s="25"/>
      <c r="I1323" s="25"/>
      <c r="J1323" s="25"/>
      <c r="K1323" s="25"/>
      <c r="L1323" s="25"/>
      <c r="M1323" s="25"/>
      <c r="N1323" s="25"/>
      <c r="O1323" s="25"/>
      <c r="P1323" s="25"/>
      <c r="Q1323" s="25"/>
      <c r="R1323" s="25"/>
      <c r="S1323" s="25"/>
      <c r="T1323" s="25"/>
      <c r="U1323" s="25"/>
      <c r="V1323" s="25"/>
      <c r="W1323" s="25"/>
      <c r="X1323" s="25"/>
      <c r="Y1323" s="25"/>
      <c r="Z1323" s="25"/>
      <c r="AA1323" s="25"/>
      <c r="AB1323" s="25"/>
      <c r="AC1323" s="25"/>
      <c r="AD1323" s="25"/>
      <c r="AE1323" s="25"/>
      <c r="AF1323" s="25"/>
      <c r="AG1323" s="25"/>
      <c r="AH1323" s="25"/>
      <c r="AI1323" s="26"/>
    </row>
    <row r="1324" spans="1:35" x14ac:dyDescent="0.25">
      <c r="A1324" s="3"/>
      <c r="B1324" s="4" t="s">
        <v>192</v>
      </c>
      <c r="C1324" s="5"/>
      <c r="D1324" s="5"/>
      <c r="E1324" s="5"/>
      <c r="F1324" s="5"/>
      <c r="G1324" s="5"/>
      <c r="H1324" s="5"/>
      <c r="I1324" s="5" t="str">
        <f>"0x"&amp;BIN2HEX(CONCATENATE(C1329,D1329,E1329,F1329,G1329,H1329,I1329,J1329),2)&amp;BIN2HEX(CONCATENATE(K1329,L1329,M1329,N1329,O1329,P1329,Q1329,R1329),2)&amp;BIN2HEX(CONCATENATE(S1329,T1329,U1329,V1329,W1329,X1329,Y1329,Z1329),2)&amp;BIN2HEX(CONCATENATE(AA1329,AB1329,AC1329,AD1329,AE1329,AF1329,AG1329,AH1329),2)&amp;"_"&amp;BIN2HEX(CONCATENATE(C1333,D1333,E1333,F1333,G1333,H1333,I1333,J1333),2)&amp;BIN2HEX(CONCATENATE(K1333,L1333,M1333,N1333,O1333,P1333,Q1333,R1333),2)&amp;BIN2HEX(CONCATENATE(S1333,T1333,U1333,V1333,W1333,X1333,Y1333,Z1333),2)&amp;BIN2HEX(CONCATENATE(AA1333,AB1333,AC1333,AD1333,AE1333,AF1333,AG1333,AH1333),2)</f>
        <v>0x00000000_0008067C</v>
      </c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5"/>
      <c r="AI1324" s="6"/>
    </row>
    <row r="1325" spans="1:35" ht="15.75" thickBot="1" x14ac:dyDescent="0.3">
      <c r="A1325" s="3"/>
      <c r="B1325" s="5"/>
      <c r="C1325" s="7">
        <v>0</v>
      </c>
      <c r="D1325" s="7">
        <v>1</v>
      </c>
      <c r="E1325" s="7">
        <v>2</v>
      </c>
      <c r="F1325" s="7">
        <v>3</v>
      </c>
      <c r="G1325" s="7">
        <v>4</v>
      </c>
      <c r="H1325" s="7">
        <v>5</v>
      </c>
      <c r="I1325" s="7">
        <v>6</v>
      </c>
      <c r="J1325" s="7">
        <v>7</v>
      </c>
      <c r="K1325" s="7">
        <v>8</v>
      </c>
      <c r="L1325" s="7">
        <v>9</v>
      </c>
      <c r="M1325" s="7">
        <v>10</v>
      </c>
      <c r="N1325" s="7">
        <v>11</v>
      </c>
      <c r="O1325" s="7">
        <v>12</v>
      </c>
      <c r="P1325" s="7">
        <v>13</v>
      </c>
      <c r="Q1325" s="7">
        <v>14</v>
      </c>
      <c r="R1325" s="7">
        <v>15</v>
      </c>
      <c r="S1325" s="7">
        <v>16</v>
      </c>
      <c r="T1325" s="7">
        <v>17</v>
      </c>
      <c r="U1325" s="7">
        <v>18</v>
      </c>
      <c r="V1325" s="7">
        <v>19</v>
      </c>
      <c r="W1325" s="7">
        <v>20</v>
      </c>
      <c r="X1325" s="7">
        <v>21</v>
      </c>
      <c r="Y1325" s="7">
        <v>22</v>
      </c>
      <c r="Z1325" s="7">
        <v>23</v>
      </c>
      <c r="AA1325" s="7">
        <v>24</v>
      </c>
      <c r="AB1325" s="7">
        <v>25</v>
      </c>
      <c r="AC1325" s="7">
        <v>26</v>
      </c>
      <c r="AD1325" s="7">
        <v>27</v>
      </c>
      <c r="AE1325" s="7">
        <v>28</v>
      </c>
      <c r="AF1325" s="7">
        <v>29</v>
      </c>
      <c r="AG1325" s="7">
        <v>30</v>
      </c>
      <c r="AH1325" s="7">
        <v>31</v>
      </c>
      <c r="AI1325" s="6"/>
    </row>
    <row r="1326" spans="1:35" x14ac:dyDescent="0.25">
      <c r="A1326" s="3"/>
      <c r="B1326" s="5" t="s">
        <v>31</v>
      </c>
      <c r="C1326" s="328" t="s">
        <v>161</v>
      </c>
      <c r="D1326" s="330" t="s">
        <v>63</v>
      </c>
      <c r="E1326" s="331"/>
      <c r="F1326" s="331"/>
      <c r="G1326" s="331"/>
      <c r="H1326" s="331"/>
      <c r="I1326" s="331"/>
      <c r="J1326" s="332"/>
      <c r="K1326" s="336">
        <v>0</v>
      </c>
      <c r="L1326" s="337"/>
      <c r="M1326" s="337"/>
      <c r="N1326" s="337"/>
      <c r="O1326" s="337"/>
      <c r="P1326" s="337"/>
      <c r="Q1326" s="337"/>
      <c r="R1326" s="337"/>
      <c r="S1326" s="337"/>
      <c r="T1326" s="337"/>
      <c r="U1326" s="337"/>
      <c r="V1326" s="337"/>
      <c r="W1326" s="337"/>
      <c r="X1326" s="337"/>
      <c r="Y1326" s="337"/>
      <c r="Z1326" s="337"/>
      <c r="AA1326" s="337"/>
      <c r="AB1326" s="337"/>
      <c r="AC1326" s="337"/>
      <c r="AD1326" s="337"/>
      <c r="AE1326" s="337"/>
      <c r="AF1326" s="337"/>
      <c r="AG1326" s="337"/>
      <c r="AH1326" s="338"/>
      <c r="AI1326" s="6"/>
    </row>
    <row r="1327" spans="1:35" x14ac:dyDescent="0.25">
      <c r="A1327" s="3"/>
      <c r="B1327" s="5" t="s">
        <v>32</v>
      </c>
      <c r="C1327" s="329"/>
      <c r="D1327" s="333"/>
      <c r="E1327" s="334"/>
      <c r="F1327" s="334"/>
      <c r="G1327" s="334"/>
      <c r="H1327" s="334"/>
      <c r="I1327" s="334"/>
      <c r="J1327" s="335"/>
      <c r="K1327" s="339"/>
      <c r="L1327" s="340"/>
      <c r="M1327" s="340"/>
      <c r="N1327" s="340"/>
      <c r="O1327" s="340"/>
      <c r="P1327" s="340"/>
      <c r="Q1327" s="340"/>
      <c r="R1327" s="340"/>
      <c r="S1327" s="340"/>
      <c r="T1327" s="340"/>
      <c r="U1327" s="340"/>
      <c r="V1327" s="340"/>
      <c r="W1327" s="340"/>
      <c r="X1327" s="340"/>
      <c r="Y1327" s="340"/>
      <c r="Z1327" s="340"/>
      <c r="AA1327" s="340"/>
      <c r="AB1327" s="340"/>
      <c r="AC1327" s="340"/>
      <c r="AD1327" s="340"/>
      <c r="AE1327" s="340"/>
      <c r="AF1327" s="340"/>
      <c r="AG1327" s="340"/>
      <c r="AH1327" s="341"/>
      <c r="AI1327" s="6"/>
    </row>
    <row r="1328" spans="1:35" x14ac:dyDescent="0.25">
      <c r="A1328" s="3"/>
      <c r="B1328" s="5" t="s">
        <v>11</v>
      </c>
      <c r="C1328" s="56">
        <v>0</v>
      </c>
      <c r="D1328" s="57">
        <v>0</v>
      </c>
      <c r="E1328" s="57">
        <v>0</v>
      </c>
      <c r="F1328" s="57">
        <v>0</v>
      </c>
      <c r="G1328" s="57">
        <v>0</v>
      </c>
      <c r="H1328" s="57">
        <v>0</v>
      </c>
      <c r="I1328" s="57">
        <v>0</v>
      </c>
      <c r="J1328" s="57">
        <v>0</v>
      </c>
      <c r="K1328" s="57">
        <v>0</v>
      </c>
      <c r="L1328" s="57">
        <v>0</v>
      </c>
      <c r="M1328" s="57">
        <v>0</v>
      </c>
      <c r="N1328" s="57">
        <v>0</v>
      </c>
      <c r="O1328" s="57">
        <v>0</v>
      </c>
      <c r="P1328" s="57">
        <v>0</v>
      </c>
      <c r="Q1328" s="57">
        <v>0</v>
      </c>
      <c r="R1328" s="57">
        <v>0</v>
      </c>
      <c r="S1328" s="57">
        <v>0</v>
      </c>
      <c r="T1328" s="57">
        <v>0</v>
      </c>
      <c r="U1328" s="57">
        <v>0</v>
      </c>
      <c r="V1328" s="57">
        <v>0</v>
      </c>
      <c r="W1328" s="57">
        <v>0</v>
      </c>
      <c r="X1328" s="57">
        <v>0</v>
      </c>
      <c r="Y1328" s="57">
        <v>0</v>
      </c>
      <c r="Z1328" s="57">
        <v>0</v>
      </c>
      <c r="AA1328" s="57">
        <v>0</v>
      </c>
      <c r="AB1328" s="57">
        <v>0</v>
      </c>
      <c r="AC1328" s="57">
        <v>0</v>
      </c>
      <c r="AD1328" s="57">
        <v>0</v>
      </c>
      <c r="AE1328" s="57">
        <v>0</v>
      </c>
      <c r="AF1328" s="57">
        <v>0</v>
      </c>
      <c r="AG1328" s="57">
        <v>0</v>
      </c>
      <c r="AH1328" s="58">
        <v>0</v>
      </c>
      <c r="AI1328" s="6"/>
    </row>
    <row r="1329" spans="1:35" ht="15.75" thickBot="1" x14ac:dyDescent="0.3">
      <c r="A1329" s="3"/>
      <c r="B1329" s="5" t="s">
        <v>12</v>
      </c>
      <c r="C1329" s="145">
        <v>0</v>
      </c>
      <c r="D1329" s="88">
        <v>0</v>
      </c>
      <c r="E1329" s="88">
        <v>0</v>
      </c>
      <c r="F1329" s="88">
        <v>0</v>
      </c>
      <c r="G1329" s="88">
        <v>0</v>
      </c>
      <c r="H1329" s="88">
        <v>0</v>
      </c>
      <c r="I1329" s="88">
        <v>0</v>
      </c>
      <c r="J1329" s="88">
        <v>0</v>
      </c>
      <c r="K1329" s="62">
        <v>0</v>
      </c>
      <c r="L1329" s="62">
        <v>0</v>
      </c>
      <c r="M1329" s="62">
        <v>0</v>
      </c>
      <c r="N1329" s="62">
        <v>0</v>
      </c>
      <c r="O1329" s="62">
        <v>0</v>
      </c>
      <c r="P1329" s="62">
        <v>0</v>
      </c>
      <c r="Q1329" s="62">
        <v>0</v>
      </c>
      <c r="R1329" s="62">
        <v>0</v>
      </c>
      <c r="S1329" s="62">
        <v>0</v>
      </c>
      <c r="T1329" s="62">
        <v>0</v>
      </c>
      <c r="U1329" s="62">
        <v>0</v>
      </c>
      <c r="V1329" s="62">
        <v>0</v>
      </c>
      <c r="W1329" s="62">
        <v>0</v>
      </c>
      <c r="X1329" s="62">
        <v>0</v>
      </c>
      <c r="Y1329" s="62">
        <v>0</v>
      </c>
      <c r="Z1329" s="62">
        <v>0</v>
      </c>
      <c r="AA1329" s="62">
        <v>0</v>
      </c>
      <c r="AB1329" s="62">
        <v>0</v>
      </c>
      <c r="AC1329" s="62">
        <v>0</v>
      </c>
      <c r="AD1329" s="62">
        <v>0</v>
      </c>
      <c r="AE1329" s="62">
        <v>0</v>
      </c>
      <c r="AF1329" s="62">
        <v>0</v>
      </c>
      <c r="AG1329" s="62">
        <v>0</v>
      </c>
      <c r="AH1329" s="146">
        <v>0</v>
      </c>
      <c r="AI1329" s="6"/>
    </row>
    <row r="1330" spans="1:35" x14ac:dyDescent="0.25">
      <c r="A1330" s="3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5"/>
      <c r="AI1330" s="6"/>
    </row>
    <row r="1331" spans="1:35" ht="15.75" thickBot="1" x14ac:dyDescent="0.3">
      <c r="A1331" s="3"/>
      <c r="B1331" s="5"/>
      <c r="C1331" s="7">
        <v>32</v>
      </c>
      <c r="D1331" s="7">
        <v>33</v>
      </c>
      <c r="E1331" s="7">
        <v>34</v>
      </c>
      <c r="F1331" s="7">
        <v>35</v>
      </c>
      <c r="G1331" s="7">
        <v>36</v>
      </c>
      <c r="H1331" s="7">
        <v>37</v>
      </c>
      <c r="I1331" s="7">
        <v>38</v>
      </c>
      <c r="J1331" s="7">
        <v>39</v>
      </c>
      <c r="K1331" s="7">
        <v>40</v>
      </c>
      <c r="L1331" s="7">
        <v>41</v>
      </c>
      <c r="M1331" s="7">
        <v>42</v>
      </c>
      <c r="N1331" s="7">
        <v>43</v>
      </c>
      <c r="O1331" s="7">
        <v>44</v>
      </c>
      <c r="P1331" s="7">
        <v>45</v>
      </c>
      <c r="Q1331" s="7">
        <v>46</v>
      </c>
      <c r="R1331" s="7">
        <v>47</v>
      </c>
      <c r="S1331" s="7">
        <v>48</v>
      </c>
      <c r="T1331" s="7">
        <v>49</v>
      </c>
      <c r="U1331" s="7">
        <v>50</v>
      </c>
      <c r="V1331" s="7">
        <v>51</v>
      </c>
      <c r="W1331" s="7">
        <v>52</v>
      </c>
      <c r="X1331" s="7">
        <v>53</v>
      </c>
      <c r="Y1331" s="7">
        <v>54</v>
      </c>
      <c r="Z1331" s="7">
        <v>55</v>
      </c>
      <c r="AA1331" s="7">
        <v>56</v>
      </c>
      <c r="AB1331" s="7">
        <v>57</v>
      </c>
      <c r="AC1331" s="7">
        <v>58</v>
      </c>
      <c r="AD1331" s="7">
        <v>59</v>
      </c>
      <c r="AE1331" s="7">
        <v>60</v>
      </c>
      <c r="AF1331" s="7">
        <v>61</v>
      </c>
      <c r="AG1331" s="7">
        <v>62</v>
      </c>
      <c r="AH1331" s="7">
        <v>63</v>
      </c>
      <c r="AI1331" s="6"/>
    </row>
    <row r="1332" spans="1:35" ht="15.75" thickBot="1" x14ac:dyDescent="0.3">
      <c r="A1332" s="3"/>
      <c r="B1332" s="5"/>
      <c r="C1332" s="147" t="s">
        <v>13</v>
      </c>
      <c r="D1332" s="148" t="s">
        <v>14</v>
      </c>
      <c r="E1332" s="148" t="s">
        <v>15</v>
      </c>
      <c r="F1332" s="148" t="s">
        <v>16</v>
      </c>
      <c r="G1332" s="148" t="s">
        <v>17</v>
      </c>
      <c r="H1332" s="148" t="s">
        <v>18</v>
      </c>
      <c r="I1332" s="148" t="s">
        <v>19</v>
      </c>
      <c r="J1332" s="148" t="s">
        <v>20</v>
      </c>
      <c r="K1332" s="148" t="s">
        <v>21</v>
      </c>
      <c r="L1332" s="148" t="s">
        <v>22</v>
      </c>
      <c r="M1332" s="148" t="s">
        <v>23</v>
      </c>
      <c r="N1332" s="148" t="s">
        <v>24</v>
      </c>
      <c r="O1332" s="148" t="s">
        <v>25</v>
      </c>
      <c r="P1332" s="148" t="s">
        <v>26</v>
      </c>
      <c r="Q1332" s="148" t="s">
        <v>27</v>
      </c>
      <c r="R1332" s="342" t="s">
        <v>30</v>
      </c>
      <c r="S1332" s="343"/>
      <c r="T1332" s="343"/>
      <c r="U1332" s="343"/>
      <c r="V1332" s="343"/>
      <c r="W1332" s="343"/>
      <c r="X1332" s="343"/>
      <c r="Y1332" s="343"/>
      <c r="Z1332" s="343"/>
      <c r="AA1332" s="343"/>
      <c r="AB1332" s="343"/>
      <c r="AC1332" s="343"/>
      <c r="AD1332" s="343"/>
      <c r="AE1332" s="343"/>
      <c r="AF1332" s="344"/>
      <c r="AG1332" s="67" t="s">
        <v>28</v>
      </c>
      <c r="AH1332" s="149" t="s">
        <v>29</v>
      </c>
      <c r="AI1332" s="6"/>
    </row>
    <row r="1333" spans="1:35" ht="15.75" thickBot="1" x14ac:dyDescent="0.3">
      <c r="A1333" s="3"/>
      <c r="B1333" s="5"/>
      <c r="C1333" s="150">
        <v>0</v>
      </c>
      <c r="D1333" s="151">
        <v>0</v>
      </c>
      <c r="E1333" s="151">
        <v>0</v>
      </c>
      <c r="F1333" s="151">
        <v>0</v>
      </c>
      <c r="G1333" s="151">
        <v>0</v>
      </c>
      <c r="H1333" s="151">
        <v>0</v>
      </c>
      <c r="I1333" s="151">
        <v>0</v>
      </c>
      <c r="J1333" s="151">
        <v>0</v>
      </c>
      <c r="K1333" s="151">
        <v>0</v>
      </c>
      <c r="L1333" s="151">
        <v>0</v>
      </c>
      <c r="M1333" s="151">
        <v>0</v>
      </c>
      <c r="N1333" s="151">
        <v>0</v>
      </c>
      <c r="O1333" s="151">
        <v>1</v>
      </c>
      <c r="P1333" s="151">
        <v>0</v>
      </c>
      <c r="Q1333" s="151">
        <v>0</v>
      </c>
      <c r="R1333" s="151">
        <v>0</v>
      </c>
      <c r="S1333" s="151">
        <v>0</v>
      </c>
      <c r="T1333" s="151">
        <v>0</v>
      </c>
      <c r="U1333" s="151">
        <v>0</v>
      </c>
      <c r="V1333" s="151">
        <v>0</v>
      </c>
      <c r="W1333" s="151">
        <v>0</v>
      </c>
      <c r="X1333" s="151">
        <v>1</v>
      </c>
      <c r="Y1333" s="151">
        <v>1</v>
      </c>
      <c r="Z1333" s="151">
        <v>0</v>
      </c>
      <c r="AA1333" s="151">
        <v>0</v>
      </c>
      <c r="AB1333" s="151">
        <v>1</v>
      </c>
      <c r="AC1333" s="151">
        <v>1</v>
      </c>
      <c r="AD1333" s="151">
        <v>1</v>
      </c>
      <c r="AE1333" s="151">
        <v>1</v>
      </c>
      <c r="AF1333" s="151">
        <v>1</v>
      </c>
      <c r="AG1333" s="151">
        <v>0</v>
      </c>
      <c r="AH1333" s="152">
        <v>0</v>
      </c>
      <c r="AI1333" s="6"/>
    </row>
    <row r="1334" spans="1:35" x14ac:dyDescent="0.25">
      <c r="A1334" s="3"/>
      <c r="B1334" s="4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5"/>
      <c r="AI1334" s="6"/>
    </row>
    <row r="1335" spans="1:35" x14ac:dyDescent="0.25">
      <c r="A1335" s="3"/>
      <c r="B1335" s="8" t="s">
        <v>43</v>
      </c>
      <c r="C1335" s="9"/>
      <c r="D1335" s="9"/>
      <c r="E1335" s="9"/>
      <c r="F1335" s="44" t="s">
        <v>44</v>
      </c>
      <c r="G1335" s="44"/>
      <c r="H1335" s="44"/>
      <c r="I1335" s="9"/>
      <c r="J1335" s="45" t="s">
        <v>45</v>
      </c>
      <c r="K1335" s="45"/>
      <c r="L1335" s="45"/>
      <c r="M1335" s="45"/>
      <c r="N1335" s="9"/>
      <c r="O1335" s="46" t="s">
        <v>46</v>
      </c>
      <c r="P1335" s="46"/>
      <c r="Q1335" s="46"/>
      <c r="R1335" s="46"/>
      <c r="S1335" s="9"/>
      <c r="T1335" s="1" t="s">
        <v>49</v>
      </c>
      <c r="U1335" s="10" t="s">
        <v>48</v>
      </c>
      <c r="V1335" s="5"/>
      <c r="W1335" s="9"/>
      <c r="X1335" s="9"/>
      <c r="Y1335" s="9"/>
      <c r="Z1335" s="9"/>
      <c r="AA1335" s="9"/>
      <c r="AB1335" s="9"/>
      <c r="AC1335" s="9"/>
      <c r="AD1335" s="9"/>
      <c r="AE1335" s="9"/>
      <c r="AF1335" s="9"/>
      <c r="AG1335" s="9"/>
      <c r="AH1335" s="9"/>
      <c r="AI1335" s="6"/>
    </row>
    <row r="1336" spans="1:35" ht="15" customHeight="1" x14ac:dyDescent="0.25">
      <c r="A1336" s="3"/>
      <c r="B1336" s="42" t="str">
        <f>"0x"&amp;DEC2HEX(Sheet3!$I$4,8)</f>
        <v>0x00400320</v>
      </c>
      <c r="C1336" s="42"/>
      <c r="D1336" s="42"/>
      <c r="E1336" s="12"/>
      <c r="F1336" s="319" t="str">
        <f>"0x"&amp;BIN2HEX(CONCATENATE(C1329,D1329,E1329,F1329,G1329,H1329,I1329,J1329),2)&amp;BIN2HEX(CONCATENATE(K1329,L1329,M1329,N1329,O1329,P1329,Q1329,R1329),2)&amp;BIN2HEX(CONCATENATE(S1329,T1329,U1329,V1329,W1329,X1329,Y1329,Z1329),2)&amp;BIN2HEX(CONCATENATE(AA1329,AB1329,AC1329,AD1329,AE1329,AF1329,AG1329,AH1329),2)</f>
        <v>0x00000000</v>
      </c>
      <c r="G1336" s="319"/>
      <c r="H1336" s="319"/>
      <c r="I1336" s="12"/>
      <c r="J1336" s="319" t="str">
        <f>"0b"&amp;C1333&amp;D1333&amp;E1333&amp;F1333&amp;G1333&amp;H1333&amp;I1333&amp;J1333&amp;K1333&amp;L1333&amp;M1333&amp;N1333&amp;O1333&amp;P1333&amp;Q1333</f>
        <v>0b000000000000100</v>
      </c>
      <c r="K1336" s="319"/>
      <c r="L1336" s="319"/>
      <c r="M1336" s="319"/>
      <c r="N1336" s="12"/>
      <c r="O1336" s="319" t="str">
        <f>"0b"&amp;DEC2BIN(((AF1333+AE1333*2+AD1333*4+AC1333*8+AB1333*16+AA1333*32+Z1333*64+Y1333*128+X1333*256+W1333*512+V1333*1024+U1333*2048+T1333*4096+S1333*2^13+R1333*2^14)/512),6)&amp;DEC2BIN(MOD((AF1333+AE1333*2+AD1333*4+AC1333*8+AB1333*16+AA1333*32+Z1333*64+Y1333*128+X1333*256+W1333*512+V1333*1024+U1333*2048+T1333*4096+S1333*2^13+R1333*2^14),512),9)</f>
        <v>0b000000110011111</v>
      </c>
      <c r="P1336" s="319"/>
      <c r="Q1336" s="319"/>
      <c r="R1336" s="319"/>
      <c r="S1336" s="12"/>
      <c r="T1336" s="13">
        <v>0</v>
      </c>
      <c r="U1336" s="13">
        <f>AH1333</f>
        <v>0</v>
      </c>
      <c r="V1336" s="5"/>
      <c r="W1336" s="14"/>
      <c r="X1336" s="14"/>
      <c r="Y1336" s="14"/>
      <c r="Z1336" s="14"/>
      <c r="AA1336" s="14"/>
      <c r="AB1336" s="14"/>
      <c r="AC1336" s="14"/>
      <c r="AD1336" s="14"/>
      <c r="AE1336" s="14"/>
      <c r="AF1336" s="14"/>
      <c r="AG1336" s="14"/>
      <c r="AH1336" s="14"/>
      <c r="AI1336" s="6"/>
    </row>
    <row r="1337" spans="1:35" x14ac:dyDescent="0.25">
      <c r="A1337" s="3"/>
      <c r="B1337" s="42"/>
      <c r="C1337" s="42"/>
      <c r="D1337" s="42"/>
      <c r="E1337" s="15"/>
      <c r="F1337" s="43"/>
      <c r="G1337" s="43"/>
      <c r="H1337" s="43"/>
      <c r="I1337" s="15"/>
      <c r="J1337" s="42"/>
      <c r="K1337" s="42"/>
      <c r="L1337" s="42"/>
      <c r="M1337" s="42"/>
      <c r="N1337" s="15"/>
      <c r="O1337" s="42"/>
      <c r="P1337" s="42"/>
      <c r="Q1337" s="42"/>
      <c r="R1337" s="42"/>
      <c r="S1337" s="15"/>
      <c r="T1337" s="13"/>
      <c r="U1337" s="15"/>
      <c r="V1337" s="5"/>
      <c r="W1337" s="16"/>
      <c r="X1337" s="16"/>
      <c r="Y1337" s="16"/>
      <c r="Z1337" s="16"/>
      <c r="AA1337" s="16"/>
      <c r="AB1337" s="16"/>
      <c r="AC1337" s="16"/>
      <c r="AD1337" s="16"/>
      <c r="AE1337" s="16"/>
      <c r="AF1337" s="16"/>
      <c r="AG1337" s="16"/>
      <c r="AH1337" s="16"/>
      <c r="AI1337" s="6"/>
    </row>
    <row r="1338" spans="1:35" x14ac:dyDescent="0.25">
      <c r="A1338" s="3"/>
      <c r="B1338" s="42"/>
      <c r="C1338" s="42"/>
      <c r="D1338" s="42"/>
      <c r="E1338" s="15"/>
      <c r="F1338" s="43"/>
      <c r="G1338" s="43"/>
      <c r="H1338" s="43"/>
      <c r="I1338" s="15"/>
      <c r="J1338" s="42"/>
      <c r="K1338" s="42"/>
      <c r="L1338" s="42"/>
      <c r="M1338" s="42"/>
      <c r="N1338" s="15"/>
      <c r="O1338" s="42"/>
      <c r="P1338" s="42"/>
      <c r="Q1338" s="42"/>
      <c r="R1338" s="42"/>
      <c r="S1338" s="15"/>
      <c r="T1338" s="13"/>
      <c r="U1338" s="15"/>
      <c r="V1338" s="5"/>
      <c r="W1338" s="16"/>
      <c r="X1338" s="16"/>
      <c r="Y1338" s="16"/>
      <c r="Z1338" s="16"/>
      <c r="AA1338" s="16"/>
      <c r="AB1338" s="16"/>
      <c r="AC1338" s="16"/>
      <c r="AD1338" s="16"/>
      <c r="AE1338" s="16"/>
      <c r="AF1338" s="16"/>
      <c r="AG1338" s="16"/>
      <c r="AH1338" s="16"/>
      <c r="AI1338" s="6"/>
    </row>
    <row r="1339" spans="1:35" x14ac:dyDescent="0.25">
      <c r="A1339" s="3"/>
      <c r="B1339" s="5"/>
      <c r="C1339" s="5"/>
      <c r="D1339" s="5"/>
      <c r="E1339" s="5"/>
      <c r="F1339" s="17"/>
      <c r="G1339" s="17"/>
      <c r="H1339" s="17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5"/>
      <c r="AI1339" s="6"/>
    </row>
    <row r="1340" spans="1:35" x14ac:dyDescent="0.25">
      <c r="A1340" s="3"/>
      <c r="B1340" s="5" t="s">
        <v>47</v>
      </c>
      <c r="C1340" s="18"/>
      <c r="D1340" s="18"/>
      <c r="E1340" s="18"/>
      <c r="F1340" s="5"/>
      <c r="G1340" s="5"/>
      <c r="H1340" s="5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  <c r="AB1340" s="18"/>
      <c r="AC1340" s="18"/>
      <c r="AD1340" s="18"/>
      <c r="AE1340" s="18"/>
      <c r="AF1340" s="18"/>
      <c r="AG1340" s="18"/>
      <c r="AH1340" s="18"/>
      <c r="AI1340" s="6"/>
    </row>
    <row r="1341" spans="1:35" ht="15" customHeight="1" x14ac:dyDescent="0.25">
      <c r="A1341" s="3"/>
      <c r="B1341" s="42" t="str">
        <f>"0x"&amp;DEC2HEX(Sheet3!$I$4,8)</f>
        <v>0x00400320</v>
      </c>
      <c r="C1341" s="42"/>
      <c r="D1341" s="42"/>
      <c r="E1341" s="16"/>
      <c r="F1341" s="322" t="str">
        <f>F1336&amp;BIN2HEX(MID(J1336,3,8),2)&amp;BIN2HEX(RIGHT(J1336,7)&amp;MID(O1336,3,1),2)&amp;BIN2HEX(MID(O1336,4,8),2)&amp;BIN2HEX(RIGHT(O1336,6)&amp;T1336&amp;U1336,2)</f>
        <v>0x000000000008067C</v>
      </c>
      <c r="G1341" s="322"/>
      <c r="H1341" s="322"/>
      <c r="I1341" s="322"/>
      <c r="J1341" s="5"/>
      <c r="K1341" s="5"/>
      <c r="L1341" s="5"/>
      <c r="M1341" s="5"/>
      <c r="N1341" s="5"/>
      <c r="O1341" s="5"/>
      <c r="P1341" s="16"/>
      <c r="Q1341" s="16"/>
      <c r="R1341" s="19"/>
      <c r="S1341" s="19"/>
      <c r="T1341" s="19"/>
      <c r="U1341" s="19"/>
      <c r="V1341" s="19"/>
      <c r="W1341" s="19"/>
      <c r="X1341" s="19"/>
      <c r="Y1341" s="19"/>
      <c r="Z1341" s="19"/>
      <c r="AA1341" s="19"/>
      <c r="AB1341" s="19"/>
      <c r="AC1341" s="19"/>
      <c r="AD1341" s="19"/>
      <c r="AE1341" s="19"/>
      <c r="AF1341" s="19"/>
      <c r="AG1341" s="5"/>
      <c r="AH1341" s="5"/>
      <c r="AI1341" s="6"/>
    </row>
    <row r="1342" spans="1:35" x14ac:dyDescent="0.25">
      <c r="A1342" s="3"/>
      <c r="B1342" s="37"/>
      <c r="C1342" s="37"/>
      <c r="D1342" s="37"/>
      <c r="E1342" s="5"/>
      <c r="F1342" s="38"/>
      <c r="G1342" s="38"/>
      <c r="H1342" s="38"/>
      <c r="I1342" s="38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5"/>
      <c r="AI1342" s="6"/>
    </row>
    <row r="1343" spans="1:35" x14ac:dyDescent="0.25">
      <c r="A1343" s="3"/>
      <c r="B1343" s="37"/>
      <c r="C1343" s="37"/>
      <c r="D1343" s="37"/>
      <c r="E1343" s="5"/>
      <c r="F1343" s="38"/>
      <c r="G1343" s="38"/>
      <c r="H1343" s="38"/>
      <c r="I1343" s="38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5"/>
      <c r="AI1343" s="6"/>
    </row>
    <row r="1344" spans="1:35" x14ac:dyDescent="0.25">
      <c r="A1344" s="20"/>
      <c r="B1344" s="21"/>
      <c r="C1344" s="21"/>
      <c r="D1344" s="21"/>
      <c r="E1344" s="21"/>
      <c r="F1344" s="21"/>
      <c r="G1344" s="21"/>
      <c r="H1344" s="21"/>
      <c r="I1344" s="21"/>
      <c r="J1344" s="21"/>
      <c r="K1344" s="21"/>
      <c r="L1344" s="21"/>
      <c r="M1344" s="21"/>
      <c r="N1344" s="21"/>
      <c r="O1344" s="22"/>
      <c r="P1344" s="21"/>
      <c r="Q1344" s="21"/>
      <c r="R1344" s="21"/>
      <c r="S1344" s="21"/>
      <c r="T1344" s="21"/>
      <c r="U1344" s="21"/>
      <c r="V1344" s="21"/>
      <c r="W1344" s="21"/>
      <c r="X1344" s="21"/>
      <c r="Y1344" s="21"/>
      <c r="Z1344" s="21"/>
      <c r="AA1344" s="21"/>
      <c r="AB1344" s="21"/>
      <c r="AC1344" s="21"/>
      <c r="AD1344" s="21"/>
      <c r="AE1344" s="21"/>
      <c r="AF1344" s="21"/>
      <c r="AG1344" s="21"/>
      <c r="AH1344" s="21"/>
      <c r="AI1344" s="23"/>
    </row>
    <row r="1345" spans="1:35" x14ac:dyDescent="0.25">
      <c r="A1345" s="24"/>
      <c r="B1345" s="28"/>
      <c r="C1345" s="25"/>
      <c r="D1345" s="25"/>
      <c r="E1345" s="25"/>
      <c r="F1345" s="25"/>
      <c r="G1345" s="25"/>
      <c r="H1345" s="25"/>
      <c r="I1345" s="25"/>
      <c r="J1345" s="25"/>
      <c r="K1345" s="25"/>
      <c r="L1345" s="25"/>
      <c r="M1345" s="25"/>
      <c r="N1345" s="25"/>
      <c r="O1345" s="25"/>
      <c r="P1345" s="25"/>
      <c r="Q1345" s="25"/>
      <c r="R1345" s="25"/>
      <c r="S1345" s="25"/>
      <c r="T1345" s="25"/>
      <c r="U1345" s="25"/>
      <c r="V1345" s="25"/>
      <c r="W1345" s="25"/>
      <c r="X1345" s="25"/>
      <c r="Y1345" s="25"/>
      <c r="Z1345" s="25"/>
      <c r="AA1345" s="25"/>
      <c r="AB1345" s="25"/>
      <c r="AC1345" s="25"/>
      <c r="AD1345" s="25"/>
      <c r="AE1345" s="25"/>
      <c r="AF1345" s="25"/>
      <c r="AG1345" s="25"/>
      <c r="AH1345" s="25"/>
      <c r="AI1345" s="26"/>
    </row>
    <row r="1346" spans="1:35" x14ac:dyDescent="0.25">
      <c r="A1346" s="3"/>
      <c r="B1346" s="4" t="s">
        <v>193</v>
      </c>
      <c r="C1346" s="5"/>
      <c r="D1346" s="5"/>
      <c r="E1346" s="5"/>
      <c r="F1346" s="5"/>
      <c r="G1346" s="5"/>
      <c r="H1346" s="5"/>
      <c r="I1346" s="5" t="str">
        <f>"0x"&amp;BIN2HEX(CONCATENATE(C1351,D1351,E1351,F1351,G1351,H1351,I1351,J1351),2)&amp;BIN2HEX(CONCATENATE(K1351,L1351,M1351,N1351,O1351,P1351,Q1351,R1351),2)&amp;BIN2HEX(CONCATENATE(S1351,T1351,U1351,V1351,W1351,X1351,Y1351,Z1351),2)&amp;BIN2HEX(CONCATENATE(AA1351,AB1351,AC1351,AD1351,AE1351,AF1351,AG1351,AH1351),2)&amp;"_"&amp;BIN2HEX(CONCATENATE(C1355,D1355,E1355,F1355,G1355,H1355,I1355,J1355),2)&amp;BIN2HEX(CONCATENATE(K1355,L1355,M1355,N1355,O1355,P1355,Q1355,R1355),2)&amp;BIN2HEX(CONCATENATE(S1355,T1355,U1355,V1355,W1355,X1355,Y1355,Z1355),2)&amp;BIN2HEX(CONCATENATE(AA1355,AB1355,AC1355,AD1355,AE1355,AF1355,AG1355,AH1355),2)</f>
        <v>0x00000000_00080680</v>
      </c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5"/>
      <c r="AI1346" s="6"/>
    </row>
    <row r="1347" spans="1:35" ht="15.75" thickBot="1" x14ac:dyDescent="0.3">
      <c r="A1347" s="3"/>
      <c r="B1347" s="5"/>
      <c r="C1347" s="7">
        <v>0</v>
      </c>
      <c r="D1347" s="7">
        <v>1</v>
      </c>
      <c r="E1347" s="7">
        <v>2</v>
      </c>
      <c r="F1347" s="7">
        <v>3</v>
      </c>
      <c r="G1347" s="7">
        <v>4</v>
      </c>
      <c r="H1347" s="7">
        <v>5</v>
      </c>
      <c r="I1347" s="7">
        <v>6</v>
      </c>
      <c r="J1347" s="7">
        <v>7</v>
      </c>
      <c r="K1347" s="7">
        <v>8</v>
      </c>
      <c r="L1347" s="7">
        <v>9</v>
      </c>
      <c r="M1347" s="7">
        <v>10</v>
      </c>
      <c r="N1347" s="7">
        <v>11</v>
      </c>
      <c r="O1347" s="7">
        <v>12</v>
      </c>
      <c r="P1347" s="7">
        <v>13</v>
      </c>
      <c r="Q1347" s="7">
        <v>14</v>
      </c>
      <c r="R1347" s="7">
        <v>15</v>
      </c>
      <c r="S1347" s="7">
        <v>16</v>
      </c>
      <c r="T1347" s="7">
        <v>17</v>
      </c>
      <c r="U1347" s="7">
        <v>18</v>
      </c>
      <c r="V1347" s="7">
        <v>19</v>
      </c>
      <c r="W1347" s="7">
        <v>20</v>
      </c>
      <c r="X1347" s="7">
        <v>21</v>
      </c>
      <c r="Y1347" s="7">
        <v>22</v>
      </c>
      <c r="Z1347" s="7">
        <v>23</v>
      </c>
      <c r="AA1347" s="7">
        <v>24</v>
      </c>
      <c r="AB1347" s="7">
        <v>25</v>
      </c>
      <c r="AC1347" s="7">
        <v>26</v>
      </c>
      <c r="AD1347" s="7">
        <v>27</v>
      </c>
      <c r="AE1347" s="7">
        <v>28</v>
      </c>
      <c r="AF1347" s="7">
        <v>29</v>
      </c>
      <c r="AG1347" s="7">
        <v>30</v>
      </c>
      <c r="AH1347" s="7">
        <v>31</v>
      </c>
      <c r="AI1347" s="6"/>
    </row>
    <row r="1348" spans="1:35" x14ac:dyDescent="0.25">
      <c r="A1348" s="3"/>
      <c r="B1348" s="5" t="s">
        <v>31</v>
      </c>
      <c r="C1348" s="328" t="s">
        <v>161</v>
      </c>
      <c r="D1348" s="330" t="s">
        <v>63</v>
      </c>
      <c r="E1348" s="331"/>
      <c r="F1348" s="331"/>
      <c r="G1348" s="331"/>
      <c r="H1348" s="331"/>
      <c r="I1348" s="331"/>
      <c r="J1348" s="332"/>
      <c r="K1348" s="336">
        <v>0</v>
      </c>
      <c r="L1348" s="337"/>
      <c r="M1348" s="337"/>
      <c r="N1348" s="337"/>
      <c r="O1348" s="337"/>
      <c r="P1348" s="337"/>
      <c r="Q1348" s="337"/>
      <c r="R1348" s="337"/>
      <c r="S1348" s="337"/>
      <c r="T1348" s="337"/>
      <c r="U1348" s="337"/>
      <c r="V1348" s="337"/>
      <c r="W1348" s="337"/>
      <c r="X1348" s="337"/>
      <c r="Y1348" s="337"/>
      <c r="Z1348" s="337"/>
      <c r="AA1348" s="337"/>
      <c r="AB1348" s="337"/>
      <c r="AC1348" s="337"/>
      <c r="AD1348" s="337"/>
      <c r="AE1348" s="337"/>
      <c r="AF1348" s="337"/>
      <c r="AG1348" s="337"/>
      <c r="AH1348" s="338"/>
      <c r="AI1348" s="6"/>
    </row>
    <row r="1349" spans="1:35" x14ac:dyDescent="0.25">
      <c r="A1349" s="3"/>
      <c r="B1349" s="5" t="s">
        <v>32</v>
      </c>
      <c r="C1349" s="329"/>
      <c r="D1349" s="333"/>
      <c r="E1349" s="334"/>
      <c r="F1349" s="334"/>
      <c r="G1349" s="334"/>
      <c r="H1349" s="334"/>
      <c r="I1349" s="334"/>
      <c r="J1349" s="335"/>
      <c r="K1349" s="339"/>
      <c r="L1349" s="340"/>
      <c r="M1349" s="340"/>
      <c r="N1349" s="340"/>
      <c r="O1349" s="340"/>
      <c r="P1349" s="340"/>
      <c r="Q1349" s="340"/>
      <c r="R1349" s="340"/>
      <c r="S1349" s="340"/>
      <c r="T1349" s="340"/>
      <c r="U1349" s="340"/>
      <c r="V1349" s="340"/>
      <c r="W1349" s="340"/>
      <c r="X1349" s="340"/>
      <c r="Y1349" s="340"/>
      <c r="Z1349" s="340"/>
      <c r="AA1349" s="340"/>
      <c r="AB1349" s="340"/>
      <c r="AC1349" s="340"/>
      <c r="AD1349" s="340"/>
      <c r="AE1349" s="340"/>
      <c r="AF1349" s="340"/>
      <c r="AG1349" s="340"/>
      <c r="AH1349" s="341"/>
      <c r="AI1349" s="6"/>
    </row>
    <row r="1350" spans="1:35" x14ac:dyDescent="0.25">
      <c r="A1350" s="3"/>
      <c r="B1350" s="5" t="s">
        <v>11</v>
      </c>
      <c r="C1350" s="56">
        <v>0</v>
      </c>
      <c r="D1350" s="57">
        <v>0</v>
      </c>
      <c r="E1350" s="57">
        <v>0</v>
      </c>
      <c r="F1350" s="57">
        <v>0</v>
      </c>
      <c r="G1350" s="57">
        <v>0</v>
      </c>
      <c r="H1350" s="57">
        <v>0</v>
      </c>
      <c r="I1350" s="57">
        <v>0</v>
      </c>
      <c r="J1350" s="57">
        <v>0</v>
      </c>
      <c r="K1350" s="57">
        <v>0</v>
      </c>
      <c r="L1350" s="57">
        <v>0</v>
      </c>
      <c r="M1350" s="57">
        <v>0</v>
      </c>
      <c r="N1350" s="57">
        <v>0</v>
      </c>
      <c r="O1350" s="57">
        <v>0</v>
      </c>
      <c r="P1350" s="57">
        <v>0</v>
      </c>
      <c r="Q1350" s="57">
        <v>0</v>
      </c>
      <c r="R1350" s="57">
        <v>0</v>
      </c>
      <c r="S1350" s="57">
        <v>0</v>
      </c>
      <c r="T1350" s="57">
        <v>0</v>
      </c>
      <c r="U1350" s="57">
        <v>0</v>
      </c>
      <c r="V1350" s="57">
        <v>0</v>
      </c>
      <c r="W1350" s="57">
        <v>0</v>
      </c>
      <c r="X1350" s="57">
        <v>0</v>
      </c>
      <c r="Y1350" s="57">
        <v>0</v>
      </c>
      <c r="Z1350" s="57">
        <v>0</v>
      </c>
      <c r="AA1350" s="57">
        <v>0</v>
      </c>
      <c r="AB1350" s="57">
        <v>0</v>
      </c>
      <c r="AC1350" s="57">
        <v>0</v>
      </c>
      <c r="AD1350" s="57">
        <v>0</v>
      </c>
      <c r="AE1350" s="57">
        <v>0</v>
      </c>
      <c r="AF1350" s="57">
        <v>0</v>
      </c>
      <c r="AG1350" s="57">
        <v>0</v>
      </c>
      <c r="AH1350" s="58">
        <v>0</v>
      </c>
      <c r="AI1350" s="6"/>
    </row>
    <row r="1351" spans="1:35" ht="15.75" thickBot="1" x14ac:dyDescent="0.3">
      <c r="A1351" s="3"/>
      <c r="B1351" s="5" t="s">
        <v>12</v>
      </c>
      <c r="C1351" s="145">
        <v>0</v>
      </c>
      <c r="D1351" s="88">
        <v>0</v>
      </c>
      <c r="E1351" s="88">
        <v>0</v>
      </c>
      <c r="F1351" s="88">
        <v>0</v>
      </c>
      <c r="G1351" s="88">
        <v>0</v>
      </c>
      <c r="H1351" s="88">
        <v>0</v>
      </c>
      <c r="I1351" s="88">
        <v>0</v>
      </c>
      <c r="J1351" s="88">
        <v>0</v>
      </c>
      <c r="K1351" s="62">
        <v>0</v>
      </c>
      <c r="L1351" s="62">
        <v>0</v>
      </c>
      <c r="M1351" s="62">
        <v>0</v>
      </c>
      <c r="N1351" s="62">
        <v>0</v>
      </c>
      <c r="O1351" s="62">
        <v>0</v>
      </c>
      <c r="P1351" s="62">
        <v>0</v>
      </c>
      <c r="Q1351" s="62">
        <v>0</v>
      </c>
      <c r="R1351" s="62">
        <v>0</v>
      </c>
      <c r="S1351" s="62">
        <v>0</v>
      </c>
      <c r="T1351" s="62">
        <v>0</v>
      </c>
      <c r="U1351" s="62">
        <v>0</v>
      </c>
      <c r="V1351" s="62">
        <v>0</v>
      </c>
      <c r="W1351" s="62">
        <v>0</v>
      </c>
      <c r="X1351" s="62">
        <v>0</v>
      </c>
      <c r="Y1351" s="62">
        <v>0</v>
      </c>
      <c r="Z1351" s="62">
        <v>0</v>
      </c>
      <c r="AA1351" s="62">
        <v>0</v>
      </c>
      <c r="AB1351" s="62">
        <v>0</v>
      </c>
      <c r="AC1351" s="62">
        <v>0</v>
      </c>
      <c r="AD1351" s="62">
        <v>0</v>
      </c>
      <c r="AE1351" s="62">
        <v>0</v>
      </c>
      <c r="AF1351" s="62">
        <v>0</v>
      </c>
      <c r="AG1351" s="62">
        <v>0</v>
      </c>
      <c r="AH1351" s="146">
        <v>0</v>
      </c>
      <c r="AI1351" s="6"/>
    </row>
    <row r="1352" spans="1:35" x14ac:dyDescent="0.25">
      <c r="A1352" s="3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5"/>
      <c r="AI1352" s="6"/>
    </row>
    <row r="1353" spans="1:35" ht="15.75" thickBot="1" x14ac:dyDescent="0.3">
      <c r="A1353" s="3"/>
      <c r="B1353" s="5"/>
      <c r="C1353" s="7">
        <v>32</v>
      </c>
      <c r="D1353" s="7">
        <v>33</v>
      </c>
      <c r="E1353" s="7">
        <v>34</v>
      </c>
      <c r="F1353" s="7">
        <v>35</v>
      </c>
      <c r="G1353" s="7">
        <v>36</v>
      </c>
      <c r="H1353" s="7">
        <v>37</v>
      </c>
      <c r="I1353" s="7">
        <v>38</v>
      </c>
      <c r="J1353" s="7">
        <v>39</v>
      </c>
      <c r="K1353" s="7">
        <v>40</v>
      </c>
      <c r="L1353" s="7">
        <v>41</v>
      </c>
      <c r="M1353" s="7">
        <v>42</v>
      </c>
      <c r="N1353" s="7">
        <v>43</v>
      </c>
      <c r="O1353" s="7">
        <v>44</v>
      </c>
      <c r="P1353" s="7">
        <v>45</v>
      </c>
      <c r="Q1353" s="7">
        <v>46</v>
      </c>
      <c r="R1353" s="7">
        <v>47</v>
      </c>
      <c r="S1353" s="7">
        <v>48</v>
      </c>
      <c r="T1353" s="7">
        <v>49</v>
      </c>
      <c r="U1353" s="7">
        <v>50</v>
      </c>
      <c r="V1353" s="7">
        <v>51</v>
      </c>
      <c r="W1353" s="7">
        <v>52</v>
      </c>
      <c r="X1353" s="7">
        <v>53</v>
      </c>
      <c r="Y1353" s="7">
        <v>54</v>
      </c>
      <c r="Z1353" s="7">
        <v>55</v>
      </c>
      <c r="AA1353" s="7">
        <v>56</v>
      </c>
      <c r="AB1353" s="7">
        <v>57</v>
      </c>
      <c r="AC1353" s="7">
        <v>58</v>
      </c>
      <c r="AD1353" s="7">
        <v>59</v>
      </c>
      <c r="AE1353" s="7">
        <v>60</v>
      </c>
      <c r="AF1353" s="7">
        <v>61</v>
      </c>
      <c r="AG1353" s="7">
        <v>62</v>
      </c>
      <c r="AH1353" s="7">
        <v>63</v>
      </c>
      <c r="AI1353" s="6"/>
    </row>
    <row r="1354" spans="1:35" ht="15.75" thickBot="1" x14ac:dyDescent="0.3">
      <c r="A1354" s="3"/>
      <c r="B1354" s="5"/>
      <c r="C1354" s="147" t="s">
        <v>13</v>
      </c>
      <c r="D1354" s="148" t="s">
        <v>14</v>
      </c>
      <c r="E1354" s="148" t="s">
        <v>15</v>
      </c>
      <c r="F1354" s="148" t="s">
        <v>16</v>
      </c>
      <c r="G1354" s="148" t="s">
        <v>17</v>
      </c>
      <c r="H1354" s="148" t="s">
        <v>18</v>
      </c>
      <c r="I1354" s="148" t="s">
        <v>19</v>
      </c>
      <c r="J1354" s="148" t="s">
        <v>20</v>
      </c>
      <c r="K1354" s="148" t="s">
        <v>21</v>
      </c>
      <c r="L1354" s="148" t="s">
        <v>22</v>
      </c>
      <c r="M1354" s="148" t="s">
        <v>23</v>
      </c>
      <c r="N1354" s="148" t="s">
        <v>24</v>
      </c>
      <c r="O1354" s="148" t="s">
        <v>25</v>
      </c>
      <c r="P1354" s="148" t="s">
        <v>26</v>
      </c>
      <c r="Q1354" s="148" t="s">
        <v>27</v>
      </c>
      <c r="R1354" s="342" t="s">
        <v>30</v>
      </c>
      <c r="S1354" s="343"/>
      <c r="T1354" s="343"/>
      <c r="U1354" s="343"/>
      <c r="V1354" s="343"/>
      <c r="W1354" s="343"/>
      <c r="X1354" s="343"/>
      <c r="Y1354" s="343"/>
      <c r="Z1354" s="343"/>
      <c r="AA1354" s="343"/>
      <c r="AB1354" s="343"/>
      <c r="AC1354" s="343"/>
      <c r="AD1354" s="343"/>
      <c r="AE1354" s="343"/>
      <c r="AF1354" s="344"/>
      <c r="AG1354" s="67" t="s">
        <v>28</v>
      </c>
      <c r="AH1354" s="149" t="s">
        <v>29</v>
      </c>
      <c r="AI1354" s="6"/>
    </row>
    <row r="1355" spans="1:35" ht="15.75" thickBot="1" x14ac:dyDescent="0.3">
      <c r="A1355" s="3"/>
      <c r="B1355" s="5"/>
      <c r="C1355" s="150">
        <v>0</v>
      </c>
      <c r="D1355" s="151">
        <v>0</v>
      </c>
      <c r="E1355" s="151">
        <v>0</v>
      </c>
      <c r="F1355" s="151">
        <v>0</v>
      </c>
      <c r="G1355" s="151">
        <v>0</v>
      </c>
      <c r="H1355" s="151">
        <v>0</v>
      </c>
      <c r="I1355" s="151">
        <v>0</v>
      </c>
      <c r="J1355" s="151">
        <v>0</v>
      </c>
      <c r="K1355" s="151">
        <v>0</v>
      </c>
      <c r="L1355" s="151">
        <v>0</v>
      </c>
      <c r="M1355" s="151">
        <v>0</v>
      </c>
      <c r="N1355" s="151">
        <v>0</v>
      </c>
      <c r="O1355" s="151">
        <v>1</v>
      </c>
      <c r="P1355" s="151">
        <v>0</v>
      </c>
      <c r="Q1355" s="151">
        <v>0</v>
      </c>
      <c r="R1355" s="151">
        <v>0</v>
      </c>
      <c r="S1355" s="151">
        <v>0</v>
      </c>
      <c r="T1355" s="151">
        <v>0</v>
      </c>
      <c r="U1355" s="151">
        <v>0</v>
      </c>
      <c r="V1355" s="151">
        <v>0</v>
      </c>
      <c r="W1355" s="151">
        <v>0</v>
      </c>
      <c r="X1355" s="151">
        <v>1</v>
      </c>
      <c r="Y1355" s="151">
        <v>1</v>
      </c>
      <c r="Z1355" s="151">
        <v>0</v>
      </c>
      <c r="AA1355" s="151">
        <v>1</v>
      </c>
      <c r="AB1355" s="151">
        <v>0</v>
      </c>
      <c r="AC1355" s="151">
        <v>0</v>
      </c>
      <c r="AD1355" s="151">
        <v>0</v>
      </c>
      <c r="AE1355" s="151">
        <v>0</v>
      </c>
      <c r="AF1355" s="151">
        <v>0</v>
      </c>
      <c r="AG1355" s="151">
        <v>0</v>
      </c>
      <c r="AH1355" s="152">
        <v>0</v>
      </c>
      <c r="AI1355" s="6"/>
    </row>
    <row r="1356" spans="1:35" x14ac:dyDescent="0.25">
      <c r="A1356" s="3"/>
      <c r="B1356" s="4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5"/>
      <c r="AI1356" s="6"/>
    </row>
    <row r="1357" spans="1:35" x14ac:dyDescent="0.25">
      <c r="A1357" s="3"/>
      <c r="B1357" s="8" t="s">
        <v>43</v>
      </c>
      <c r="C1357" s="9"/>
      <c r="D1357" s="9"/>
      <c r="E1357" s="9"/>
      <c r="F1357" s="44" t="s">
        <v>44</v>
      </c>
      <c r="G1357" s="44"/>
      <c r="H1357" s="44"/>
      <c r="I1357" s="9"/>
      <c r="J1357" s="45" t="s">
        <v>45</v>
      </c>
      <c r="K1357" s="45"/>
      <c r="L1357" s="45"/>
      <c r="M1357" s="45"/>
      <c r="N1357" s="9"/>
      <c r="O1357" s="46" t="s">
        <v>46</v>
      </c>
      <c r="P1357" s="46"/>
      <c r="Q1357" s="46"/>
      <c r="R1357" s="46"/>
      <c r="S1357" s="9"/>
      <c r="T1357" s="1" t="s">
        <v>49</v>
      </c>
      <c r="U1357" s="10" t="s">
        <v>48</v>
      </c>
      <c r="V1357" s="5"/>
      <c r="W1357" s="9"/>
      <c r="X1357" s="9"/>
      <c r="Y1357" s="9"/>
      <c r="Z1357" s="9"/>
      <c r="AA1357" s="9"/>
      <c r="AB1357" s="9"/>
      <c r="AC1357" s="9"/>
      <c r="AD1357" s="9"/>
      <c r="AE1357" s="9"/>
      <c r="AF1357" s="9"/>
      <c r="AG1357" s="9"/>
      <c r="AH1357" s="9"/>
      <c r="AI1357" s="6"/>
    </row>
    <row r="1358" spans="1:35" ht="15" customHeight="1" x14ac:dyDescent="0.25">
      <c r="A1358" s="3"/>
      <c r="B1358" s="42" t="str">
        <f>"0x"&amp;DEC2HEX(Sheet3!$I$4,8)</f>
        <v>0x00400320</v>
      </c>
      <c r="C1358" s="42"/>
      <c r="D1358" s="42"/>
      <c r="E1358" s="12"/>
      <c r="F1358" s="319" t="str">
        <f>"0x"&amp;BIN2HEX(CONCATENATE(C1351,D1351,E1351,F1351,G1351,H1351,I1351,J1351),2)&amp;BIN2HEX(CONCATENATE(K1351,L1351,M1351,N1351,O1351,P1351,Q1351,R1351),2)&amp;BIN2HEX(CONCATENATE(S1351,T1351,U1351,V1351,W1351,X1351,Y1351,Z1351),2)&amp;BIN2HEX(CONCATENATE(AA1351,AB1351,AC1351,AD1351,AE1351,AF1351,AG1351,AH1351),2)</f>
        <v>0x00000000</v>
      </c>
      <c r="G1358" s="319"/>
      <c r="H1358" s="319"/>
      <c r="I1358" s="12"/>
      <c r="J1358" s="319" t="str">
        <f>"0b"&amp;C1355&amp;D1355&amp;E1355&amp;F1355&amp;G1355&amp;H1355&amp;I1355&amp;J1355&amp;K1355&amp;L1355&amp;M1355&amp;N1355&amp;O1355&amp;P1355&amp;Q1355</f>
        <v>0b000000000000100</v>
      </c>
      <c r="K1358" s="319"/>
      <c r="L1358" s="319"/>
      <c r="M1358" s="319"/>
      <c r="N1358" s="12"/>
      <c r="O1358" s="319" t="str">
        <f>"0b"&amp;DEC2BIN(((AF1355+AE1355*2+AD1355*4+AC1355*8+AB1355*16+AA1355*32+Z1355*64+Y1355*128+X1355*256+W1355*512+V1355*1024+U1355*2048+T1355*4096+S1355*2^13+R1355*2^14)/512),6)&amp;DEC2BIN(MOD((AF1355+AE1355*2+AD1355*4+AC1355*8+AB1355*16+AA1355*32+Z1355*64+Y1355*128+X1355*256+W1355*512+V1355*1024+U1355*2048+T1355*4096+S1355*2^13+R1355*2^14),512),9)</f>
        <v>0b000000110100000</v>
      </c>
      <c r="P1358" s="319"/>
      <c r="Q1358" s="319"/>
      <c r="R1358" s="319"/>
      <c r="S1358" s="12"/>
      <c r="T1358" s="13">
        <v>0</v>
      </c>
      <c r="U1358" s="13">
        <f>AH1355</f>
        <v>0</v>
      </c>
      <c r="V1358" s="5"/>
      <c r="W1358" s="14"/>
      <c r="X1358" s="14"/>
      <c r="Y1358" s="14"/>
      <c r="Z1358" s="14"/>
      <c r="AA1358" s="14"/>
      <c r="AB1358" s="14"/>
      <c r="AC1358" s="14"/>
      <c r="AD1358" s="14"/>
      <c r="AE1358" s="14"/>
      <c r="AF1358" s="14"/>
      <c r="AG1358" s="14"/>
      <c r="AH1358" s="14"/>
      <c r="AI1358" s="6"/>
    </row>
    <row r="1359" spans="1:35" x14ac:dyDescent="0.25">
      <c r="A1359" s="3"/>
      <c r="B1359" s="42"/>
      <c r="C1359" s="42"/>
      <c r="D1359" s="42"/>
      <c r="E1359" s="15"/>
      <c r="F1359" s="43"/>
      <c r="G1359" s="43"/>
      <c r="H1359" s="43"/>
      <c r="I1359" s="15"/>
      <c r="J1359" s="42"/>
      <c r="K1359" s="42"/>
      <c r="L1359" s="42"/>
      <c r="M1359" s="42"/>
      <c r="N1359" s="15"/>
      <c r="O1359" s="42"/>
      <c r="P1359" s="42"/>
      <c r="Q1359" s="42"/>
      <c r="R1359" s="42"/>
      <c r="S1359" s="15"/>
      <c r="T1359" s="13"/>
      <c r="U1359" s="15"/>
      <c r="V1359" s="5"/>
      <c r="W1359" s="16"/>
      <c r="X1359" s="16"/>
      <c r="Y1359" s="16"/>
      <c r="Z1359" s="16"/>
      <c r="AA1359" s="16"/>
      <c r="AB1359" s="16"/>
      <c r="AC1359" s="16"/>
      <c r="AD1359" s="16"/>
      <c r="AE1359" s="16"/>
      <c r="AF1359" s="16"/>
      <c r="AG1359" s="16"/>
      <c r="AH1359" s="16"/>
      <c r="AI1359" s="6"/>
    </row>
    <row r="1360" spans="1:35" x14ac:dyDescent="0.25">
      <c r="A1360" s="3"/>
      <c r="B1360" s="42"/>
      <c r="C1360" s="42"/>
      <c r="D1360" s="42"/>
      <c r="E1360" s="15"/>
      <c r="F1360" s="43"/>
      <c r="G1360" s="43"/>
      <c r="H1360" s="43"/>
      <c r="I1360" s="15"/>
      <c r="J1360" s="42"/>
      <c r="K1360" s="42"/>
      <c r="L1360" s="42"/>
      <c r="M1360" s="42"/>
      <c r="N1360" s="15"/>
      <c r="O1360" s="42"/>
      <c r="P1360" s="42"/>
      <c r="Q1360" s="42"/>
      <c r="R1360" s="42"/>
      <c r="S1360" s="15"/>
      <c r="T1360" s="13"/>
      <c r="U1360" s="15"/>
      <c r="V1360" s="5"/>
      <c r="W1360" s="16"/>
      <c r="X1360" s="16"/>
      <c r="Y1360" s="16"/>
      <c r="Z1360" s="16"/>
      <c r="AA1360" s="16"/>
      <c r="AB1360" s="16"/>
      <c r="AC1360" s="16"/>
      <c r="AD1360" s="16"/>
      <c r="AE1360" s="16"/>
      <c r="AF1360" s="16"/>
      <c r="AG1360" s="16"/>
      <c r="AH1360" s="16"/>
      <c r="AI1360" s="6"/>
    </row>
    <row r="1361" spans="1:35" x14ac:dyDescent="0.25">
      <c r="A1361" s="3"/>
      <c r="B1361" s="5"/>
      <c r="C1361" s="5"/>
      <c r="D1361" s="5"/>
      <c r="E1361" s="5"/>
      <c r="F1361" s="17"/>
      <c r="G1361" s="17"/>
      <c r="H1361" s="17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5"/>
      <c r="AI1361" s="6"/>
    </row>
    <row r="1362" spans="1:35" x14ac:dyDescent="0.25">
      <c r="A1362" s="3"/>
      <c r="B1362" s="5" t="s">
        <v>47</v>
      </c>
      <c r="C1362" s="18"/>
      <c r="D1362" s="18"/>
      <c r="E1362" s="18"/>
      <c r="F1362" s="5"/>
      <c r="G1362" s="5"/>
      <c r="H1362" s="5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  <c r="AB1362" s="18"/>
      <c r="AC1362" s="18"/>
      <c r="AD1362" s="18"/>
      <c r="AE1362" s="18"/>
      <c r="AF1362" s="18"/>
      <c r="AG1362" s="18"/>
      <c r="AH1362" s="18"/>
      <c r="AI1362" s="6"/>
    </row>
    <row r="1363" spans="1:35" ht="15" customHeight="1" x14ac:dyDescent="0.25">
      <c r="A1363" s="3"/>
      <c r="B1363" s="42" t="str">
        <f>"0x"&amp;DEC2HEX(Sheet3!$I$4,8)</f>
        <v>0x00400320</v>
      </c>
      <c r="C1363" s="42"/>
      <c r="D1363" s="42"/>
      <c r="E1363" s="16"/>
      <c r="F1363" s="322" t="str">
        <f>F1358&amp;BIN2HEX(MID(J1358,3,8),2)&amp;BIN2HEX(RIGHT(J1358,7)&amp;MID(O1358,3,1),2)&amp;BIN2HEX(MID(O1358,4,8),2)&amp;BIN2HEX(RIGHT(O1358,6)&amp;T1358&amp;U1358,2)</f>
        <v>0x0000000000080680</v>
      </c>
      <c r="G1363" s="322"/>
      <c r="H1363" s="322"/>
      <c r="I1363" s="322"/>
      <c r="J1363" s="5"/>
      <c r="K1363" s="5"/>
      <c r="L1363" s="5"/>
      <c r="M1363" s="5"/>
      <c r="N1363" s="5"/>
      <c r="O1363" s="5"/>
      <c r="P1363" s="16"/>
      <c r="Q1363" s="16"/>
      <c r="R1363" s="19"/>
      <c r="S1363" s="19"/>
      <c r="T1363" s="19"/>
      <c r="U1363" s="19"/>
      <c r="V1363" s="19"/>
      <c r="W1363" s="19"/>
      <c r="X1363" s="19"/>
      <c r="Y1363" s="19"/>
      <c r="Z1363" s="19"/>
      <c r="AA1363" s="19"/>
      <c r="AB1363" s="19"/>
      <c r="AC1363" s="19"/>
      <c r="AD1363" s="19"/>
      <c r="AE1363" s="19"/>
      <c r="AF1363" s="19"/>
      <c r="AG1363" s="5"/>
      <c r="AH1363" s="5"/>
      <c r="AI1363" s="6"/>
    </row>
    <row r="1364" spans="1:35" x14ac:dyDescent="0.25">
      <c r="A1364" s="3"/>
      <c r="B1364" s="37"/>
      <c r="C1364" s="37"/>
      <c r="D1364" s="37"/>
      <c r="E1364" s="5"/>
      <c r="F1364" s="38"/>
      <c r="G1364" s="38"/>
      <c r="H1364" s="38"/>
      <c r="I1364" s="38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5"/>
      <c r="AI1364" s="6"/>
    </row>
    <row r="1365" spans="1:35" x14ac:dyDescent="0.25">
      <c r="A1365" s="3"/>
      <c r="B1365" s="37"/>
      <c r="C1365" s="37"/>
      <c r="D1365" s="37"/>
      <c r="E1365" s="5"/>
      <c r="F1365" s="38"/>
      <c r="G1365" s="38"/>
      <c r="H1365" s="38"/>
      <c r="I1365" s="38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5"/>
      <c r="AI1365" s="6"/>
    </row>
    <row r="1366" spans="1:35" x14ac:dyDescent="0.25">
      <c r="A1366" s="20"/>
      <c r="B1366" s="21"/>
      <c r="C1366" s="21"/>
      <c r="D1366" s="21"/>
      <c r="E1366" s="21"/>
      <c r="F1366" s="21"/>
      <c r="G1366" s="21"/>
      <c r="H1366" s="21"/>
      <c r="I1366" s="21"/>
      <c r="J1366" s="21"/>
      <c r="K1366" s="21"/>
      <c r="L1366" s="21"/>
      <c r="M1366" s="21"/>
      <c r="N1366" s="21"/>
      <c r="O1366" s="22"/>
      <c r="P1366" s="21"/>
      <c r="Q1366" s="21"/>
      <c r="R1366" s="21"/>
      <c r="S1366" s="21"/>
      <c r="T1366" s="21"/>
      <c r="U1366" s="21"/>
      <c r="V1366" s="21"/>
      <c r="W1366" s="21"/>
      <c r="X1366" s="21"/>
      <c r="Y1366" s="21"/>
      <c r="Z1366" s="21"/>
      <c r="AA1366" s="21"/>
      <c r="AB1366" s="21"/>
      <c r="AC1366" s="21"/>
      <c r="AD1366" s="21"/>
      <c r="AE1366" s="21"/>
      <c r="AF1366" s="21"/>
      <c r="AG1366" s="21"/>
      <c r="AH1366" s="21"/>
      <c r="AI1366" s="23"/>
    </row>
    <row r="1367" spans="1:35" x14ac:dyDescent="0.25">
      <c r="A1367" s="24"/>
      <c r="B1367" s="28"/>
      <c r="C1367" s="25"/>
      <c r="D1367" s="25"/>
      <c r="E1367" s="25"/>
      <c r="F1367" s="25"/>
      <c r="G1367" s="25"/>
      <c r="H1367" s="25"/>
      <c r="I1367" s="25"/>
      <c r="J1367" s="25"/>
      <c r="K1367" s="25"/>
      <c r="L1367" s="25"/>
      <c r="M1367" s="25"/>
      <c r="N1367" s="25"/>
      <c r="O1367" s="25"/>
      <c r="P1367" s="25"/>
      <c r="Q1367" s="25"/>
      <c r="R1367" s="25"/>
      <c r="S1367" s="25"/>
      <c r="T1367" s="25"/>
      <c r="U1367" s="25"/>
      <c r="V1367" s="25"/>
      <c r="W1367" s="25"/>
      <c r="X1367" s="25"/>
      <c r="Y1367" s="25"/>
      <c r="Z1367" s="25"/>
      <c r="AA1367" s="25"/>
      <c r="AB1367" s="25"/>
      <c r="AC1367" s="25"/>
      <c r="AD1367" s="25"/>
      <c r="AE1367" s="25"/>
      <c r="AF1367" s="25"/>
      <c r="AG1367" s="25"/>
      <c r="AH1367" s="25"/>
      <c r="AI1367" s="26"/>
    </row>
    <row r="1368" spans="1:35" x14ac:dyDescent="0.25">
      <c r="A1368" s="3"/>
      <c r="B1368" s="4" t="s">
        <v>194</v>
      </c>
      <c r="C1368" s="5"/>
      <c r="D1368" s="5"/>
      <c r="E1368" s="5"/>
      <c r="F1368" s="5"/>
      <c r="G1368" s="5"/>
      <c r="H1368" s="5"/>
      <c r="I1368" s="5" t="str">
        <f>"0x"&amp;BIN2HEX(CONCATENATE(C1373,D1373,E1373,F1373,G1373,H1373,I1373,J1373),2)&amp;BIN2HEX(CONCATENATE(K1373,L1373,M1373,N1373,O1373,P1373,Q1373,R1373),2)&amp;BIN2HEX(CONCATENATE(S1373,T1373,U1373,V1373,W1373,X1373,Y1373,Z1373),2)&amp;BIN2HEX(CONCATENATE(AA1373,AB1373,AC1373,AD1373,AE1373,AF1373,AG1373,AH1373),2)&amp;"_"&amp;BIN2HEX(CONCATENATE(C1377,D1377,E1377,F1377,G1377,H1377,I1377,J1377),2)&amp;BIN2HEX(CONCATENATE(K1377,L1377,M1377,N1377,O1377,P1377,Q1377,R1377),2)&amp;BIN2HEX(CONCATENATE(S1377,T1377,U1377,V1377,W1377,X1377,Y1377,Z1377),2)&amp;BIN2HEX(CONCATENATE(AA1377,AB1377,AC1377,AD1377,AE1377,AF1377,AG1377,AH1377),2)</f>
        <v>0x00000000_00080684</v>
      </c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5"/>
      <c r="AI1368" s="6"/>
    </row>
    <row r="1369" spans="1:35" ht="15.75" thickBot="1" x14ac:dyDescent="0.3">
      <c r="A1369" s="3"/>
      <c r="B1369" s="5"/>
      <c r="C1369" s="7">
        <v>0</v>
      </c>
      <c r="D1369" s="7">
        <v>1</v>
      </c>
      <c r="E1369" s="7">
        <v>2</v>
      </c>
      <c r="F1369" s="7">
        <v>3</v>
      </c>
      <c r="G1369" s="7">
        <v>4</v>
      </c>
      <c r="H1369" s="7">
        <v>5</v>
      </c>
      <c r="I1369" s="7">
        <v>6</v>
      </c>
      <c r="J1369" s="7">
        <v>7</v>
      </c>
      <c r="K1369" s="7">
        <v>8</v>
      </c>
      <c r="L1369" s="7">
        <v>9</v>
      </c>
      <c r="M1369" s="7">
        <v>10</v>
      </c>
      <c r="N1369" s="7">
        <v>11</v>
      </c>
      <c r="O1369" s="7">
        <v>12</v>
      </c>
      <c r="P1369" s="7">
        <v>13</v>
      </c>
      <c r="Q1369" s="7">
        <v>14</v>
      </c>
      <c r="R1369" s="7">
        <v>15</v>
      </c>
      <c r="S1369" s="7">
        <v>16</v>
      </c>
      <c r="T1369" s="7">
        <v>17</v>
      </c>
      <c r="U1369" s="7">
        <v>18</v>
      </c>
      <c r="V1369" s="7">
        <v>19</v>
      </c>
      <c r="W1369" s="7">
        <v>20</v>
      </c>
      <c r="X1369" s="7">
        <v>21</v>
      </c>
      <c r="Y1369" s="7">
        <v>22</v>
      </c>
      <c r="Z1369" s="7">
        <v>23</v>
      </c>
      <c r="AA1369" s="7">
        <v>24</v>
      </c>
      <c r="AB1369" s="7">
        <v>25</v>
      </c>
      <c r="AC1369" s="7">
        <v>26</v>
      </c>
      <c r="AD1369" s="7">
        <v>27</v>
      </c>
      <c r="AE1369" s="7">
        <v>28</v>
      </c>
      <c r="AF1369" s="7">
        <v>29</v>
      </c>
      <c r="AG1369" s="7">
        <v>30</v>
      </c>
      <c r="AH1369" s="7">
        <v>31</v>
      </c>
      <c r="AI1369" s="6"/>
    </row>
    <row r="1370" spans="1:35" x14ac:dyDescent="0.25">
      <c r="A1370" s="3"/>
      <c r="B1370" s="5" t="s">
        <v>31</v>
      </c>
      <c r="C1370" s="328" t="s">
        <v>161</v>
      </c>
      <c r="D1370" s="330" t="s">
        <v>63</v>
      </c>
      <c r="E1370" s="331"/>
      <c r="F1370" s="331"/>
      <c r="G1370" s="331"/>
      <c r="H1370" s="331"/>
      <c r="I1370" s="331"/>
      <c r="J1370" s="332"/>
      <c r="K1370" s="336">
        <v>0</v>
      </c>
      <c r="L1370" s="337"/>
      <c r="M1370" s="337"/>
      <c r="N1370" s="337"/>
      <c r="O1370" s="337"/>
      <c r="P1370" s="337"/>
      <c r="Q1370" s="337"/>
      <c r="R1370" s="337"/>
      <c r="S1370" s="337"/>
      <c r="T1370" s="337"/>
      <c r="U1370" s="337"/>
      <c r="V1370" s="337"/>
      <c r="W1370" s="337"/>
      <c r="X1370" s="337"/>
      <c r="Y1370" s="337"/>
      <c r="Z1370" s="337"/>
      <c r="AA1370" s="337"/>
      <c r="AB1370" s="337"/>
      <c r="AC1370" s="337"/>
      <c r="AD1370" s="337"/>
      <c r="AE1370" s="337"/>
      <c r="AF1370" s="337"/>
      <c r="AG1370" s="337"/>
      <c r="AH1370" s="338"/>
      <c r="AI1370" s="6"/>
    </row>
    <row r="1371" spans="1:35" x14ac:dyDescent="0.25">
      <c r="A1371" s="3"/>
      <c r="B1371" s="5" t="s">
        <v>32</v>
      </c>
      <c r="C1371" s="329"/>
      <c r="D1371" s="333"/>
      <c r="E1371" s="334"/>
      <c r="F1371" s="334"/>
      <c r="G1371" s="334"/>
      <c r="H1371" s="334"/>
      <c r="I1371" s="334"/>
      <c r="J1371" s="335"/>
      <c r="K1371" s="339"/>
      <c r="L1371" s="340"/>
      <c r="M1371" s="340"/>
      <c r="N1371" s="340"/>
      <c r="O1371" s="340"/>
      <c r="P1371" s="340"/>
      <c r="Q1371" s="340"/>
      <c r="R1371" s="340"/>
      <c r="S1371" s="340"/>
      <c r="T1371" s="340"/>
      <c r="U1371" s="340"/>
      <c r="V1371" s="340"/>
      <c r="W1371" s="340"/>
      <c r="X1371" s="340"/>
      <c r="Y1371" s="340"/>
      <c r="Z1371" s="340"/>
      <c r="AA1371" s="340"/>
      <c r="AB1371" s="340"/>
      <c r="AC1371" s="340"/>
      <c r="AD1371" s="340"/>
      <c r="AE1371" s="340"/>
      <c r="AF1371" s="340"/>
      <c r="AG1371" s="340"/>
      <c r="AH1371" s="341"/>
      <c r="AI1371" s="6"/>
    </row>
    <row r="1372" spans="1:35" x14ac:dyDescent="0.25">
      <c r="A1372" s="3"/>
      <c r="B1372" s="5" t="s">
        <v>11</v>
      </c>
      <c r="C1372" s="56">
        <v>0</v>
      </c>
      <c r="D1372" s="57">
        <v>0</v>
      </c>
      <c r="E1372" s="57">
        <v>0</v>
      </c>
      <c r="F1372" s="57">
        <v>0</v>
      </c>
      <c r="G1372" s="57">
        <v>0</v>
      </c>
      <c r="H1372" s="57">
        <v>0</v>
      </c>
      <c r="I1372" s="57">
        <v>0</v>
      </c>
      <c r="J1372" s="57">
        <v>0</v>
      </c>
      <c r="K1372" s="57">
        <v>0</v>
      </c>
      <c r="L1372" s="57">
        <v>0</v>
      </c>
      <c r="M1372" s="57">
        <v>0</v>
      </c>
      <c r="N1372" s="57">
        <v>0</v>
      </c>
      <c r="O1372" s="57">
        <v>0</v>
      </c>
      <c r="P1372" s="57">
        <v>0</v>
      </c>
      <c r="Q1372" s="57">
        <v>0</v>
      </c>
      <c r="R1372" s="57">
        <v>0</v>
      </c>
      <c r="S1372" s="57">
        <v>0</v>
      </c>
      <c r="T1372" s="57">
        <v>0</v>
      </c>
      <c r="U1372" s="57">
        <v>0</v>
      </c>
      <c r="V1372" s="57">
        <v>0</v>
      </c>
      <c r="W1372" s="57">
        <v>0</v>
      </c>
      <c r="X1372" s="57">
        <v>0</v>
      </c>
      <c r="Y1372" s="57">
        <v>0</v>
      </c>
      <c r="Z1372" s="57">
        <v>0</v>
      </c>
      <c r="AA1372" s="57">
        <v>0</v>
      </c>
      <c r="AB1372" s="57">
        <v>0</v>
      </c>
      <c r="AC1372" s="57">
        <v>0</v>
      </c>
      <c r="AD1372" s="57">
        <v>0</v>
      </c>
      <c r="AE1372" s="57">
        <v>0</v>
      </c>
      <c r="AF1372" s="57">
        <v>0</v>
      </c>
      <c r="AG1372" s="57">
        <v>0</v>
      </c>
      <c r="AH1372" s="58">
        <v>0</v>
      </c>
      <c r="AI1372" s="6"/>
    </row>
    <row r="1373" spans="1:35" ht="15.75" thickBot="1" x14ac:dyDescent="0.3">
      <c r="A1373" s="3"/>
      <c r="B1373" s="5" t="s">
        <v>12</v>
      </c>
      <c r="C1373" s="145">
        <v>0</v>
      </c>
      <c r="D1373" s="88">
        <v>0</v>
      </c>
      <c r="E1373" s="88">
        <v>0</v>
      </c>
      <c r="F1373" s="88">
        <v>0</v>
      </c>
      <c r="G1373" s="88">
        <v>0</v>
      </c>
      <c r="H1373" s="88">
        <v>0</v>
      </c>
      <c r="I1373" s="88">
        <v>0</v>
      </c>
      <c r="J1373" s="88">
        <v>0</v>
      </c>
      <c r="K1373" s="62">
        <v>0</v>
      </c>
      <c r="L1373" s="62">
        <v>0</v>
      </c>
      <c r="M1373" s="62">
        <v>0</v>
      </c>
      <c r="N1373" s="62">
        <v>0</v>
      </c>
      <c r="O1373" s="62">
        <v>0</v>
      </c>
      <c r="P1373" s="62">
        <v>0</v>
      </c>
      <c r="Q1373" s="62">
        <v>0</v>
      </c>
      <c r="R1373" s="62">
        <v>0</v>
      </c>
      <c r="S1373" s="62">
        <v>0</v>
      </c>
      <c r="T1373" s="62">
        <v>0</v>
      </c>
      <c r="U1373" s="62">
        <v>0</v>
      </c>
      <c r="V1373" s="62">
        <v>0</v>
      </c>
      <c r="W1373" s="62">
        <v>0</v>
      </c>
      <c r="X1373" s="62">
        <v>0</v>
      </c>
      <c r="Y1373" s="62">
        <v>0</v>
      </c>
      <c r="Z1373" s="62">
        <v>0</v>
      </c>
      <c r="AA1373" s="62">
        <v>0</v>
      </c>
      <c r="AB1373" s="62">
        <v>0</v>
      </c>
      <c r="AC1373" s="62">
        <v>0</v>
      </c>
      <c r="AD1373" s="62">
        <v>0</v>
      </c>
      <c r="AE1373" s="62">
        <v>0</v>
      </c>
      <c r="AF1373" s="62">
        <v>0</v>
      </c>
      <c r="AG1373" s="62">
        <v>0</v>
      </c>
      <c r="AH1373" s="146">
        <v>0</v>
      </c>
      <c r="AI1373" s="6"/>
    </row>
    <row r="1374" spans="1:35" x14ac:dyDescent="0.25">
      <c r="A1374" s="3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5"/>
      <c r="AI1374" s="6"/>
    </row>
    <row r="1375" spans="1:35" ht="15.75" thickBot="1" x14ac:dyDescent="0.3">
      <c r="A1375" s="3"/>
      <c r="B1375" s="5"/>
      <c r="C1375" s="7">
        <v>32</v>
      </c>
      <c r="D1375" s="7">
        <v>33</v>
      </c>
      <c r="E1375" s="7">
        <v>34</v>
      </c>
      <c r="F1375" s="7">
        <v>35</v>
      </c>
      <c r="G1375" s="7">
        <v>36</v>
      </c>
      <c r="H1375" s="7">
        <v>37</v>
      </c>
      <c r="I1375" s="7">
        <v>38</v>
      </c>
      <c r="J1375" s="7">
        <v>39</v>
      </c>
      <c r="K1375" s="7">
        <v>40</v>
      </c>
      <c r="L1375" s="7">
        <v>41</v>
      </c>
      <c r="M1375" s="7">
        <v>42</v>
      </c>
      <c r="N1375" s="7">
        <v>43</v>
      </c>
      <c r="O1375" s="7">
        <v>44</v>
      </c>
      <c r="P1375" s="7">
        <v>45</v>
      </c>
      <c r="Q1375" s="7">
        <v>46</v>
      </c>
      <c r="R1375" s="7">
        <v>47</v>
      </c>
      <c r="S1375" s="7">
        <v>48</v>
      </c>
      <c r="T1375" s="7">
        <v>49</v>
      </c>
      <c r="U1375" s="7">
        <v>50</v>
      </c>
      <c r="V1375" s="7">
        <v>51</v>
      </c>
      <c r="W1375" s="7">
        <v>52</v>
      </c>
      <c r="X1375" s="7">
        <v>53</v>
      </c>
      <c r="Y1375" s="7">
        <v>54</v>
      </c>
      <c r="Z1375" s="7">
        <v>55</v>
      </c>
      <c r="AA1375" s="7">
        <v>56</v>
      </c>
      <c r="AB1375" s="7">
        <v>57</v>
      </c>
      <c r="AC1375" s="7">
        <v>58</v>
      </c>
      <c r="AD1375" s="7">
        <v>59</v>
      </c>
      <c r="AE1375" s="7">
        <v>60</v>
      </c>
      <c r="AF1375" s="7">
        <v>61</v>
      </c>
      <c r="AG1375" s="7">
        <v>62</v>
      </c>
      <c r="AH1375" s="7">
        <v>63</v>
      </c>
      <c r="AI1375" s="6"/>
    </row>
    <row r="1376" spans="1:35" ht="15.75" thickBot="1" x14ac:dyDescent="0.3">
      <c r="A1376" s="3"/>
      <c r="B1376" s="5"/>
      <c r="C1376" s="147" t="s">
        <v>13</v>
      </c>
      <c r="D1376" s="148" t="s">
        <v>14</v>
      </c>
      <c r="E1376" s="148" t="s">
        <v>15</v>
      </c>
      <c r="F1376" s="148" t="s">
        <v>16</v>
      </c>
      <c r="G1376" s="148" t="s">
        <v>17</v>
      </c>
      <c r="H1376" s="148" t="s">
        <v>18</v>
      </c>
      <c r="I1376" s="148" t="s">
        <v>19</v>
      </c>
      <c r="J1376" s="148" t="s">
        <v>20</v>
      </c>
      <c r="K1376" s="148" t="s">
        <v>21</v>
      </c>
      <c r="L1376" s="148" t="s">
        <v>22</v>
      </c>
      <c r="M1376" s="148" t="s">
        <v>23</v>
      </c>
      <c r="N1376" s="148" t="s">
        <v>24</v>
      </c>
      <c r="O1376" s="148" t="s">
        <v>25</v>
      </c>
      <c r="P1376" s="148" t="s">
        <v>26</v>
      </c>
      <c r="Q1376" s="148" t="s">
        <v>27</v>
      </c>
      <c r="R1376" s="342" t="s">
        <v>30</v>
      </c>
      <c r="S1376" s="343"/>
      <c r="T1376" s="343"/>
      <c r="U1376" s="343"/>
      <c r="V1376" s="343"/>
      <c r="W1376" s="343"/>
      <c r="X1376" s="343"/>
      <c r="Y1376" s="343"/>
      <c r="Z1376" s="343"/>
      <c r="AA1376" s="343"/>
      <c r="AB1376" s="343"/>
      <c r="AC1376" s="343"/>
      <c r="AD1376" s="343"/>
      <c r="AE1376" s="343"/>
      <c r="AF1376" s="344"/>
      <c r="AG1376" s="67" t="s">
        <v>28</v>
      </c>
      <c r="AH1376" s="149" t="s">
        <v>29</v>
      </c>
      <c r="AI1376" s="6"/>
    </row>
    <row r="1377" spans="1:35" ht="15.75" thickBot="1" x14ac:dyDescent="0.3">
      <c r="A1377" s="3"/>
      <c r="B1377" s="5"/>
      <c r="C1377" s="150">
        <v>0</v>
      </c>
      <c r="D1377" s="151">
        <v>0</v>
      </c>
      <c r="E1377" s="151">
        <v>0</v>
      </c>
      <c r="F1377" s="151">
        <v>0</v>
      </c>
      <c r="G1377" s="151">
        <v>0</v>
      </c>
      <c r="H1377" s="151">
        <v>0</v>
      </c>
      <c r="I1377" s="151">
        <v>0</v>
      </c>
      <c r="J1377" s="151">
        <v>0</v>
      </c>
      <c r="K1377" s="151">
        <v>0</v>
      </c>
      <c r="L1377" s="151">
        <v>0</v>
      </c>
      <c r="M1377" s="151">
        <v>0</v>
      </c>
      <c r="N1377" s="151">
        <v>0</v>
      </c>
      <c r="O1377" s="151">
        <v>1</v>
      </c>
      <c r="P1377" s="151">
        <v>0</v>
      </c>
      <c r="Q1377" s="151">
        <v>0</v>
      </c>
      <c r="R1377" s="151">
        <v>0</v>
      </c>
      <c r="S1377" s="151">
        <v>0</v>
      </c>
      <c r="T1377" s="151">
        <v>0</v>
      </c>
      <c r="U1377" s="151">
        <v>0</v>
      </c>
      <c r="V1377" s="151">
        <v>0</v>
      </c>
      <c r="W1377" s="151">
        <v>0</v>
      </c>
      <c r="X1377" s="151">
        <v>1</v>
      </c>
      <c r="Y1377" s="151">
        <v>1</v>
      </c>
      <c r="Z1377" s="151">
        <v>0</v>
      </c>
      <c r="AA1377" s="151">
        <v>1</v>
      </c>
      <c r="AB1377" s="151">
        <v>0</v>
      </c>
      <c r="AC1377" s="151">
        <v>0</v>
      </c>
      <c r="AD1377" s="151">
        <v>0</v>
      </c>
      <c r="AE1377" s="151">
        <v>0</v>
      </c>
      <c r="AF1377" s="151">
        <v>1</v>
      </c>
      <c r="AG1377" s="151">
        <v>0</v>
      </c>
      <c r="AH1377" s="152">
        <v>0</v>
      </c>
      <c r="AI1377" s="6"/>
    </row>
    <row r="1378" spans="1:35" x14ac:dyDescent="0.25">
      <c r="A1378" s="3"/>
      <c r="B1378" s="4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5"/>
      <c r="AI1378" s="6"/>
    </row>
    <row r="1379" spans="1:35" x14ac:dyDescent="0.25">
      <c r="A1379" s="3"/>
      <c r="B1379" s="8" t="s">
        <v>43</v>
      </c>
      <c r="C1379" s="9"/>
      <c r="D1379" s="9"/>
      <c r="E1379" s="9"/>
      <c r="F1379" s="44" t="s">
        <v>44</v>
      </c>
      <c r="G1379" s="44"/>
      <c r="H1379" s="44"/>
      <c r="I1379" s="9"/>
      <c r="J1379" s="45" t="s">
        <v>45</v>
      </c>
      <c r="K1379" s="45"/>
      <c r="L1379" s="45"/>
      <c r="M1379" s="45"/>
      <c r="N1379" s="9"/>
      <c r="O1379" s="46" t="s">
        <v>46</v>
      </c>
      <c r="P1379" s="46"/>
      <c r="Q1379" s="46"/>
      <c r="R1379" s="46"/>
      <c r="S1379" s="9"/>
      <c r="T1379" s="1" t="s">
        <v>49</v>
      </c>
      <c r="U1379" s="10" t="s">
        <v>48</v>
      </c>
      <c r="V1379" s="5"/>
      <c r="W1379" s="9"/>
      <c r="X1379" s="9"/>
      <c r="Y1379" s="9"/>
      <c r="Z1379" s="9"/>
      <c r="AA1379" s="9"/>
      <c r="AB1379" s="9"/>
      <c r="AC1379" s="9"/>
      <c r="AD1379" s="9"/>
      <c r="AE1379" s="9"/>
      <c r="AF1379" s="9"/>
      <c r="AG1379" s="9"/>
      <c r="AH1379" s="9"/>
      <c r="AI1379" s="6"/>
    </row>
    <row r="1380" spans="1:35" ht="15" customHeight="1" x14ac:dyDescent="0.25">
      <c r="A1380" s="3"/>
      <c r="B1380" s="42" t="str">
        <f>"0x"&amp;DEC2HEX(Sheet3!$I$4,8)</f>
        <v>0x00400320</v>
      </c>
      <c r="C1380" s="42"/>
      <c r="D1380" s="42"/>
      <c r="E1380" s="12"/>
      <c r="F1380" s="319" t="str">
        <f>"0x"&amp;BIN2HEX(CONCATENATE(C1373,D1373,E1373,F1373,G1373,H1373,I1373,J1373),2)&amp;BIN2HEX(CONCATENATE(K1373,L1373,M1373,N1373,O1373,P1373,Q1373,R1373),2)&amp;BIN2HEX(CONCATENATE(S1373,T1373,U1373,V1373,W1373,X1373,Y1373,Z1373),2)&amp;BIN2HEX(CONCATENATE(AA1373,AB1373,AC1373,AD1373,AE1373,AF1373,AG1373,AH1373),2)</f>
        <v>0x00000000</v>
      </c>
      <c r="G1380" s="319"/>
      <c r="H1380" s="319"/>
      <c r="I1380" s="12"/>
      <c r="J1380" s="319" t="str">
        <f>"0b"&amp;C1377&amp;D1377&amp;E1377&amp;F1377&amp;G1377&amp;H1377&amp;I1377&amp;J1377&amp;K1377&amp;L1377&amp;M1377&amp;N1377&amp;O1377&amp;P1377&amp;Q1377</f>
        <v>0b000000000000100</v>
      </c>
      <c r="K1380" s="319"/>
      <c r="L1380" s="319"/>
      <c r="M1380" s="319"/>
      <c r="N1380" s="12"/>
      <c r="O1380" s="319" t="str">
        <f>"0b"&amp;DEC2BIN(((AF1377+AE1377*2+AD1377*4+AC1377*8+AB1377*16+AA1377*32+Z1377*64+Y1377*128+X1377*256+W1377*512+V1377*1024+U1377*2048+T1377*4096+S1377*2^13+R1377*2^14)/512),6)&amp;DEC2BIN(MOD((AF1377+AE1377*2+AD1377*4+AC1377*8+AB1377*16+AA1377*32+Z1377*64+Y1377*128+X1377*256+W1377*512+V1377*1024+U1377*2048+T1377*4096+S1377*2^13+R1377*2^14),512),9)</f>
        <v>0b000000110100001</v>
      </c>
      <c r="P1380" s="319"/>
      <c r="Q1380" s="319"/>
      <c r="R1380" s="319"/>
      <c r="S1380" s="12"/>
      <c r="T1380" s="13">
        <v>0</v>
      </c>
      <c r="U1380" s="13">
        <f>AH1377</f>
        <v>0</v>
      </c>
      <c r="V1380" s="5"/>
      <c r="W1380" s="14"/>
      <c r="X1380" s="14"/>
      <c r="Y1380" s="14"/>
      <c r="Z1380" s="14"/>
      <c r="AA1380" s="14"/>
      <c r="AB1380" s="14"/>
      <c r="AC1380" s="14"/>
      <c r="AD1380" s="14"/>
      <c r="AE1380" s="14"/>
      <c r="AF1380" s="14"/>
      <c r="AG1380" s="14"/>
      <c r="AH1380" s="14"/>
      <c r="AI1380" s="6"/>
    </row>
    <row r="1381" spans="1:35" x14ac:dyDescent="0.25">
      <c r="A1381" s="3"/>
      <c r="B1381" s="42"/>
      <c r="C1381" s="42"/>
      <c r="D1381" s="42"/>
      <c r="E1381" s="15"/>
      <c r="F1381" s="43"/>
      <c r="G1381" s="43"/>
      <c r="H1381" s="43"/>
      <c r="I1381" s="15"/>
      <c r="J1381" s="42"/>
      <c r="K1381" s="42"/>
      <c r="L1381" s="42"/>
      <c r="M1381" s="42"/>
      <c r="N1381" s="15"/>
      <c r="O1381" s="42"/>
      <c r="P1381" s="42"/>
      <c r="Q1381" s="42"/>
      <c r="R1381" s="42"/>
      <c r="S1381" s="15"/>
      <c r="T1381" s="13"/>
      <c r="U1381" s="15"/>
      <c r="V1381" s="5"/>
      <c r="W1381" s="16"/>
      <c r="X1381" s="16"/>
      <c r="Y1381" s="16"/>
      <c r="Z1381" s="16"/>
      <c r="AA1381" s="16"/>
      <c r="AB1381" s="16"/>
      <c r="AC1381" s="16"/>
      <c r="AD1381" s="16"/>
      <c r="AE1381" s="16"/>
      <c r="AF1381" s="16"/>
      <c r="AG1381" s="16"/>
      <c r="AH1381" s="16"/>
      <c r="AI1381" s="6"/>
    </row>
    <row r="1382" spans="1:35" x14ac:dyDescent="0.25">
      <c r="A1382" s="3"/>
      <c r="B1382" s="42"/>
      <c r="C1382" s="42"/>
      <c r="D1382" s="42"/>
      <c r="E1382" s="15"/>
      <c r="F1382" s="43"/>
      <c r="G1382" s="43"/>
      <c r="H1382" s="43"/>
      <c r="I1382" s="15"/>
      <c r="J1382" s="42"/>
      <c r="K1382" s="42"/>
      <c r="L1382" s="42"/>
      <c r="M1382" s="42"/>
      <c r="N1382" s="15"/>
      <c r="O1382" s="42"/>
      <c r="P1382" s="42"/>
      <c r="Q1382" s="42"/>
      <c r="R1382" s="42"/>
      <c r="S1382" s="15"/>
      <c r="T1382" s="13"/>
      <c r="U1382" s="15"/>
      <c r="V1382" s="5"/>
      <c r="W1382" s="16"/>
      <c r="X1382" s="16"/>
      <c r="Y1382" s="16"/>
      <c r="Z1382" s="16"/>
      <c r="AA1382" s="16"/>
      <c r="AB1382" s="16"/>
      <c r="AC1382" s="16"/>
      <c r="AD1382" s="16"/>
      <c r="AE1382" s="16"/>
      <c r="AF1382" s="16"/>
      <c r="AG1382" s="16"/>
      <c r="AH1382" s="16"/>
      <c r="AI1382" s="6"/>
    </row>
    <row r="1383" spans="1:35" x14ac:dyDescent="0.25">
      <c r="A1383" s="3"/>
      <c r="B1383" s="5"/>
      <c r="C1383" s="5"/>
      <c r="D1383" s="5"/>
      <c r="E1383" s="5"/>
      <c r="F1383" s="17"/>
      <c r="G1383" s="17"/>
      <c r="H1383" s="17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5"/>
      <c r="AI1383" s="6"/>
    </row>
    <row r="1384" spans="1:35" x14ac:dyDescent="0.25">
      <c r="A1384" s="3"/>
      <c r="B1384" s="5" t="s">
        <v>47</v>
      </c>
      <c r="C1384" s="18"/>
      <c r="D1384" s="18"/>
      <c r="E1384" s="18"/>
      <c r="F1384" s="5"/>
      <c r="G1384" s="5"/>
      <c r="H1384" s="5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  <c r="AB1384" s="18"/>
      <c r="AC1384" s="18"/>
      <c r="AD1384" s="18"/>
      <c r="AE1384" s="18"/>
      <c r="AF1384" s="18"/>
      <c r="AG1384" s="18"/>
      <c r="AH1384" s="18"/>
      <c r="AI1384" s="6"/>
    </row>
    <row r="1385" spans="1:35" ht="15" customHeight="1" x14ac:dyDescent="0.25">
      <c r="A1385" s="3"/>
      <c r="B1385" s="42" t="str">
        <f>"0x"&amp;DEC2HEX(Sheet3!$I$4,8)</f>
        <v>0x00400320</v>
      </c>
      <c r="C1385" s="42"/>
      <c r="D1385" s="42"/>
      <c r="E1385" s="16"/>
      <c r="F1385" s="322" t="str">
        <f>F1380&amp;BIN2HEX(MID(J1380,3,8),2)&amp;BIN2HEX(RIGHT(J1380,7)&amp;MID(O1380,3,1),2)&amp;BIN2HEX(MID(O1380,4,8),2)&amp;BIN2HEX(RIGHT(O1380,6)&amp;T1380&amp;U1380,2)</f>
        <v>0x0000000000080684</v>
      </c>
      <c r="G1385" s="322"/>
      <c r="H1385" s="322"/>
      <c r="I1385" s="322"/>
      <c r="J1385" s="5"/>
      <c r="K1385" s="5"/>
      <c r="L1385" s="5"/>
      <c r="M1385" s="5"/>
      <c r="N1385" s="5"/>
      <c r="O1385" s="5"/>
      <c r="P1385" s="16"/>
      <c r="Q1385" s="16"/>
      <c r="R1385" s="19"/>
      <c r="S1385" s="19"/>
      <c r="T1385" s="19"/>
      <c r="U1385" s="19"/>
      <c r="V1385" s="19"/>
      <c r="W1385" s="19"/>
      <c r="X1385" s="19"/>
      <c r="Y1385" s="19"/>
      <c r="Z1385" s="19"/>
      <c r="AA1385" s="19"/>
      <c r="AB1385" s="19"/>
      <c r="AC1385" s="19"/>
      <c r="AD1385" s="19"/>
      <c r="AE1385" s="19"/>
      <c r="AF1385" s="19"/>
      <c r="AG1385" s="5"/>
      <c r="AH1385" s="5"/>
      <c r="AI1385" s="6"/>
    </row>
    <row r="1386" spans="1:35" x14ac:dyDescent="0.25">
      <c r="A1386" s="3"/>
      <c r="B1386" s="37"/>
      <c r="C1386" s="37"/>
      <c r="D1386" s="37"/>
      <c r="E1386" s="5"/>
      <c r="F1386" s="38"/>
      <c r="G1386" s="38"/>
      <c r="H1386" s="38"/>
      <c r="I1386" s="38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5"/>
      <c r="AI1386" s="6"/>
    </row>
    <row r="1387" spans="1:35" x14ac:dyDescent="0.25">
      <c r="A1387" s="3"/>
      <c r="B1387" s="37"/>
      <c r="C1387" s="37"/>
      <c r="D1387" s="37"/>
      <c r="E1387" s="5"/>
      <c r="F1387" s="38"/>
      <c r="G1387" s="38"/>
      <c r="H1387" s="38"/>
      <c r="I1387" s="38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5"/>
      <c r="AI1387" s="6"/>
    </row>
    <row r="1388" spans="1:35" x14ac:dyDescent="0.25">
      <c r="A1388" s="20"/>
      <c r="B1388" s="21"/>
      <c r="C1388" s="21"/>
      <c r="D1388" s="21"/>
      <c r="E1388" s="21"/>
      <c r="F1388" s="21"/>
      <c r="G1388" s="21"/>
      <c r="H1388" s="21"/>
      <c r="I1388" s="21"/>
      <c r="J1388" s="21"/>
      <c r="K1388" s="21"/>
      <c r="L1388" s="21"/>
      <c r="M1388" s="21"/>
      <c r="N1388" s="21"/>
      <c r="O1388" s="22"/>
      <c r="P1388" s="21"/>
      <c r="Q1388" s="21"/>
      <c r="R1388" s="21"/>
      <c r="S1388" s="21"/>
      <c r="T1388" s="21"/>
      <c r="U1388" s="21"/>
      <c r="V1388" s="21"/>
      <c r="W1388" s="21"/>
      <c r="X1388" s="21"/>
      <c r="Y1388" s="21"/>
      <c r="Z1388" s="21"/>
      <c r="AA1388" s="21"/>
      <c r="AB1388" s="21"/>
      <c r="AC1388" s="21"/>
      <c r="AD1388" s="21"/>
      <c r="AE1388" s="21"/>
      <c r="AF1388" s="21"/>
      <c r="AG1388" s="21"/>
      <c r="AH1388" s="21"/>
      <c r="AI1388" s="23"/>
    </row>
    <row r="1389" spans="1:35" x14ac:dyDescent="0.25">
      <c r="A1389" s="24"/>
      <c r="B1389" s="28"/>
      <c r="C1389" s="25"/>
      <c r="D1389" s="25"/>
      <c r="E1389" s="25"/>
      <c r="F1389" s="25"/>
      <c r="G1389" s="25"/>
      <c r="H1389" s="25"/>
      <c r="I1389" s="25"/>
      <c r="J1389" s="25"/>
      <c r="K1389" s="25"/>
      <c r="L1389" s="25"/>
      <c r="M1389" s="25"/>
      <c r="N1389" s="25"/>
      <c r="O1389" s="25"/>
      <c r="P1389" s="25"/>
      <c r="Q1389" s="25"/>
      <c r="R1389" s="25"/>
      <c r="S1389" s="25"/>
      <c r="T1389" s="25"/>
      <c r="U1389" s="25"/>
      <c r="V1389" s="25"/>
      <c r="W1389" s="25"/>
      <c r="X1389" s="25"/>
      <c r="Y1389" s="25"/>
      <c r="Z1389" s="25"/>
      <c r="AA1389" s="25"/>
      <c r="AB1389" s="25"/>
      <c r="AC1389" s="25"/>
      <c r="AD1389" s="25"/>
      <c r="AE1389" s="25"/>
      <c r="AF1389" s="25"/>
      <c r="AG1389" s="25"/>
      <c r="AH1389" s="25"/>
      <c r="AI1389" s="26"/>
    </row>
    <row r="1390" spans="1:35" x14ac:dyDescent="0.25">
      <c r="A1390" s="3"/>
      <c r="B1390" s="4" t="s">
        <v>195</v>
      </c>
      <c r="C1390" s="5"/>
      <c r="D1390" s="5"/>
      <c r="E1390" s="5"/>
      <c r="F1390" s="5"/>
      <c r="G1390" s="5"/>
      <c r="H1390" s="5"/>
      <c r="I1390" s="5" t="str">
        <f>"0x"&amp;BIN2HEX(CONCATENATE(C1395,D1395,E1395,F1395,G1395,H1395,I1395,J1395),2)&amp;BIN2HEX(CONCATENATE(K1395,L1395,M1395,N1395,O1395,P1395,Q1395,R1395),2)&amp;BIN2HEX(CONCATENATE(S1395,T1395,U1395,V1395,W1395,X1395,Y1395,Z1395),2)&amp;BIN2HEX(CONCATENATE(AA1395,AB1395,AC1395,AD1395,AE1395,AF1395,AG1395,AH1395),2)&amp;"_"&amp;BIN2HEX(CONCATENATE(C1399,D1399,E1399,F1399,G1399,H1399,I1399,J1399),2)&amp;BIN2HEX(CONCATENATE(K1399,L1399,M1399,N1399,O1399,P1399,Q1399,R1399),2)&amp;BIN2HEX(CONCATENATE(S1399,T1399,U1399,V1399,W1399,X1399,Y1399,Z1399),2)&amp;BIN2HEX(CONCATENATE(AA1399,AB1399,AC1399,AD1399,AE1399,AF1399,AG1399,AH1399),2)</f>
        <v>0x00000000_00080688</v>
      </c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5"/>
      <c r="AI1390" s="6"/>
    </row>
    <row r="1391" spans="1:35" ht="15.75" thickBot="1" x14ac:dyDescent="0.3">
      <c r="A1391" s="3"/>
      <c r="B1391" s="5"/>
      <c r="C1391" s="7">
        <v>0</v>
      </c>
      <c r="D1391" s="7">
        <v>1</v>
      </c>
      <c r="E1391" s="7">
        <v>2</v>
      </c>
      <c r="F1391" s="7">
        <v>3</v>
      </c>
      <c r="G1391" s="7">
        <v>4</v>
      </c>
      <c r="H1391" s="7">
        <v>5</v>
      </c>
      <c r="I1391" s="7">
        <v>6</v>
      </c>
      <c r="J1391" s="7">
        <v>7</v>
      </c>
      <c r="K1391" s="7">
        <v>8</v>
      </c>
      <c r="L1391" s="7">
        <v>9</v>
      </c>
      <c r="M1391" s="7">
        <v>10</v>
      </c>
      <c r="N1391" s="7">
        <v>11</v>
      </c>
      <c r="O1391" s="7">
        <v>12</v>
      </c>
      <c r="P1391" s="7">
        <v>13</v>
      </c>
      <c r="Q1391" s="7">
        <v>14</v>
      </c>
      <c r="R1391" s="7">
        <v>15</v>
      </c>
      <c r="S1391" s="7">
        <v>16</v>
      </c>
      <c r="T1391" s="7">
        <v>17</v>
      </c>
      <c r="U1391" s="7">
        <v>18</v>
      </c>
      <c r="V1391" s="7">
        <v>19</v>
      </c>
      <c r="W1391" s="7">
        <v>20</v>
      </c>
      <c r="X1391" s="7">
        <v>21</v>
      </c>
      <c r="Y1391" s="7">
        <v>22</v>
      </c>
      <c r="Z1391" s="7">
        <v>23</v>
      </c>
      <c r="AA1391" s="7">
        <v>24</v>
      </c>
      <c r="AB1391" s="7">
        <v>25</v>
      </c>
      <c r="AC1391" s="7">
        <v>26</v>
      </c>
      <c r="AD1391" s="7">
        <v>27</v>
      </c>
      <c r="AE1391" s="7">
        <v>28</v>
      </c>
      <c r="AF1391" s="7">
        <v>29</v>
      </c>
      <c r="AG1391" s="7">
        <v>30</v>
      </c>
      <c r="AH1391" s="7">
        <v>31</v>
      </c>
      <c r="AI1391" s="6"/>
    </row>
    <row r="1392" spans="1:35" x14ac:dyDescent="0.25">
      <c r="A1392" s="3"/>
      <c r="B1392" s="5" t="s">
        <v>31</v>
      </c>
      <c r="C1392" s="328" t="s">
        <v>161</v>
      </c>
      <c r="D1392" s="330" t="s">
        <v>63</v>
      </c>
      <c r="E1392" s="331"/>
      <c r="F1392" s="331"/>
      <c r="G1392" s="331"/>
      <c r="H1392" s="331"/>
      <c r="I1392" s="331"/>
      <c r="J1392" s="332"/>
      <c r="K1392" s="336">
        <v>0</v>
      </c>
      <c r="L1392" s="337"/>
      <c r="M1392" s="337"/>
      <c r="N1392" s="337"/>
      <c r="O1392" s="337"/>
      <c r="P1392" s="337"/>
      <c r="Q1392" s="337"/>
      <c r="R1392" s="337"/>
      <c r="S1392" s="337"/>
      <c r="T1392" s="337"/>
      <c r="U1392" s="337"/>
      <c r="V1392" s="337"/>
      <c r="W1392" s="337"/>
      <c r="X1392" s="337"/>
      <c r="Y1392" s="337"/>
      <c r="Z1392" s="337"/>
      <c r="AA1392" s="337"/>
      <c r="AB1392" s="337"/>
      <c r="AC1392" s="337"/>
      <c r="AD1392" s="337"/>
      <c r="AE1392" s="337"/>
      <c r="AF1392" s="337"/>
      <c r="AG1392" s="337"/>
      <c r="AH1392" s="338"/>
      <c r="AI1392" s="6"/>
    </row>
    <row r="1393" spans="1:35" x14ac:dyDescent="0.25">
      <c r="A1393" s="3"/>
      <c r="B1393" s="5" t="s">
        <v>32</v>
      </c>
      <c r="C1393" s="329"/>
      <c r="D1393" s="333"/>
      <c r="E1393" s="334"/>
      <c r="F1393" s="334"/>
      <c r="G1393" s="334"/>
      <c r="H1393" s="334"/>
      <c r="I1393" s="334"/>
      <c r="J1393" s="335"/>
      <c r="K1393" s="339"/>
      <c r="L1393" s="340"/>
      <c r="M1393" s="340"/>
      <c r="N1393" s="340"/>
      <c r="O1393" s="340"/>
      <c r="P1393" s="340"/>
      <c r="Q1393" s="340"/>
      <c r="R1393" s="340"/>
      <c r="S1393" s="340"/>
      <c r="T1393" s="340"/>
      <c r="U1393" s="340"/>
      <c r="V1393" s="340"/>
      <c r="W1393" s="340"/>
      <c r="X1393" s="340"/>
      <c r="Y1393" s="340"/>
      <c r="Z1393" s="340"/>
      <c r="AA1393" s="340"/>
      <c r="AB1393" s="340"/>
      <c r="AC1393" s="340"/>
      <c r="AD1393" s="340"/>
      <c r="AE1393" s="340"/>
      <c r="AF1393" s="340"/>
      <c r="AG1393" s="340"/>
      <c r="AH1393" s="341"/>
      <c r="AI1393" s="6"/>
    </row>
    <row r="1394" spans="1:35" x14ac:dyDescent="0.25">
      <c r="A1394" s="3"/>
      <c r="B1394" s="5" t="s">
        <v>11</v>
      </c>
      <c r="C1394" s="56">
        <v>0</v>
      </c>
      <c r="D1394" s="57">
        <v>0</v>
      </c>
      <c r="E1394" s="57">
        <v>0</v>
      </c>
      <c r="F1394" s="57">
        <v>0</v>
      </c>
      <c r="G1394" s="57">
        <v>0</v>
      </c>
      <c r="H1394" s="57">
        <v>0</v>
      </c>
      <c r="I1394" s="57">
        <v>0</v>
      </c>
      <c r="J1394" s="57">
        <v>0</v>
      </c>
      <c r="K1394" s="57">
        <v>0</v>
      </c>
      <c r="L1394" s="57">
        <v>0</v>
      </c>
      <c r="M1394" s="57">
        <v>0</v>
      </c>
      <c r="N1394" s="57">
        <v>0</v>
      </c>
      <c r="O1394" s="57">
        <v>0</v>
      </c>
      <c r="P1394" s="57">
        <v>0</v>
      </c>
      <c r="Q1394" s="57">
        <v>0</v>
      </c>
      <c r="R1394" s="57">
        <v>0</v>
      </c>
      <c r="S1394" s="57">
        <v>0</v>
      </c>
      <c r="T1394" s="57">
        <v>0</v>
      </c>
      <c r="U1394" s="57">
        <v>0</v>
      </c>
      <c r="V1394" s="57">
        <v>0</v>
      </c>
      <c r="W1394" s="57">
        <v>0</v>
      </c>
      <c r="X1394" s="57">
        <v>0</v>
      </c>
      <c r="Y1394" s="57">
        <v>0</v>
      </c>
      <c r="Z1394" s="57">
        <v>0</v>
      </c>
      <c r="AA1394" s="57">
        <v>0</v>
      </c>
      <c r="AB1394" s="57">
        <v>0</v>
      </c>
      <c r="AC1394" s="57">
        <v>0</v>
      </c>
      <c r="AD1394" s="57">
        <v>0</v>
      </c>
      <c r="AE1394" s="57">
        <v>0</v>
      </c>
      <c r="AF1394" s="57">
        <v>0</v>
      </c>
      <c r="AG1394" s="57">
        <v>0</v>
      </c>
      <c r="AH1394" s="58">
        <v>0</v>
      </c>
      <c r="AI1394" s="6"/>
    </row>
    <row r="1395" spans="1:35" ht="15.75" thickBot="1" x14ac:dyDescent="0.3">
      <c r="A1395" s="3"/>
      <c r="B1395" s="5" t="s">
        <v>12</v>
      </c>
      <c r="C1395" s="145">
        <v>0</v>
      </c>
      <c r="D1395" s="88">
        <v>0</v>
      </c>
      <c r="E1395" s="88">
        <v>0</v>
      </c>
      <c r="F1395" s="88">
        <v>0</v>
      </c>
      <c r="G1395" s="88">
        <v>0</v>
      </c>
      <c r="H1395" s="88">
        <v>0</v>
      </c>
      <c r="I1395" s="88">
        <v>0</v>
      </c>
      <c r="J1395" s="88">
        <v>0</v>
      </c>
      <c r="K1395" s="62">
        <v>0</v>
      </c>
      <c r="L1395" s="62">
        <v>0</v>
      </c>
      <c r="M1395" s="62">
        <v>0</v>
      </c>
      <c r="N1395" s="62">
        <v>0</v>
      </c>
      <c r="O1395" s="62">
        <v>0</v>
      </c>
      <c r="P1395" s="62">
        <v>0</v>
      </c>
      <c r="Q1395" s="62">
        <v>0</v>
      </c>
      <c r="R1395" s="62">
        <v>0</v>
      </c>
      <c r="S1395" s="62">
        <v>0</v>
      </c>
      <c r="T1395" s="62">
        <v>0</v>
      </c>
      <c r="U1395" s="62">
        <v>0</v>
      </c>
      <c r="V1395" s="62">
        <v>0</v>
      </c>
      <c r="W1395" s="62">
        <v>0</v>
      </c>
      <c r="X1395" s="62">
        <v>0</v>
      </c>
      <c r="Y1395" s="62">
        <v>0</v>
      </c>
      <c r="Z1395" s="62">
        <v>0</v>
      </c>
      <c r="AA1395" s="62">
        <v>0</v>
      </c>
      <c r="AB1395" s="62">
        <v>0</v>
      </c>
      <c r="AC1395" s="62">
        <v>0</v>
      </c>
      <c r="AD1395" s="62">
        <v>0</v>
      </c>
      <c r="AE1395" s="62">
        <v>0</v>
      </c>
      <c r="AF1395" s="62">
        <v>0</v>
      </c>
      <c r="AG1395" s="62">
        <v>0</v>
      </c>
      <c r="AH1395" s="146">
        <v>0</v>
      </c>
      <c r="AI1395" s="6"/>
    </row>
    <row r="1396" spans="1:35" x14ac:dyDescent="0.25">
      <c r="A1396" s="3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6"/>
    </row>
    <row r="1397" spans="1:35" ht="15.75" thickBot="1" x14ac:dyDescent="0.3">
      <c r="A1397" s="3"/>
      <c r="B1397" s="5"/>
      <c r="C1397" s="7">
        <v>32</v>
      </c>
      <c r="D1397" s="7">
        <v>33</v>
      </c>
      <c r="E1397" s="7">
        <v>34</v>
      </c>
      <c r="F1397" s="7">
        <v>35</v>
      </c>
      <c r="G1397" s="7">
        <v>36</v>
      </c>
      <c r="H1397" s="7">
        <v>37</v>
      </c>
      <c r="I1397" s="7">
        <v>38</v>
      </c>
      <c r="J1397" s="7">
        <v>39</v>
      </c>
      <c r="K1397" s="7">
        <v>40</v>
      </c>
      <c r="L1397" s="7">
        <v>41</v>
      </c>
      <c r="M1397" s="7">
        <v>42</v>
      </c>
      <c r="N1397" s="7">
        <v>43</v>
      </c>
      <c r="O1397" s="7">
        <v>44</v>
      </c>
      <c r="P1397" s="7">
        <v>45</v>
      </c>
      <c r="Q1397" s="7">
        <v>46</v>
      </c>
      <c r="R1397" s="7">
        <v>47</v>
      </c>
      <c r="S1397" s="7">
        <v>48</v>
      </c>
      <c r="T1397" s="7">
        <v>49</v>
      </c>
      <c r="U1397" s="7">
        <v>50</v>
      </c>
      <c r="V1397" s="7">
        <v>51</v>
      </c>
      <c r="W1397" s="7">
        <v>52</v>
      </c>
      <c r="X1397" s="7">
        <v>53</v>
      </c>
      <c r="Y1397" s="7">
        <v>54</v>
      </c>
      <c r="Z1397" s="7">
        <v>55</v>
      </c>
      <c r="AA1397" s="7">
        <v>56</v>
      </c>
      <c r="AB1397" s="7">
        <v>57</v>
      </c>
      <c r="AC1397" s="7">
        <v>58</v>
      </c>
      <c r="AD1397" s="7">
        <v>59</v>
      </c>
      <c r="AE1397" s="7">
        <v>60</v>
      </c>
      <c r="AF1397" s="7">
        <v>61</v>
      </c>
      <c r="AG1397" s="7">
        <v>62</v>
      </c>
      <c r="AH1397" s="7">
        <v>63</v>
      </c>
      <c r="AI1397" s="6"/>
    </row>
    <row r="1398" spans="1:35" ht="15.75" thickBot="1" x14ac:dyDescent="0.3">
      <c r="A1398" s="3"/>
      <c r="B1398" s="5"/>
      <c r="C1398" s="147" t="s">
        <v>13</v>
      </c>
      <c r="D1398" s="148" t="s">
        <v>14</v>
      </c>
      <c r="E1398" s="148" t="s">
        <v>15</v>
      </c>
      <c r="F1398" s="148" t="s">
        <v>16</v>
      </c>
      <c r="G1398" s="148" t="s">
        <v>17</v>
      </c>
      <c r="H1398" s="148" t="s">
        <v>18</v>
      </c>
      <c r="I1398" s="148" t="s">
        <v>19</v>
      </c>
      <c r="J1398" s="148" t="s">
        <v>20</v>
      </c>
      <c r="K1398" s="148" t="s">
        <v>21</v>
      </c>
      <c r="L1398" s="148" t="s">
        <v>22</v>
      </c>
      <c r="M1398" s="148" t="s">
        <v>23</v>
      </c>
      <c r="N1398" s="148" t="s">
        <v>24</v>
      </c>
      <c r="O1398" s="148" t="s">
        <v>25</v>
      </c>
      <c r="P1398" s="148" t="s">
        <v>26</v>
      </c>
      <c r="Q1398" s="148" t="s">
        <v>27</v>
      </c>
      <c r="R1398" s="342" t="s">
        <v>30</v>
      </c>
      <c r="S1398" s="343"/>
      <c r="T1398" s="343"/>
      <c r="U1398" s="343"/>
      <c r="V1398" s="343"/>
      <c r="W1398" s="343"/>
      <c r="X1398" s="343"/>
      <c r="Y1398" s="343"/>
      <c r="Z1398" s="343"/>
      <c r="AA1398" s="343"/>
      <c r="AB1398" s="343"/>
      <c r="AC1398" s="343"/>
      <c r="AD1398" s="343"/>
      <c r="AE1398" s="343"/>
      <c r="AF1398" s="344"/>
      <c r="AG1398" s="67" t="s">
        <v>28</v>
      </c>
      <c r="AH1398" s="149" t="s">
        <v>29</v>
      </c>
      <c r="AI1398" s="6"/>
    </row>
    <row r="1399" spans="1:35" ht="15.75" thickBot="1" x14ac:dyDescent="0.3">
      <c r="A1399" s="3"/>
      <c r="B1399" s="5"/>
      <c r="C1399" s="150">
        <v>0</v>
      </c>
      <c r="D1399" s="151">
        <v>0</v>
      </c>
      <c r="E1399" s="151">
        <v>0</v>
      </c>
      <c r="F1399" s="151">
        <v>0</v>
      </c>
      <c r="G1399" s="151">
        <v>0</v>
      </c>
      <c r="H1399" s="151">
        <v>0</v>
      </c>
      <c r="I1399" s="151">
        <v>0</v>
      </c>
      <c r="J1399" s="151">
        <v>0</v>
      </c>
      <c r="K1399" s="151">
        <v>0</v>
      </c>
      <c r="L1399" s="151">
        <v>0</v>
      </c>
      <c r="M1399" s="151">
        <v>0</v>
      </c>
      <c r="N1399" s="151">
        <v>0</v>
      </c>
      <c r="O1399" s="151">
        <v>1</v>
      </c>
      <c r="P1399" s="151">
        <v>0</v>
      </c>
      <c r="Q1399" s="151">
        <v>0</v>
      </c>
      <c r="R1399" s="151">
        <v>0</v>
      </c>
      <c r="S1399" s="151">
        <v>0</v>
      </c>
      <c r="T1399" s="151">
        <v>0</v>
      </c>
      <c r="U1399" s="151">
        <v>0</v>
      </c>
      <c r="V1399" s="151">
        <v>0</v>
      </c>
      <c r="W1399" s="151">
        <v>0</v>
      </c>
      <c r="X1399" s="151">
        <v>1</v>
      </c>
      <c r="Y1399" s="151">
        <v>1</v>
      </c>
      <c r="Z1399" s="151">
        <v>0</v>
      </c>
      <c r="AA1399" s="151">
        <v>1</v>
      </c>
      <c r="AB1399" s="151">
        <v>0</v>
      </c>
      <c r="AC1399" s="151">
        <v>0</v>
      </c>
      <c r="AD1399" s="151">
        <v>0</v>
      </c>
      <c r="AE1399" s="151">
        <v>1</v>
      </c>
      <c r="AF1399" s="151">
        <v>0</v>
      </c>
      <c r="AG1399" s="151">
        <v>0</v>
      </c>
      <c r="AH1399" s="152">
        <v>0</v>
      </c>
      <c r="AI1399" s="6"/>
    </row>
    <row r="1400" spans="1:35" x14ac:dyDescent="0.25">
      <c r="A1400" s="3"/>
      <c r="B1400" s="4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6"/>
    </row>
    <row r="1401" spans="1:35" x14ac:dyDescent="0.25">
      <c r="A1401" s="3"/>
      <c r="B1401" s="8" t="s">
        <v>43</v>
      </c>
      <c r="C1401" s="9"/>
      <c r="D1401" s="9"/>
      <c r="E1401" s="9"/>
      <c r="F1401" s="44" t="s">
        <v>44</v>
      </c>
      <c r="G1401" s="44"/>
      <c r="H1401" s="44"/>
      <c r="I1401" s="9"/>
      <c r="J1401" s="45" t="s">
        <v>45</v>
      </c>
      <c r="K1401" s="45"/>
      <c r="L1401" s="45"/>
      <c r="M1401" s="45"/>
      <c r="N1401" s="9"/>
      <c r="O1401" s="46" t="s">
        <v>46</v>
      </c>
      <c r="P1401" s="46"/>
      <c r="Q1401" s="46"/>
      <c r="R1401" s="46"/>
      <c r="S1401" s="9"/>
      <c r="T1401" s="1" t="s">
        <v>49</v>
      </c>
      <c r="U1401" s="10" t="s">
        <v>48</v>
      </c>
      <c r="V1401" s="5"/>
      <c r="W1401" s="9"/>
      <c r="X1401" s="9"/>
      <c r="Y1401" s="9"/>
      <c r="Z1401" s="9"/>
      <c r="AA1401" s="9"/>
      <c r="AB1401" s="9"/>
      <c r="AC1401" s="9"/>
      <c r="AD1401" s="9"/>
      <c r="AE1401" s="9"/>
      <c r="AF1401" s="9"/>
      <c r="AG1401" s="9"/>
      <c r="AH1401" s="9"/>
      <c r="AI1401" s="6"/>
    </row>
    <row r="1402" spans="1:35" ht="15" customHeight="1" x14ac:dyDescent="0.25">
      <c r="A1402" s="3"/>
      <c r="B1402" s="42" t="str">
        <f>"0x"&amp;DEC2HEX(Sheet3!$I$4,8)</f>
        <v>0x00400320</v>
      </c>
      <c r="C1402" s="42"/>
      <c r="D1402" s="42"/>
      <c r="E1402" s="12"/>
      <c r="F1402" s="319" t="str">
        <f>"0x"&amp;BIN2HEX(CONCATENATE(C1395,D1395,E1395,F1395,G1395,H1395,I1395,J1395),2)&amp;BIN2HEX(CONCATENATE(K1395,L1395,M1395,N1395,O1395,P1395,Q1395,R1395),2)&amp;BIN2HEX(CONCATENATE(S1395,T1395,U1395,V1395,W1395,X1395,Y1395,Z1395),2)&amp;BIN2HEX(CONCATENATE(AA1395,AB1395,AC1395,AD1395,AE1395,AF1395,AG1395,AH1395),2)</f>
        <v>0x00000000</v>
      </c>
      <c r="G1402" s="319"/>
      <c r="H1402" s="319"/>
      <c r="I1402" s="12"/>
      <c r="J1402" s="319" t="str">
        <f>"0b"&amp;C1399&amp;D1399&amp;E1399&amp;F1399&amp;G1399&amp;H1399&amp;I1399&amp;J1399&amp;K1399&amp;L1399&amp;M1399&amp;N1399&amp;O1399&amp;P1399&amp;Q1399</f>
        <v>0b000000000000100</v>
      </c>
      <c r="K1402" s="319"/>
      <c r="L1402" s="319"/>
      <c r="M1402" s="319"/>
      <c r="N1402" s="12"/>
      <c r="O1402" s="319" t="str">
        <f>"0b"&amp;DEC2BIN(((AF1399+AE1399*2+AD1399*4+AC1399*8+AB1399*16+AA1399*32+Z1399*64+Y1399*128+X1399*256+W1399*512+V1399*1024+U1399*2048+T1399*4096+S1399*2^13+R1399*2^14)/512),6)&amp;DEC2BIN(MOD((AF1399+AE1399*2+AD1399*4+AC1399*8+AB1399*16+AA1399*32+Z1399*64+Y1399*128+X1399*256+W1399*512+V1399*1024+U1399*2048+T1399*4096+S1399*2^13+R1399*2^14),512),9)</f>
        <v>0b000000110100010</v>
      </c>
      <c r="P1402" s="319"/>
      <c r="Q1402" s="319"/>
      <c r="R1402" s="319"/>
      <c r="S1402" s="12"/>
      <c r="T1402" s="13">
        <v>0</v>
      </c>
      <c r="U1402" s="13">
        <f>AH1399</f>
        <v>0</v>
      </c>
      <c r="V1402" s="5"/>
      <c r="W1402" s="14"/>
      <c r="X1402" s="14"/>
      <c r="Y1402" s="14"/>
      <c r="Z1402" s="14"/>
      <c r="AA1402" s="14"/>
      <c r="AB1402" s="14"/>
      <c r="AC1402" s="14"/>
      <c r="AD1402" s="14"/>
      <c r="AE1402" s="14"/>
      <c r="AF1402" s="14"/>
      <c r="AG1402" s="14"/>
      <c r="AH1402" s="14"/>
      <c r="AI1402" s="6"/>
    </row>
    <row r="1403" spans="1:35" x14ac:dyDescent="0.25">
      <c r="A1403" s="3"/>
      <c r="B1403" s="42"/>
      <c r="C1403" s="42"/>
      <c r="D1403" s="42"/>
      <c r="E1403" s="15"/>
      <c r="F1403" s="43"/>
      <c r="G1403" s="43"/>
      <c r="H1403" s="43"/>
      <c r="I1403" s="15"/>
      <c r="J1403" s="42"/>
      <c r="K1403" s="42"/>
      <c r="L1403" s="42"/>
      <c r="M1403" s="42"/>
      <c r="N1403" s="15"/>
      <c r="O1403" s="42"/>
      <c r="P1403" s="42"/>
      <c r="Q1403" s="42"/>
      <c r="R1403" s="42"/>
      <c r="S1403" s="15"/>
      <c r="T1403" s="13"/>
      <c r="U1403" s="15"/>
      <c r="V1403" s="5"/>
      <c r="W1403" s="16"/>
      <c r="X1403" s="16"/>
      <c r="Y1403" s="16"/>
      <c r="Z1403" s="16"/>
      <c r="AA1403" s="16"/>
      <c r="AB1403" s="16"/>
      <c r="AC1403" s="16"/>
      <c r="AD1403" s="16"/>
      <c r="AE1403" s="16"/>
      <c r="AF1403" s="16"/>
      <c r="AG1403" s="16"/>
      <c r="AH1403" s="16"/>
      <c r="AI1403" s="6"/>
    </row>
    <row r="1404" spans="1:35" x14ac:dyDescent="0.25">
      <c r="A1404" s="3"/>
      <c r="B1404" s="42"/>
      <c r="C1404" s="42"/>
      <c r="D1404" s="42"/>
      <c r="E1404" s="15"/>
      <c r="F1404" s="43"/>
      <c r="G1404" s="43"/>
      <c r="H1404" s="43"/>
      <c r="I1404" s="15"/>
      <c r="J1404" s="42"/>
      <c r="K1404" s="42"/>
      <c r="L1404" s="42"/>
      <c r="M1404" s="42"/>
      <c r="N1404" s="15"/>
      <c r="O1404" s="42"/>
      <c r="P1404" s="42"/>
      <c r="Q1404" s="42"/>
      <c r="R1404" s="42"/>
      <c r="S1404" s="15"/>
      <c r="T1404" s="13"/>
      <c r="U1404" s="15"/>
      <c r="V1404" s="5"/>
      <c r="W1404" s="16"/>
      <c r="X1404" s="16"/>
      <c r="Y1404" s="16"/>
      <c r="Z1404" s="16"/>
      <c r="AA1404" s="16"/>
      <c r="AB1404" s="16"/>
      <c r="AC1404" s="16"/>
      <c r="AD1404" s="16"/>
      <c r="AE1404" s="16"/>
      <c r="AF1404" s="16"/>
      <c r="AG1404" s="16"/>
      <c r="AH1404" s="16"/>
      <c r="AI1404" s="6"/>
    </row>
    <row r="1405" spans="1:35" x14ac:dyDescent="0.25">
      <c r="A1405" s="3"/>
      <c r="B1405" s="5"/>
      <c r="C1405" s="5"/>
      <c r="D1405" s="5"/>
      <c r="E1405" s="5"/>
      <c r="F1405" s="17"/>
      <c r="G1405" s="17"/>
      <c r="H1405" s="17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6"/>
    </row>
    <row r="1406" spans="1:35" x14ac:dyDescent="0.25">
      <c r="A1406" s="3"/>
      <c r="B1406" s="5" t="s">
        <v>47</v>
      </c>
      <c r="C1406" s="18"/>
      <c r="D1406" s="18"/>
      <c r="E1406" s="18"/>
      <c r="F1406" s="5"/>
      <c r="G1406" s="5"/>
      <c r="H1406" s="5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  <c r="AB1406" s="18"/>
      <c r="AC1406" s="18"/>
      <c r="AD1406" s="18"/>
      <c r="AE1406" s="18"/>
      <c r="AF1406" s="18"/>
      <c r="AG1406" s="18"/>
      <c r="AH1406" s="18"/>
      <c r="AI1406" s="6"/>
    </row>
    <row r="1407" spans="1:35" ht="15" customHeight="1" x14ac:dyDescent="0.25">
      <c r="A1407" s="3"/>
      <c r="B1407" s="42" t="str">
        <f>"0x"&amp;DEC2HEX(Sheet3!$I$4,8)</f>
        <v>0x00400320</v>
      </c>
      <c r="C1407" s="42"/>
      <c r="D1407" s="42"/>
      <c r="E1407" s="16"/>
      <c r="F1407" s="322" t="str">
        <f>F1402&amp;BIN2HEX(MID(J1402,3,8),2)&amp;BIN2HEX(RIGHT(J1402,7)&amp;MID(O1402,3,1),2)&amp;BIN2HEX(MID(O1402,4,8),2)&amp;BIN2HEX(RIGHT(O1402,6)&amp;T1402&amp;U1402,2)</f>
        <v>0x0000000000080688</v>
      </c>
      <c r="G1407" s="322"/>
      <c r="H1407" s="322"/>
      <c r="I1407" s="322"/>
      <c r="J1407" s="5"/>
      <c r="K1407" s="5"/>
      <c r="L1407" s="5"/>
      <c r="M1407" s="5"/>
      <c r="N1407" s="5"/>
      <c r="O1407" s="5"/>
      <c r="P1407" s="16"/>
      <c r="Q1407" s="16"/>
      <c r="R1407" s="19"/>
      <c r="S1407" s="19"/>
      <c r="T1407" s="19"/>
      <c r="U1407" s="19"/>
      <c r="V1407" s="19"/>
      <c r="W1407" s="19"/>
      <c r="X1407" s="19"/>
      <c r="Y1407" s="19"/>
      <c r="Z1407" s="19"/>
      <c r="AA1407" s="19"/>
      <c r="AB1407" s="19"/>
      <c r="AC1407" s="19"/>
      <c r="AD1407" s="19"/>
      <c r="AE1407" s="19"/>
      <c r="AF1407" s="19"/>
      <c r="AG1407" s="5"/>
      <c r="AH1407" s="5"/>
      <c r="AI1407" s="6"/>
    </row>
    <row r="1408" spans="1:35" x14ac:dyDescent="0.25">
      <c r="A1408" s="3"/>
      <c r="B1408" s="37"/>
      <c r="C1408" s="37"/>
      <c r="D1408" s="37"/>
      <c r="E1408" s="5"/>
      <c r="F1408" s="38"/>
      <c r="G1408" s="38"/>
      <c r="H1408" s="38"/>
      <c r="I1408" s="38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5"/>
      <c r="AI1408" s="6"/>
    </row>
    <row r="1409" spans="1:35" x14ac:dyDescent="0.25">
      <c r="A1409" s="3"/>
      <c r="B1409" s="37"/>
      <c r="C1409" s="37"/>
      <c r="D1409" s="37"/>
      <c r="E1409" s="5"/>
      <c r="F1409" s="38"/>
      <c r="G1409" s="38"/>
      <c r="H1409" s="38"/>
      <c r="I1409" s="38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5"/>
      <c r="AI1409" s="6"/>
    </row>
    <row r="1410" spans="1:35" x14ac:dyDescent="0.25">
      <c r="A1410" s="20"/>
      <c r="B1410" s="21"/>
      <c r="C1410" s="21"/>
      <c r="D1410" s="21"/>
      <c r="E1410" s="21"/>
      <c r="F1410" s="21"/>
      <c r="G1410" s="21"/>
      <c r="H1410" s="21"/>
      <c r="I1410" s="21"/>
      <c r="J1410" s="21"/>
      <c r="K1410" s="21"/>
      <c r="L1410" s="21"/>
      <c r="M1410" s="21"/>
      <c r="N1410" s="21"/>
      <c r="O1410" s="22"/>
      <c r="P1410" s="21"/>
      <c r="Q1410" s="21"/>
      <c r="R1410" s="21"/>
      <c r="S1410" s="21"/>
      <c r="T1410" s="21"/>
      <c r="U1410" s="21"/>
      <c r="V1410" s="21"/>
      <c r="W1410" s="21"/>
      <c r="X1410" s="21"/>
      <c r="Y1410" s="21"/>
      <c r="Z1410" s="21"/>
      <c r="AA1410" s="21"/>
      <c r="AB1410" s="21"/>
      <c r="AC1410" s="21"/>
      <c r="AD1410" s="21"/>
      <c r="AE1410" s="21"/>
      <c r="AF1410" s="21"/>
      <c r="AG1410" s="21"/>
      <c r="AH1410" s="21"/>
      <c r="AI1410" s="23"/>
    </row>
    <row r="1411" spans="1:35" x14ac:dyDescent="0.25">
      <c r="A1411" s="24"/>
      <c r="B1411" s="28"/>
      <c r="C1411" s="25"/>
      <c r="D1411" s="25"/>
      <c r="E1411" s="25"/>
      <c r="F1411" s="25"/>
      <c r="G1411" s="25"/>
      <c r="H1411" s="25"/>
      <c r="I1411" s="25"/>
      <c r="J1411" s="25"/>
      <c r="K1411" s="25"/>
      <c r="L1411" s="25"/>
      <c r="M1411" s="25"/>
      <c r="N1411" s="25"/>
      <c r="O1411" s="25"/>
      <c r="P1411" s="25"/>
      <c r="Q1411" s="25"/>
      <c r="R1411" s="25"/>
      <c r="S1411" s="25"/>
      <c r="T1411" s="25"/>
      <c r="U1411" s="25"/>
      <c r="V1411" s="25"/>
      <c r="W1411" s="25"/>
      <c r="X1411" s="25"/>
      <c r="Y1411" s="25"/>
      <c r="Z1411" s="25"/>
      <c r="AA1411" s="25"/>
      <c r="AB1411" s="25"/>
      <c r="AC1411" s="25"/>
      <c r="AD1411" s="25"/>
      <c r="AE1411" s="25"/>
      <c r="AF1411" s="25"/>
      <c r="AG1411" s="25"/>
      <c r="AH1411" s="25"/>
      <c r="AI1411" s="26"/>
    </row>
    <row r="1412" spans="1:35" x14ac:dyDescent="0.25">
      <c r="A1412" s="3"/>
      <c r="B1412" s="4" t="s">
        <v>196</v>
      </c>
      <c r="C1412" s="5"/>
      <c r="D1412" s="5"/>
      <c r="E1412" s="5"/>
      <c r="F1412" s="5"/>
      <c r="G1412" s="5"/>
      <c r="H1412" s="5"/>
      <c r="I1412" s="5" t="str">
        <f>"0x"&amp;BIN2HEX(CONCATENATE(C1417,D1417,E1417,F1417,G1417,H1417,I1417,J1417),2)&amp;BIN2HEX(CONCATENATE(K1417,L1417,M1417,N1417,O1417,P1417,Q1417,R1417),2)&amp;BIN2HEX(CONCATENATE(S1417,T1417,U1417,V1417,W1417,X1417,Y1417,Z1417),2)&amp;BIN2HEX(CONCATENATE(AA1417,AB1417,AC1417,AD1417,AE1417,AF1417,AG1417,AH1417),2)&amp;"_"&amp;BIN2HEX(CONCATENATE(C1421,D1421,E1421,F1421,G1421,H1421,I1421,J1421),2)&amp;BIN2HEX(CONCATENATE(K1421,L1421,M1421,N1421,O1421,P1421,Q1421,R1421),2)&amp;BIN2HEX(CONCATENATE(S1421,T1421,U1421,V1421,W1421,X1421,Y1421,Z1421),2)&amp;BIN2HEX(CONCATENATE(AA1421,AB1421,AC1421,AD1421,AE1421,AF1421,AG1421,AH1421),2)</f>
        <v>0x00000000_0008068C</v>
      </c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5"/>
      <c r="AI1412" s="6"/>
    </row>
    <row r="1413" spans="1:35" ht="15.75" thickBot="1" x14ac:dyDescent="0.3">
      <c r="A1413" s="3"/>
      <c r="B1413" s="5"/>
      <c r="C1413" s="7">
        <v>0</v>
      </c>
      <c r="D1413" s="7">
        <v>1</v>
      </c>
      <c r="E1413" s="7">
        <v>2</v>
      </c>
      <c r="F1413" s="7">
        <v>3</v>
      </c>
      <c r="G1413" s="7">
        <v>4</v>
      </c>
      <c r="H1413" s="7">
        <v>5</v>
      </c>
      <c r="I1413" s="7">
        <v>6</v>
      </c>
      <c r="J1413" s="7">
        <v>7</v>
      </c>
      <c r="K1413" s="7">
        <v>8</v>
      </c>
      <c r="L1413" s="7">
        <v>9</v>
      </c>
      <c r="M1413" s="7">
        <v>10</v>
      </c>
      <c r="N1413" s="7">
        <v>11</v>
      </c>
      <c r="O1413" s="7">
        <v>12</v>
      </c>
      <c r="P1413" s="7">
        <v>13</v>
      </c>
      <c r="Q1413" s="7">
        <v>14</v>
      </c>
      <c r="R1413" s="7">
        <v>15</v>
      </c>
      <c r="S1413" s="7">
        <v>16</v>
      </c>
      <c r="T1413" s="7">
        <v>17</v>
      </c>
      <c r="U1413" s="7">
        <v>18</v>
      </c>
      <c r="V1413" s="7">
        <v>19</v>
      </c>
      <c r="W1413" s="7">
        <v>20</v>
      </c>
      <c r="X1413" s="7">
        <v>21</v>
      </c>
      <c r="Y1413" s="7">
        <v>22</v>
      </c>
      <c r="Z1413" s="7">
        <v>23</v>
      </c>
      <c r="AA1413" s="7">
        <v>24</v>
      </c>
      <c r="AB1413" s="7">
        <v>25</v>
      </c>
      <c r="AC1413" s="7">
        <v>26</v>
      </c>
      <c r="AD1413" s="7">
        <v>27</v>
      </c>
      <c r="AE1413" s="7">
        <v>28</v>
      </c>
      <c r="AF1413" s="7">
        <v>29</v>
      </c>
      <c r="AG1413" s="7">
        <v>30</v>
      </c>
      <c r="AH1413" s="7">
        <v>31</v>
      </c>
      <c r="AI1413" s="6"/>
    </row>
    <row r="1414" spans="1:35" x14ac:dyDescent="0.25">
      <c r="A1414" s="3"/>
      <c r="B1414" s="5" t="s">
        <v>31</v>
      </c>
      <c r="C1414" s="328" t="s">
        <v>161</v>
      </c>
      <c r="D1414" s="330" t="s">
        <v>63</v>
      </c>
      <c r="E1414" s="331"/>
      <c r="F1414" s="331"/>
      <c r="G1414" s="331"/>
      <c r="H1414" s="331"/>
      <c r="I1414" s="331"/>
      <c r="J1414" s="332"/>
      <c r="K1414" s="336">
        <v>0</v>
      </c>
      <c r="L1414" s="337"/>
      <c r="M1414" s="337"/>
      <c r="N1414" s="337"/>
      <c r="O1414" s="337"/>
      <c r="P1414" s="337"/>
      <c r="Q1414" s="337"/>
      <c r="R1414" s="337"/>
      <c r="S1414" s="337"/>
      <c r="T1414" s="337"/>
      <c r="U1414" s="337"/>
      <c r="V1414" s="337"/>
      <c r="W1414" s="337"/>
      <c r="X1414" s="337"/>
      <c r="Y1414" s="337"/>
      <c r="Z1414" s="337"/>
      <c r="AA1414" s="337"/>
      <c r="AB1414" s="337"/>
      <c r="AC1414" s="337"/>
      <c r="AD1414" s="337"/>
      <c r="AE1414" s="337"/>
      <c r="AF1414" s="337"/>
      <c r="AG1414" s="337"/>
      <c r="AH1414" s="338"/>
      <c r="AI1414" s="6"/>
    </row>
    <row r="1415" spans="1:35" x14ac:dyDescent="0.25">
      <c r="A1415" s="3"/>
      <c r="B1415" s="5" t="s">
        <v>32</v>
      </c>
      <c r="C1415" s="329"/>
      <c r="D1415" s="333"/>
      <c r="E1415" s="334"/>
      <c r="F1415" s="334"/>
      <c r="G1415" s="334"/>
      <c r="H1415" s="334"/>
      <c r="I1415" s="334"/>
      <c r="J1415" s="335"/>
      <c r="K1415" s="339"/>
      <c r="L1415" s="340"/>
      <c r="M1415" s="340"/>
      <c r="N1415" s="340"/>
      <c r="O1415" s="340"/>
      <c r="P1415" s="340"/>
      <c r="Q1415" s="340"/>
      <c r="R1415" s="340"/>
      <c r="S1415" s="340"/>
      <c r="T1415" s="340"/>
      <c r="U1415" s="340"/>
      <c r="V1415" s="340"/>
      <c r="W1415" s="340"/>
      <c r="X1415" s="340"/>
      <c r="Y1415" s="340"/>
      <c r="Z1415" s="340"/>
      <c r="AA1415" s="340"/>
      <c r="AB1415" s="340"/>
      <c r="AC1415" s="340"/>
      <c r="AD1415" s="340"/>
      <c r="AE1415" s="340"/>
      <c r="AF1415" s="340"/>
      <c r="AG1415" s="340"/>
      <c r="AH1415" s="341"/>
      <c r="AI1415" s="6"/>
    </row>
    <row r="1416" spans="1:35" x14ac:dyDescent="0.25">
      <c r="A1416" s="3"/>
      <c r="B1416" s="5" t="s">
        <v>11</v>
      </c>
      <c r="C1416" s="56">
        <v>0</v>
      </c>
      <c r="D1416" s="57">
        <v>0</v>
      </c>
      <c r="E1416" s="57">
        <v>0</v>
      </c>
      <c r="F1416" s="57">
        <v>0</v>
      </c>
      <c r="G1416" s="57">
        <v>0</v>
      </c>
      <c r="H1416" s="57">
        <v>0</v>
      </c>
      <c r="I1416" s="57">
        <v>0</v>
      </c>
      <c r="J1416" s="57">
        <v>0</v>
      </c>
      <c r="K1416" s="57">
        <v>0</v>
      </c>
      <c r="L1416" s="57">
        <v>0</v>
      </c>
      <c r="M1416" s="57">
        <v>0</v>
      </c>
      <c r="N1416" s="57">
        <v>0</v>
      </c>
      <c r="O1416" s="57">
        <v>0</v>
      </c>
      <c r="P1416" s="57">
        <v>0</v>
      </c>
      <c r="Q1416" s="57">
        <v>0</v>
      </c>
      <c r="R1416" s="57">
        <v>0</v>
      </c>
      <c r="S1416" s="57">
        <v>0</v>
      </c>
      <c r="T1416" s="57">
        <v>0</v>
      </c>
      <c r="U1416" s="57">
        <v>0</v>
      </c>
      <c r="V1416" s="57">
        <v>0</v>
      </c>
      <c r="W1416" s="57">
        <v>0</v>
      </c>
      <c r="X1416" s="57">
        <v>0</v>
      </c>
      <c r="Y1416" s="57">
        <v>0</v>
      </c>
      <c r="Z1416" s="57">
        <v>0</v>
      </c>
      <c r="AA1416" s="57">
        <v>0</v>
      </c>
      <c r="AB1416" s="57">
        <v>0</v>
      </c>
      <c r="AC1416" s="57">
        <v>0</v>
      </c>
      <c r="AD1416" s="57">
        <v>0</v>
      </c>
      <c r="AE1416" s="57">
        <v>0</v>
      </c>
      <c r="AF1416" s="57">
        <v>0</v>
      </c>
      <c r="AG1416" s="57">
        <v>0</v>
      </c>
      <c r="AH1416" s="58">
        <v>0</v>
      </c>
      <c r="AI1416" s="6"/>
    </row>
    <row r="1417" spans="1:35" ht="15.75" thickBot="1" x14ac:dyDescent="0.3">
      <c r="A1417" s="3"/>
      <c r="B1417" s="5" t="s">
        <v>12</v>
      </c>
      <c r="C1417" s="145">
        <v>0</v>
      </c>
      <c r="D1417" s="88">
        <v>0</v>
      </c>
      <c r="E1417" s="88">
        <v>0</v>
      </c>
      <c r="F1417" s="88">
        <v>0</v>
      </c>
      <c r="G1417" s="88">
        <v>0</v>
      </c>
      <c r="H1417" s="88">
        <v>0</v>
      </c>
      <c r="I1417" s="88">
        <v>0</v>
      </c>
      <c r="J1417" s="88">
        <v>0</v>
      </c>
      <c r="K1417" s="62">
        <v>0</v>
      </c>
      <c r="L1417" s="62">
        <v>0</v>
      </c>
      <c r="M1417" s="62">
        <v>0</v>
      </c>
      <c r="N1417" s="62">
        <v>0</v>
      </c>
      <c r="O1417" s="62">
        <v>0</v>
      </c>
      <c r="P1417" s="62">
        <v>0</v>
      </c>
      <c r="Q1417" s="62">
        <v>0</v>
      </c>
      <c r="R1417" s="62">
        <v>0</v>
      </c>
      <c r="S1417" s="62">
        <v>0</v>
      </c>
      <c r="T1417" s="62">
        <v>0</v>
      </c>
      <c r="U1417" s="62">
        <v>0</v>
      </c>
      <c r="V1417" s="62">
        <v>0</v>
      </c>
      <c r="W1417" s="62">
        <v>0</v>
      </c>
      <c r="X1417" s="62">
        <v>0</v>
      </c>
      <c r="Y1417" s="62">
        <v>0</v>
      </c>
      <c r="Z1417" s="62">
        <v>0</v>
      </c>
      <c r="AA1417" s="62">
        <v>0</v>
      </c>
      <c r="AB1417" s="62">
        <v>0</v>
      </c>
      <c r="AC1417" s="62">
        <v>0</v>
      </c>
      <c r="AD1417" s="62">
        <v>0</v>
      </c>
      <c r="AE1417" s="62">
        <v>0</v>
      </c>
      <c r="AF1417" s="62">
        <v>0</v>
      </c>
      <c r="AG1417" s="62">
        <v>0</v>
      </c>
      <c r="AH1417" s="146">
        <v>0</v>
      </c>
      <c r="AI1417" s="6"/>
    </row>
    <row r="1418" spans="1:35" x14ac:dyDescent="0.25">
      <c r="A1418" s="3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5"/>
      <c r="AI1418" s="6"/>
    </row>
    <row r="1419" spans="1:35" ht="15.75" thickBot="1" x14ac:dyDescent="0.3">
      <c r="A1419" s="3"/>
      <c r="B1419" s="5"/>
      <c r="C1419" s="7">
        <v>32</v>
      </c>
      <c r="D1419" s="7">
        <v>33</v>
      </c>
      <c r="E1419" s="7">
        <v>34</v>
      </c>
      <c r="F1419" s="7">
        <v>35</v>
      </c>
      <c r="G1419" s="7">
        <v>36</v>
      </c>
      <c r="H1419" s="7">
        <v>37</v>
      </c>
      <c r="I1419" s="7">
        <v>38</v>
      </c>
      <c r="J1419" s="7">
        <v>39</v>
      </c>
      <c r="K1419" s="7">
        <v>40</v>
      </c>
      <c r="L1419" s="7">
        <v>41</v>
      </c>
      <c r="M1419" s="7">
        <v>42</v>
      </c>
      <c r="N1419" s="7">
        <v>43</v>
      </c>
      <c r="O1419" s="7">
        <v>44</v>
      </c>
      <c r="P1419" s="7">
        <v>45</v>
      </c>
      <c r="Q1419" s="7">
        <v>46</v>
      </c>
      <c r="R1419" s="7">
        <v>47</v>
      </c>
      <c r="S1419" s="7">
        <v>48</v>
      </c>
      <c r="T1419" s="7">
        <v>49</v>
      </c>
      <c r="U1419" s="7">
        <v>50</v>
      </c>
      <c r="V1419" s="7">
        <v>51</v>
      </c>
      <c r="W1419" s="7">
        <v>52</v>
      </c>
      <c r="X1419" s="7">
        <v>53</v>
      </c>
      <c r="Y1419" s="7">
        <v>54</v>
      </c>
      <c r="Z1419" s="7">
        <v>55</v>
      </c>
      <c r="AA1419" s="7">
        <v>56</v>
      </c>
      <c r="AB1419" s="7">
        <v>57</v>
      </c>
      <c r="AC1419" s="7">
        <v>58</v>
      </c>
      <c r="AD1419" s="7">
        <v>59</v>
      </c>
      <c r="AE1419" s="7">
        <v>60</v>
      </c>
      <c r="AF1419" s="7">
        <v>61</v>
      </c>
      <c r="AG1419" s="7">
        <v>62</v>
      </c>
      <c r="AH1419" s="7">
        <v>63</v>
      </c>
      <c r="AI1419" s="6"/>
    </row>
    <row r="1420" spans="1:35" ht="15.75" thickBot="1" x14ac:dyDescent="0.3">
      <c r="A1420" s="3"/>
      <c r="B1420" s="5"/>
      <c r="C1420" s="147" t="s">
        <v>13</v>
      </c>
      <c r="D1420" s="148" t="s">
        <v>14</v>
      </c>
      <c r="E1420" s="148" t="s">
        <v>15</v>
      </c>
      <c r="F1420" s="148" t="s">
        <v>16</v>
      </c>
      <c r="G1420" s="148" t="s">
        <v>17</v>
      </c>
      <c r="H1420" s="148" t="s">
        <v>18</v>
      </c>
      <c r="I1420" s="148" t="s">
        <v>19</v>
      </c>
      <c r="J1420" s="148" t="s">
        <v>20</v>
      </c>
      <c r="K1420" s="148" t="s">
        <v>21</v>
      </c>
      <c r="L1420" s="148" t="s">
        <v>22</v>
      </c>
      <c r="M1420" s="148" t="s">
        <v>23</v>
      </c>
      <c r="N1420" s="148" t="s">
        <v>24</v>
      </c>
      <c r="O1420" s="148" t="s">
        <v>25</v>
      </c>
      <c r="P1420" s="148" t="s">
        <v>26</v>
      </c>
      <c r="Q1420" s="148" t="s">
        <v>27</v>
      </c>
      <c r="R1420" s="342" t="s">
        <v>30</v>
      </c>
      <c r="S1420" s="343"/>
      <c r="T1420" s="343"/>
      <c r="U1420" s="343"/>
      <c r="V1420" s="343"/>
      <c r="W1420" s="343"/>
      <c r="X1420" s="343"/>
      <c r="Y1420" s="343"/>
      <c r="Z1420" s="343"/>
      <c r="AA1420" s="343"/>
      <c r="AB1420" s="343"/>
      <c r="AC1420" s="343"/>
      <c r="AD1420" s="343"/>
      <c r="AE1420" s="343"/>
      <c r="AF1420" s="344"/>
      <c r="AG1420" s="67" t="s">
        <v>28</v>
      </c>
      <c r="AH1420" s="149" t="s">
        <v>29</v>
      </c>
      <c r="AI1420" s="6"/>
    </row>
    <row r="1421" spans="1:35" ht="15.75" thickBot="1" x14ac:dyDescent="0.3">
      <c r="A1421" s="3"/>
      <c r="B1421" s="5"/>
      <c r="C1421" s="150">
        <v>0</v>
      </c>
      <c r="D1421" s="151">
        <v>0</v>
      </c>
      <c r="E1421" s="151">
        <v>0</v>
      </c>
      <c r="F1421" s="151">
        <v>0</v>
      </c>
      <c r="G1421" s="151">
        <v>0</v>
      </c>
      <c r="H1421" s="151">
        <v>0</v>
      </c>
      <c r="I1421" s="151">
        <v>0</v>
      </c>
      <c r="J1421" s="151">
        <v>0</v>
      </c>
      <c r="K1421" s="151">
        <v>0</v>
      </c>
      <c r="L1421" s="151">
        <v>0</v>
      </c>
      <c r="M1421" s="151">
        <v>0</v>
      </c>
      <c r="N1421" s="151">
        <v>0</v>
      </c>
      <c r="O1421" s="151">
        <v>1</v>
      </c>
      <c r="P1421" s="151">
        <v>0</v>
      </c>
      <c r="Q1421" s="151">
        <v>0</v>
      </c>
      <c r="R1421" s="151">
        <v>0</v>
      </c>
      <c r="S1421" s="151">
        <v>0</v>
      </c>
      <c r="T1421" s="151">
        <v>0</v>
      </c>
      <c r="U1421" s="151">
        <v>0</v>
      </c>
      <c r="V1421" s="151">
        <v>0</v>
      </c>
      <c r="W1421" s="151">
        <v>0</v>
      </c>
      <c r="X1421" s="151">
        <v>1</v>
      </c>
      <c r="Y1421" s="151">
        <v>1</v>
      </c>
      <c r="Z1421" s="151">
        <v>0</v>
      </c>
      <c r="AA1421" s="151">
        <v>1</v>
      </c>
      <c r="AB1421" s="151">
        <v>0</v>
      </c>
      <c r="AC1421" s="151">
        <v>0</v>
      </c>
      <c r="AD1421" s="151">
        <v>0</v>
      </c>
      <c r="AE1421" s="151">
        <v>1</v>
      </c>
      <c r="AF1421" s="151">
        <v>1</v>
      </c>
      <c r="AG1421" s="151">
        <v>0</v>
      </c>
      <c r="AH1421" s="152">
        <v>0</v>
      </c>
      <c r="AI1421" s="6"/>
    </row>
    <row r="1422" spans="1:35" x14ac:dyDescent="0.25">
      <c r="A1422" s="3"/>
      <c r="B1422" s="4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5"/>
      <c r="AI1422" s="6"/>
    </row>
    <row r="1423" spans="1:35" x14ac:dyDescent="0.25">
      <c r="A1423" s="3"/>
      <c r="B1423" s="8" t="s">
        <v>43</v>
      </c>
      <c r="C1423" s="9"/>
      <c r="D1423" s="9"/>
      <c r="E1423" s="9"/>
      <c r="F1423" s="44" t="s">
        <v>44</v>
      </c>
      <c r="G1423" s="44"/>
      <c r="H1423" s="44"/>
      <c r="I1423" s="9"/>
      <c r="J1423" s="45" t="s">
        <v>45</v>
      </c>
      <c r="K1423" s="45"/>
      <c r="L1423" s="45"/>
      <c r="M1423" s="45"/>
      <c r="N1423" s="9"/>
      <c r="O1423" s="46" t="s">
        <v>46</v>
      </c>
      <c r="P1423" s="46"/>
      <c r="Q1423" s="46"/>
      <c r="R1423" s="46"/>
      <c r="S1423" s="9"/>
      <c r="T1423" s="1" t="s">
        <v>49</v>
      </c>
      <c r="U1423" s="10" t="s">
        <v>48</v>
      </c>
      <c r="V1423" s="5"/>
      <c r="W1423" s="9"/>
      <c r="X1423" s="9"/>
      <c r="Y1423" s="9"/>
      <c r="Z1423" s="9"/>
      <c r="AA1423" s="9"/>
      <c r="AB1423" s="9"/>
      <c r="AC1423" s="9"/>
      <c r="AD1423" s="9"/>
      <c r="AE1423" s="9"/>
      <c r="AF1423" s="9"/>
      <c r="AG1423" s="9"/>
      <c r="AH1423" s="9"/>
      <c r="AI1423" s="6"/>
    </row>
    <row r="1424" spans="1:35" ht="15" customHeight="1" x14ac:dyDescent="0.25">
      <c r="A1424" s="3"/>
      <c r="B1424" s="42" t="str">
        <f>"0x"&amp;DEC2HEX(Sheet3!$I$4,8)</f>
        <v>0x00400320</v>
      </c>
      <c r="C1424" s="42"/>
      <c r="D1424" s="42"/>
      <c r="E1424" s="12"/>
      <c r="F1424" s="319" t="str">
        <f>"0x"&amp;BIN2HEX(CONCATENATE(C1417,D1417,E1417,F1417,G1417,H1417,I1417,J1417),2)&amp;BIN2HEX(CONCATENATE(K1417,L1417,M1417,N1417,O1417,P1417,Q1417,R1417),2)&amp;BIN2HEX(CONCATENATE(S1417,T1417,U1417,V1417,W1417,X1417,Y1417,Z1417),2)&amp;BIN2HEX(CONCATENATE(AA1417,AB1417,AC1417,AD1417,AE1417,AF1417,AG1417,AH1417),2)</f>
        <v>0x00000000</v>
      </c>
      <c r="G1424" s="319"/>
      <c r="H1424" s="319"/>
      <c r="I1424" s="12"/>
      <c r="J1424" s="319" t="str">
        <f>"0b"&amp;C1421&amp;D1421&amp;E1421&amp;F1421&amp;G1421&amp;H1421&amp;I1421&amp;J1421&amp;K1421&amp;L1421&amp;M1421&amp;N1421&amp;O1421&amp;P1421&amp;Q1421</f>
        <v>0b000000000000100</v>
      </c>
      <c r="K1424" s="319"/>
      <c r="L1424" s="319"/>
      <c r="M1424" s="319"/>
      <c r="N1424" s="12"/>
      <c r="O1424" s="319" t="str">
        <f>"0b"&amp;DEC2BIN(((AF1421+AE1421*2+AD1421*4+AC1421*8+AB1421*16+AA1421*32+Z1421*64+Y1421*128+X1421*256+W1421*512+V1421*1024+U1421*2048+T1421*4096+S1421*2^13+R1421*2^14)/512),6)&amp;DEC2BIN(MOD((AF1421+AE1421*2+AD1421*4+AC1421*8+AB1421*16+AA1421*32+Z1421*64+Y1421*128+X1421*256+W1421*512+V1421*1024+U1421*2048+T1421*4096+S1421*2^13+R1421*2^14),512),9)</f>
        <v>0b000000110100011</v>
      </c>
      <c r="P1424" s="319"/>
      <c r="Q1424" s="319"/>
      <c r="R1424" s="319"/>
      <c r="S1424" s="12"/>
      <c r="T1424" s="13">
        <v>0</v>
      </c>
      <c r="U1424" s="13">
        <f>AH1421</f>
        <v>0</v>
      </c>
      <c r="V1424" s="5"/>
      <c r="W1424" s="14"/>
      <c r="X1424" s="14"/>
      <c r="Y1424" s="14"/>
      <c r="Z1424" s="14"/>
      <c r="AA1424" s="14"/>
      <c r="AB1424" s="14"/>
      <c r="AC1424" s="14"/>
      <c r="AD1424" s="14"/>
      <c r="AE1424" s="14"/>
      <c r="AF1424" s="14"/>
      <c r="AG1424" s="14"/>
      <c r="AH1424" s="14"/>
      <c r="AI1424" s="6"/>
    </row>
    <row r="1425" spans="1:35" x14ac:dyDescent="0.25">
      <c r="A1425" s="3"/>
      <c r="B1425" s="42"/>
      <c r="C1425" s="42"/>
      <c r="D1425" s="42"/>
      <c r="E1425" s="15"/>
      <c r="F1425" s="43"/>
      <c r="G1425" s="43"/>
      <c r="H1425" s="43"/>
      <c r="I1425" s="15"/>
      <c r="J1425" s="42"/>
      <c r="K1425" s="42"/>
      <c r="L1425" s="42"/>
      <c r="M1425" s="42"/>
      <c r="N1425" s="15"/>
      <c r="O1425" s="42"/>
      <c r="P1425" s="42"/>
      <c r="Q1425" s="42"/>
      <c r="R1425" s="42"/>
      <c r="S1425" s="15"/>
      <c r="T1425" s="13"/>
      <c r="U1425" s="15"/>
      <c r="V1425" s="5"/>
      <c r="W1425" s="16"/>
      <c r="X1425" s="16"/>
      <c r="Y1425" s="16"/>
      <c r="Z1425" s="16"/>
      <c r="AA1425" s="16"/>
      <c r="AB1425" s="16"/>
      <c r="AC1425" s="16"/>
      <c r="AD1425" s="16"/>
      <c r="AE1425" s="16"/>
      <c r="AF1425" s="16"/>
      <c r="AG1425" s="16"/>
      <c r="AH1425" s="16"/>
      <c r="AI1425" s="6"/>
    </row>
    <row r="1426" spans="1:35" x14ac:dyDescent="0.25">
      <c r="A1426" s="3"/>
      <c r="B1426" s="42"/>
      <c r="C1426" s="42"/>
      <c r="D1426" s="42"/>
      <c r="E1426" s="15"/>
      <c r="F1426" s="43"/>
      <c r="G1426" s="43"/>
      <c r="H1426" s="43"/>
      <c r="I1426" s="15"/>
      <c r="J1426" s="42"/>
      <c r="K1426" s="42"/>
      <c r="L1426" s="42"/>
      <c r="M1426" s="42"/>
      <c r="N1426" s="15"/>
      <c r="O1426" s="42"/>
      <c r="P1426" s="42"/>
      <c r="Q1426" s="42"/>
      <c r="R1426" s="42"/>
      <c r="S1426" s="15"/>
      <c r="T1426" s="13"/>
      <c r="U1426" s="15"/>
      <c r="V1426" s="5"/>
      <c r="W1426" s="16"/>
      <c r="X1426" s="16"/>
      <c r="Y1426" s="16"/>
      <c r="Z1426" s="16"/>
      <c r="AA1426" s="16"/>
      <c r="AB1426" s="16"/>
      <c r="AC1426" s="16"/>
      <c r="AD1426" s="16"/>
      <c r="AE1426" s="16"/>
      <c r="AF1426" s="16"/>
      <c r="AG1426" s="16"/>
      <c r="AH1426" s="16"/>
      <c r="AI1426" s="6"/>
    </row>
    <row r="1427" spans="1:35" x14ac:dyDescent="0.25">
      <c r="A1427" s="3"/>
      <c r="B1427" s="5"/>
      <c r="C1427" s="5"/>
      <c r="D1427" s="5"/>
      <c r="E1427" s="5"/>
      <c r="F1427" s="17"/>
      <c r="G1427" s="17"/>
      <c r="H1427" s="17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5"/>
      <c r="AI1427" s="6"/>
    </row>
    <row r="1428" spans="1:35" x14ac:dyDescent="0.25">
      <c r="A1428" s="3"/>
      <c r="B1428" s="5" t="s">
        <v>47</v>
      </c>
      <c r="C1428" s="18"/>
      <c r="D1428" s="18"/>
      <c r="E1428" s="18"/>
      <c r="F1428" s="5"/>
      <c r="G1428" s="5"/>
      <c r="H1428" s="5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  <c r="AB1428" s="18"/>
      <c r="AC1428" s="18"/>
      <c r="AD1428" s="18"/>
      <c r="AE1428" s="18"/>
      <c r="AF1428" s="18"/>
      <c r="AG1428" s="18"/>
      <c r="AH1428" s="18"/>
      <c r="AI1428" s="6"/>
    </row>
    <row r="1429" spans="1:35" ht="15" customHeight="1" x14ac:dyDescent="0.25">
      <c r="A1429" s="3"/>
      <c r="B1429" s="42" t="str">
        <f>"0x"&amp;DEC2HEX(Sheet3!$I$4,8)</f>
        <v>0x00400320</v>
      </c>
      <c r="C1429" s="42"/>
      <c r="D1429" s="42"/>
      <c r="E1429" s="16"/>
      <c r="F1429" s="322" t="str">
        <f>F1424&amp;BIN2HEX(MID(J1424,3,8),2)&amp;BIN2HEX(RIGHT(J1424,7)&amp;MID(O1424,3,1),2)&amp;BIN2HEX(MID(O1424,4,8),2)&amp;BIN2HEX(RIGHT(O1424,6)&amp;T1424&amp;U1424,2)</f>
        <v>0x000000000008068C</v>
      </c>
      <c r="G1429" s="322"/>
      <c r="H1429" s="322"/>
      <c r="I1429" s="322"/>
      <c r="J1429" s="5"/>
      <c r="K1429" s="5"/>
      <c r="L1429" s="5"/>
      <c r="M1429" s="5"/>
      <c r="N1429" s="5"/>
      <c r="O1429" s="5"/>
      <c r="P1429" s="16"/>
      <c r="Q1429" s="16"/>
      <c r="R1429" s="19"/>
      <c r="S1429" s="19"/>
      <c r="T1429" s="19"/>
      <c r="U1429" s="19"/>
      <c r="V1429" s="19"/>
      <c r="W1429" s="19"/>
      <c r="X1429" s="19"/>
      <c r="Y1429" s="19"/>
      <c r="Z1429" s="19"/>
      <c r="AA1429" s="19"/>
      <c r="AB1429" s="19"/>
      <c r="AC1429" s="19"/>
      <c r="AD1429" s="19"/>
      <c r="AE1429" s="19"/>
      <c r="AF1429" s="19"/>
      <c r="AG1429" s="5"/>
      <c r="AH1429" s="5"/>
      <c r="AI1429" s="6"/>
    </row>
    <row r="1430" spans="1:35" x14ac:dyDescent="0.25">
      <c r="A1430" s="3"/>
      <c r="B1430" s="37"/>
      <c r="C1430" s="37"/>
      <c r="D1430" s="37"/>
      <c r="E1430" s="5"/>
      <c r="F1430" s="38"/>
      <c r="G1430" s="38"/>
      <c r="H1430" s="38"/>
      <c r="I1430" s="38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5"/>
      <c r="AI1430" s="6"/>
    </row>
    <row r="1431" spans="1:35" x14ac:dyDescent="0.25">
      <c r="A1431" s="3"/>
      <c r="B1431" s="37"/>
      <c r="C1431" s="37"/>
      <c r="D1431" s="37"/>
      <c r="E1431" s="5"/>
      <c r="F1431" s="38"/>
      <c r="G1431" s="38"/>
      <c r="H1431" s="38"/>
      <c r="I1431" s="38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5"/>
      <c r="AI1431" s="6"/>
    </row>
    <row r="1432" spans="1:35" x14ac:dyDescent="0.25">
      <c r="A1432" s="20"/>
      <c r="B1432" s="21"/>
      <c r="C1432" s="21"/>
      <c r="D1432" s="21"/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2"/>
      <c r="P1432" s="21"/>
      <c r="Q1432" s="21"/>
      <c r="R1432" s="21"/>
      <c r="S1432" s="21"/>
      <c r="T1432" s="21"/>
      <c r="U1432" s="21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  <c r="AF1432" s="21"/>
      <c r="AG1432" s="21"/>
      <c r="AH1432" s="21"/>
      <c r="AI1432" s="23"/>
    </row>
    <row r="1433" spans="1:35" x14ac:dyDescent="0.25">
      <c r="A1433" s="24"/>
      <c r="B1433" s="28"/>
      <c r="C1433" s="25"/>
      <c r="D1433" s="25"/>
      <c r="E1433" s="25"/>
      <c r="F1433" s="25"/>
      <c r="G1433" s="25"/>
      <c r="H1433" s="25"/>
      <c r="I1433" s="25"/>
      <c r="J1433" s="25"/>
      <c r="K1433" s="25"/>
      <c r="L1433" s="25"/>
      <c r="M1433" s="25"/>
      <c r="N1433" s="25"/>
      <c r="O1433" s="25"/>
      <c r="P1433" s="25"/>
      <c r="Q1433" s="25"/>
      <c r="R1433" s="25"/>
      <c r="S1433" s="25"/>
      <c r="T1433" s="25"/>
      <c r="U1433" s="25"/>
      <c r="V1433" s="25"/>
      <c r="W1433" s="25"/>
      <c r="X1433" s="25"/>
      <c r="Y1433" s="25"/>
      <c r="Z1433" s="25"/>
      <c r="AA1433" s="25"/>
      <c r="AB1433" s="25"/>
      <c r="AC1433" s="25"/>
      <c r="AD1433" s="25"/>
      <c r="AE1433" s="25"/>
      <c r="AF1433" s="25"/>
      <c r="AG1433" s="25"/>
      <c r="AH1433" s="25"/>
      <c r="AI1433" s="26"/>
    </row>
    <row r="1434" spans="1:35" x14ac:dyDescent="0.25">
      <c r="A1434" s="3"/>
      <c r="B1434" s="4" t="s">
        <v>197</v>
      </c>
      <c r="C1434" s="5"/>
      <c r="D1434" s="5"/>
      <c r="E1434" s="5"/>
      <c r="F1434" s="5"/>
      <c r="G1434" s="5"/>
      <c r="H1434" s="5"/>
      <c r="I1434" s="5" t="str">
        <f>"0x"&amp;BIN2HEX(CONCATENATE(C1439,D1439,E1439,F1439,G1439,H1439,I1439,J1439),2)&amp;BIN2HEX(CONCATENATE(K1439,L1439,M1439,N1439,O1439,P1439,Q1439,R1439),2)&amp;BIN2HEX(CONCATENATE(S1439,T1439,U1439,V1439,W1439,X1439,Y1439,Z1439),2)&amp;BIN2HEX(CONCATENATE(AA1439,AB1439,AC1439,AD1439,AE1439,AF1439,AG1439,AH1439),2)&amp;"_"&amp;BIN2HEX(CONCATENATE(C1443,D1443,E1443,F1443,G1443,H1443,I1443,J1443),2)&amp;BIN2HEX(CONCATENATE(K1443,L1443,M1443,N1443,O1443,P1443,Q1443,R1443),2)&amp;BIN2HEX(CONCATENATE(S1443,T1443,U1443,V1443,W1443,X1443,Y1443,Z1443),2)&amp;BIN2HEX(CONCATENATE(AA1443,AB1443,AC1443,AD1443,AE1443,AF1443,AG1443,AH1443),2)</f>
        <v>0x00000000_00080690</v>
      </c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5"/>
      <c r="AI1434" s="6"/>
    </row>
    <row r="1435" spans="1:35" ht="15.75" thickBot="1" x14ac:dyDescent="0.3">
      <c r="A1435" s="3"/>
      <c r="B1435" s="5"/>
      <c r="C1435" s="7">
        <v>0</v>
      </c>
      <c r="D1435" s="7">
        <v>1</v>
      </c>
      <c r="E1435" s="7">
        <v>2</v>
      </c>
      <c r="F1435" s="7">
        <v>3</v>
      </c>
      <c r="G1435" s="7">
        <v>4</v>
      </c>
      <c r="H1435" s="7">
        <v>5</v>
      </c>
      <c r="I1435" s="7">
        <v>6</v>
      </c>
      <c r="J1435" s="7">
        <v>7</v>
      </c>
      <c r="K1435" s="7">
        <v>8</v>
      </c>
      <c r="L1435" s="7">
        <v>9</v>
      </c>
      <c r="M1435" s="7">
        <v>10</v>
      </c>
      <c r="N1435" s="7">
        <v>11</v>
      </c>
      <c r="O1435" s="7">
        <v>12</v>
      </c>
      <c r="P1435" s="7">
        <v>13</v>
      </c>
      <c r="Q1435" s="7">
        <v>14</v>
      </c>
      <c r="R1435" s="7">
        <v>15</v>
      </c>
      <c r="S1435" s="7">
        <v>16</v>
      </c>
      <c r="T1435" s="7">
        <v>17</v>
      </c>
      <c r="U1435" s="7">
        <v>18</v>
      </c>
      <c r="V1435" s="7">
        <v>19</v>
      </c>
      <c r="W1435" s="7">
        <v>20</v>
      </c>
      <c r="X1435" s="7">
        <v>21</v>
      </c>
      <c r="Y1435" s="7">
        <v>22</v>
      </c>
      <c r="Z1435" s="7">
        <v>23</v>
      </c>
      <c r="AA1435" s="7">
        <v>24</v>
      </c>
      <c r="AB1435" s="7">
        <v>25</v>
      </c>
      <c r="AC1435" s="7">
        <v>26</v>
      </c>
      <c r="AD1435" s="7">
        <v>27</v>
      </c>
      <c r="AE1435" s="7">
        <v>28</v>
      </c>
      <c r="AF1435" s="7">
        <v>29</v>
      </c>
      <c r="AG1435" s="7">
        <v>30</v>
      </c>
      <c r="AH1435" s="7">
        <v>31</v>
      </c>
      <c r="AI1435" s="6"/>
    </row>
    <row r="1436" spans="1:35" x14ac:dyDescent="0.25">
      <c r="A1436" s="3"/>
      <c r="B1436" s="5" t="s">
        <v>31</v>
      </c>
      <c r="C1436" s="328" t="s">
        <v>161</v>
      </c>
      <c r="D1436" s="330" t="s">
        <v>63</v>
      </c>
      <c r="E1436" s="331"/>
      <c r="F1436" s="331"/>
      <c r="G1436" s="331"/>
      <c r="H1436" s="331"/>
      <c r="I1436" s="331"/>
      <c r="J1436" s="332"/>
      <c r="K1436" s="336">
        <v>0</v>
      </c>
      <c r="L1436" s="337"/>
      <c r="M1436" s="337"/>
      <c r="N1436" s="337"/>
      <c r="O1436" s="337"/>
      <c r="P1436" s="337"/>
      <c r="Q1436" s="337"/>
      <c r="R1436" s="337"/>
      <c r="S1436" s="337"/>
      <c r="T1436" s="337"/>
      <c r="U1436" s="337"/>
      <c r="V1436" s="337"/>
      <c r="W1436" s="337"/>
      <c r="X1436" s="337"/>
      <c r="Y1436" s="337"/>
      <c r="Z1436" s="337"/>
      <c r="AA1436" s="337"/>
      <c r="AB1436" s="337"/>
      <c r="AC1436" s="337"/>
      <c r="AD1436" s="337"/>
      <c r="AE1436" s="337"/>
      <c r="AF1436" s="337"/>
      <c r="AG1436" s="337"/>
      <c r="AH1436" s="338"/>
      <c r="AI1436" s="6"/>
    </row>
    <row r="1437" spans="1:35" x14ac:dyDescent="0.25">
      <c r="A1437" s="3"/>
      <c r="B1437" s="5" t="s">
        <v>32</v>
      </c>
      <c r="C1437" s="329"/>
      <c r="D1437" s="333"/>
      <c r="E1437" s="334"/>
      <c r="F1437" s="334"/>
      <c r="G1437" s="334"/>
      <c r="H1437" s="334"/>
      <c r="I1437" s="334"/>
      <c r="J1437" s="335"/>
      <c r="K1437" s="339"/>
      <c r="L1437" s="340"/>
      <c r="M1437" s="340"/>
      <c r="N1437" s="340"/>
      <c r="O1437" s="340"/>
      <c r="P1437" s="340"/>
      <c r="Q1437" s="340"/>
      <c r="R1437" s="340"/>
      <c r="S1437" s="340"/>
      <c r="T1437" s="340"/>
      <c r="U1437" s="340"/>
      <c r="V1437" s="340"/>
      <c r="W1437" s="340"/>
      <c r="X1437" s="340"/>
      <c r="Y1437" s="340"/>
      <c r="Z1437" s="340"/>
      <c r="AA1437" s="340"/>
      <c r="AB1437" s="340"/>
      <c r="AC1437" s="340"/>
      <c r="AD1437" s="340"/>
      <c r="AE1437" s="340"/>
      <c r="AF1437" s="340"/>
      <c r="AG1437" s="340"/>
      <c r="AH1437" s="341"/>
      <c r="AI1437" s="6"/>
    </row>
    <row r="1438" spans="1:35" x14ac:dyDescent="0.25">
      <c r="A1438" s="3"/>
      <c r="B1438" s="5" t="s">
        <v>11</v>
      </c>
      <c r="C1438" s="56">
        <v>0</v>
      </c>
      <c r="D1438" s="57">
        <v>0</v>
      </c>
      <c r="E1438" s="57">
        <v>0</v>
      </c>
      <c r="F1438" s="57">
        <v>0</v>
      </c>
      <c r="G1438" s="57">
        <v>0</v>
      </c>
      <c r="H1438" s="57">
        <v>0</v>
      </c>
      <c r="I1438" s="57">
        <v>0</v>
      </c>
      <c r="J1438" s="57">
        <v>0</v>
      </c>
      <c r="K1438" s="57">
        <v>0</v>
      </c>
      <c r="L1438" s="57">
        <v>0</v>
      </c>
      <c r="M1438" s="57">
        <v>0</v>
      </c>
      <c r="N1438" s="57">
        <v>0</v>
      </c>
      <c r="O1438" s="57">
        <v>0</v>
      </c>
      <c r="P1438" s="57">
        <v>0</v>
      </c>
      <c r="Q1438" s="57">
        <v>0</v>
      </c>
      <c r="R1438" s="57">
        <v>0</v>
      </c>
      <c r="S1438" s="57">
        <v>0</v>
      </c>
      <c r="T1438" s="57">
        <v>0</v>
      </c>
      <c r="U1438" s="57">
        <v>0</v>
      </c>
      <c r="V1438" s="57">
        <v>0</v>
      </c>
      <c r="W1438" s="57">
        <v>0</v>
      </c>
      <c r="X1438" s="57">
        <v>0</v>
      </c>
      <c r="Y1438" s="57">
        <v>0</v>
      </c>
      <c r="Z1438" s="57">
        <v>0</v>
      </c>
      <c r="AA1438" s="57">
        <v>0</v>
      </c>
      <c r="AB1438" s="57">
        <v>0</v>
      </c>
      <c r="AC1438" s="57">
        <v>0</v>
      </c>
      <c r="AD1438" s="57">
        <v>0</v>
      </c>
      <c r="AE1438" s="57">
        <v>0</v>
      </c>
      <c r="AF1438" s="57">
        <v>0</v>
      </c>
      <c r="AG1438" s="57">
        <v>0</v>
      </c>
      <c r="AH1438" s="58">
        <v>0</v>
      </c>
      <c r="AI1438" s="6"/>
    </row>
    <row r="1439" spans="1:35" ht="15.75" thickBot="1" x14ac:dyDescent="0.3">
      <c r="A1439" s="3"/>
      <c r="B1439" s="5" t="s">
        <v>12</v>
      </c>
      <c r="C1439" s="145">
        <v>0</v>
      </c>
      <c r="D1439" s="88">
        <v>0</v>
      </c>
      <c r="E1439" s="88">
        <v>0</v>
      </c>
      <c r="F1439" s="88">
        <v>0</v>
      </c>
      <c r="G1439" s="88">
        <v>0</v>
      </c>
      <c r="H1439" s="88">
        <v>0</v>
      </c>
      <c r="I1439" s="88">
        <v>0</v>
      </c>
      <c r="J1439" s="88">
        <v>0</v>
      </c>
      <c r="K1439" s="62">
        <v>0</v>
      </c>
      <c r="L1439" s="62">
        <v>0</v>
      </c>
      <c r="M1439" s="62">
        <v>0</v>
      </c>
      <c r="N1439" s="62">
        <v>0</v>
      </c>
      <c r="O1439" s="62">
        <v>0</v>
      </c>
      <c r="P1439" s="62">
        <v>0</v>
      </c>
      <c r="Q1439" s="62">
        <v>0</v>
      </c>
      <c r="R1439" s="62">
        <v>0</v>
      </c>
      <c r="S1439" s="62">
        <v>0</v>
      </c>
      <c r="T1439" s="62">
        <v>0</v>
      </c>
      <c r="U1439" s="62">
        <v>0</v>
      </c>
      <c r="V1439" s="62">
        <v>0</v>
      </c>
      <c r="W1439" s="62">
        <v>0</v>
      </c>
      <c r="X1439" s="62">
        <v>0</v>
      </c>
      <c r="Y1439" s="62">
        <v>0</v>
      </c>
      <c r="Z1439" s="62">
        <v>0</v>
      </c>
      <c r="AA1439" s="62">
        <v>0</v>
      </c>
      <c r="AB1439" s="62">
        <v>0</v>
      </c>
      <c r="AC1439" s="62">
        <v>0</v>
      </c>
      <c r="AD1439" s="62">
        <v>0</v>
      </c>
      <c r="AE1439" s="62">
        <v>0</v>
      </c>
      <c r="AF1439" s="62">
        <v>0</v>
      </c>
      <c r="AG1439" s="62">
        <v>0</v>
      </c>
      <c r="AH1439" s="146">
        <v>0</v>
      </c>
      <c r="AI1439" s="6"/>
    </row>
    <row r="1440" spans="1:35" x14ac:dyDescent="0.25">
      <c r="A1440" s="3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5"/>
      <c r="AI1440" s="6"/>
    </row>
    <row r="1441" spans="1:35" ht="15.75" thickBot="1" x14ac:dyDescent="0.3">
      <c r="A1441" s="3"/>
      <c r="B1441" s="5"/>
      <c r="C1441" s="7">
        <v>32</v>
      </c>
      <c r="D1441" s="7">
        <v>33</v>
      </c>
      <c r="E1441" s="7">
        <v>34</v>
      </c>
      <c r="F1441" s="7">
        <v>35</v>
      </c>
      <c r="G1441" s="7">
        <v>36</v>
      </c>
      <c r="H1441" s="7">
        <v>37</v>
      </c>
      <c r="I1441" s="7">
        <v>38</v>
      </c>
      <c r="J1441" s="7">
        <v>39</v>
      </c>
      <c r="K1441" s="7">
        <v>40</v>
      </c>
      <c r="L1441" s="7">
        <v>41</v>
      </c>
      <c r="M1441" s="7">
        <v>42</v>
      </c>
      <c r="N1441" s="7">
        <v>43</v>
      </c>
      <c r="O1441" s="7">
        <v>44</v>
      </c>
      <c r="P1441" s="7">
        <v>45</v>
      </c>
      <c r="Q1441" s="7">
        <v>46</v>
      </c>
      <c r="R1441" s="7">
        <v>47</v>
      </c>
      <c r="S1441" s="7">
        <v>48</v>
      </c>
      <c r="T1441" s="7">
        <v>49</v>
      </c>
      <c r="U1441" s="7">
        <v>50</v>
      </c>
      <c r="V1441" s="7">
        <v>51</v>
      </c>
      <c r="W1441" s="7">
        <v>52</v>
      </c>
      <c r="X1441" s="7">
        <v>53</v>
      </c>
      <c r="Y1441" s="7">
        <v>54</v>
      </c>
      <c r="Z1441" s="7">
        <v>55</v>
      </c>
      <c r="AA1441" s="7">
        <v>56</v>
      </c>
      <c r="AB1441" s="7">
        <v>57</v>
      </c>
      <c r="AC1441" s="7">
        <v>58</v>
      </c>
      <c r="AD1441" s="7">
        <v>59</v>
      </c>
      <c r="AE1441" s="7">
        <v>60</v>
      </c>
      <c r="AF1441" s="7">
        <v>61</v>
      </c>
      <c r="AG1441" s="7">
        <v>62</v>
      </c>
      <c r="AH1441" s="7">
        <v>63</v>
      </c>
      <c r="AI1441" s="6"/>
    </row>
    <row r="1442" spans="1:35" ht="15.75" thickBot="1" x14ac:dyDescent="0.3">
      <c r="A1442" s="3"/>
      <c r="B1442" s="5"/>
      <c r="C1442" s="147" t="s">
        <v>13</v>
      </c>
      <c r="D1442" s="148" t="s">
        <v>14</v>
      </c>
      <c r="E1442" s="148" t="s">
        <v>15</v>
      </c>
      <c r="F1442" s="148" t="s">
        <v>16</v>
      </c>
      <c r="G1442" s="148" t="s">
        <v>17</v>
      </c>
      <c r="H1442" s="148" t="s">
        <v>18</v>
      </c>
      <c r="I1442" s="148" t="s">
        <v>19</v>
      </c>
      <c r="J1442" s="148" t="s">
        <v>20</v>
      </c>
      <c r="K1442" s="148" t="s">
        <v>21</v>
      </c>
      <c r="L1442" s="148" t="s">
        <v>22</v>
      </c>
      <c r="M1442" s="148" t="s">
        <v>23</v>
      </c>
      <c r="N1442" s="148" t="s">
        <v>24</v>
      </c>
      <c r="O1442" s="148" t="s">
        <v>25</v>
      </c>
      <c r="P1442" s="148" t="s">
        <v>26</v>
      </c>
      <c r="Q1442" s="148" t="s">
        <v>27</v>
      </c>
      <c r="R1442" s="342" t="s">
        <v>30</v>
      </c>
      <c r="S1442" s="343"/>
      <c r="T1442" s="343"/>
      <c r="U1442" s="343"/>
      <c r="V1442" s="343"/>
      <c r="W1442" s="343"/>
      <c r="X1442" s="343"/>
      <c r="Y1442" s="343"/>
      <c r="Z1442" s="343"/>
      <c r="AA1442" s="343"/>
      <c r="AB1442" s="343"/>
      <c r="AC1442" s="343"/>
      <c r="AD1442" s="343"/>
      <c r="AE1442" s="343"/>
      <c r="AF1442" s="344"/>
      <c r="AG1442" s="67" t="s">
        <v>28</v>
      </c>
      <c r="AH1442" s="149" t="s">
        <v>29</v>
      </c>
      <c r="AI1442" s="6"/>
    </row>
    <row r="1443" spans="1:35" ht="15.75" thickBot="1" x14ac:dyDescent="0.3">
      <c r="A1443" s="3"/>
      <c r="B1443" s="5"/>
      <c r="C1443" s="150">
        <v>0</v>
      </c>
      <c r="D1443" s="151">
        <v>0</v>
      </c>
      <c r="E1443" s="151">
        <v>0</v>
      </c>
      <c r="F1443" s="151">
        <v>0</v>
      </c>
      <c r="G1443" s="151">
        <v>0</v>
      </c>
      <c r="H1443" s="151">
        <v>0</v>
      </c>
      <c r="I1443" s="151">
        <v>0</v>
      </c>
      <c r="J1443" s="151">
        <v>0</v>
      </c>
      <c r="K1443" s="151">
        <v>0</v>
      </c>
      <c r="L1443" s="151">
        <v>0</v>
      </c>
      <c r="M1443" s="151">
        <v>0</v>
      </c>
      <c r="N1443" s="151">
        <v>0</v>
      </c>
      <c r="O1443" s="151">
        <v>1</v>
      </c>
      <c r="P1443" s="151">
        <v>0</v>
      </c>
      <c r="Q1443" s="151">
        <v>0</v>
      </c>
      <c r="R1443" s="151">
        <v>0</v>
      </c>
      <c r="S1443" s="151">
        <v>0</v>
      </c>
      <c r="T1443" s="151">
        <v>0</v>
      </c>
      <c r="U1443" s="151">
        <v>0</v>
      </c>
      <c r="V1443" s="151">
        <v>0</v>
      </c>
      <c r="W1443" s="151">
        <v>0</v>
      </c>
      <c r="X1443" s="151">
        <v>1</v>
      </c>
      <c r="Y1443" s="151">
        <v>1</v>
      </c>
      <c r="Z1443" s="151">
        <v>0</v>
      </c>
      <c r="AA1443" s="151">
        <v>1</v>
      </c>
      <c r="AB1443" s="151">
        <v>0</v>
      </c>
      <c r="AC1443" s="151">
        <v>0</v>
      </c>
      <c r="AD1443" s="151">
        <v>1</v>
      </c>
      <c r="AE1443" s="151">
        <v>0</v>
      </c>
      <c r="AF1443" s="151">
        <v>0</v>
      </c>
      <c r="AG1443" s="151">
        <v>0</v>
      </c>
      <c r="AH1443" s="152">
        <v>0</v>
      </c>
      <c r="AI1443" s="6"/>
    </row>
    <row r="1444" spans="1:35" x14ac:dyDescent="0.25">
      <c r="A1444" s="3"/>
      <c r="B1444" s="4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5"/>
      <c r="AI1444" s="6"/>
    </row>
    <row r="1445" spans="1:35" x14ac:dyDescent="0.25">
      <c r="A1445" s="3"/>
      <c r="B1445" s="8" t="s">
        <v>43</v>
      </c>
      <c r="C1445" s="9"/>
      <c r="D1445" s="9"/>
      <c r="E1445" s="9"/>
      <c r="F1445" s="44" t="s">
        <v>44</v>
      </c>
      <c r="G1445" s="44"/>
      <c r="H1445" s="44"/>
      <c r="I1445" s="9"/>
      <c r="J1445" s="45" t="s">
        <v>45</v>
      </c>
      <c r="K1445" s="45"/>
      <c r="L1445" s="45"/>
      <c r="M1445" s="45"/>
      <c r="N1445" s="9"/>
      <c r="O1445" s="46" t="s">
        <v>46</v>
      </c>
      <c r="P1445" s="46"/>
      <c r="Q1445" s="46"/>
      <c r="R1445" s="46"/>
      <c r="S1445" s="9"/>
      <c r="T1445" s="1" t="s">
        <v>49</v>
      </c>
      <c r="U1445" s="10" t="s">
        <v>48</v>
      </c>
      <c r="V1445" s="5"/>
      <c r="W1445" s="9"/>
      <c r="X1445" s="9"/>
      <c r="Y1445" s="9"/>
      <c r="Z1445" s="9"/>
      <c r="AA1445" s="9"/>
      <c r="AB1445" s="9"/>
      <c r="AC1445" s="9"/>
      <c r="AD1445" s="9"/>
      <c r="AE1445" s="9"/>
      <c r="AF1445" s="9"/>
      <c r="AG1445" s="9"/>
      <c r="AH1445" s="9"/>
      <c r="AI1445" s="6"/>
    </row>
    <row r="1446" spans="1:35" ht="15" customHeight="1" x14ac:dyDescent="0.25">
      <c r="A1446" s="3"/>
      <c r="B1446" s="42" t="str">
        <f>"0x"&amp;DEC2HEX(Sheet3!$I$4,8)</f>
        <v>0x00400320</v>
      </c>
      <c r="C1446" s="42"/>
      <c r="D1446" s="42"/>
      <c r="E1446" s="12"/>
      <c r="F1446" s="319" t="str">
        <f>"0x"&amp;BIN2HEX(CONCATENATE(C1439,D1439,E1439,F1439,G1439,H1439,I1439,J1439),2)&amp;BIN2HEX(CONCATENATE(K1439,L1439,M1439,N1439,O1439,P1439,Q1439,R1439),2)&amp;BIN2HEX(CONCATENATE(S1439,T1439,U1439,V1439,W1439,X1439,Y1439,Z1439),2)&amp;BIN2HEX(CONCATENATE(AA1439,AB1439,AC1439,AD1439,AE1439,AF1439,AG1439,AH1439),2)</f>
        <v>0x00000000</v>
      </c>
      <c r="G1446" s="319"/>
      <c r="H1446" s="319"/>
      <c r="I1446" s="12"/>
      <c r="J1446" s="319" t="str">
        <f>"0b"&amp;C1443&amp;D1443&amp;E1443&amp;F1443&amp;G1443&amp;H1443&amp;I1443&amp;J1443&amp;K1443&amp;L1443&amp;M1443&amp;N1443&amp;O1443&amp;P1443&amp;Q1443</f>
        <v>0b000000000000100</v>
      </c>
      <c r="K1446" s="319"/>
      <c r="L1446" s="319"/>
      <c r="M1446" s="319"/>
      <c r="N1446" s="12"/>
      <c r="O1446" s="319" t="str">
        <f>"0b"&amp;DEC2BIN(((AF1443+AE1443*2+AD1443*4+AC1443*8+AB1443*16+AA1443*32+Z1443*64+Y1443*128+X1443*256+W1443*512+V1443*1024+U1443*2048+T1443*4096+S1443*2^13+R1443*2^14)/512),6)&amp;DEC2BIN(MOD((AF1443+AE1443*2+AD1443*4+AC1443*8+AB1443*16+AA1443*32+Z1443*64+Y1443*128+X1443*256+W1443*512+V1443*1024+U1443*2048+T1443*4096+S1443*2^13+R1443*2^14),512),9)</f>
        <v>0b000000110100100</v>
      </c>
      <c r="P1446" s="319"/>
      <c r="Q1446" s="319"/>
      <c r="R1446" s="319"/>
      <c r="S1446" s="12"/>
      <c r="T1446" s="13">
        <v>0</v>
      </c>
      <c r="U1446" s="13">
        <f>AH1443</f>
        <v>0</v>
      </c>
      <c r="V1446" s="5"/>
      <c r="W1446" s="14"/>
      <c r="X1446" s="14"/>
      <c r="Y1446" s="14"/>
      <c r="Z1446" s="14"/>
      <c r="AA1446" s="14"/>
      <c r="AB1446" s="14"/>
      <c r="AC1446" s="14"/>
      <c r="AD1446" s="14"/>
      <c r="AE1446" s="14"/>
      <c r="AF1446" s="14"/>
      <c r="AG1446" s="14"/>
      <c r="AH1446" s="14"/>
      <c r="AI1446" s="6"/>
    </row>
    <row r="1447" spans="1:35" x14ac:dyDescent="0.25">
      <c r="A1447" s="3"/>
      <c r="B1447" s="42"/>
      <c r="C1447" s="42"/>
      <c r="D1447" s="42"/>
      <c r="E1447" s="15"/>
      <c r="F1447" s="43"/>
      <c r="G1447" s="43"/>
      <c r="H1447" s="43"/>
      <c r="I1447" s="15"/>
      <c r="J1447" s="42"/>
      <c r="K1447" s="42"/>
      <c r="L1447" s="42"/>
      <c r="M1447" s="42"/>
      <c r="N1447" s="15"/>
      <c r="O1447" s="42"/>
      <c r="P1447" s="42"/>
      <c r="Q1447" s="42"/>
      <c r="R1447" s="42"/>
      <c r="S1447" s="15"/>
      <c r="T1447" s="13"/>
      <c r="U1447" s="15"/>
      <c r="V1447" s="5"/>
      <c r="W1447" s="16"/>
      <c r="X1447" s="16"/>
      <c r="Y1447" s="16"/>
      <c r="Z1447" s="16"/>
      <c r="AA1447" s="16"/>
      <c r="AB1447" s="16"/>
      <c r="AC1447" s="16"/>
      <c r="AD1447" s="16"/>
      <c r="AE1447" s="16"/>
      <c r="AF1447" s="16"/>
      <c r="AG1447" s="16"/>
      <c r="AH1447" s="16"/>
      <c r="AI1447" s="6"/>
    </row>
    <row r="1448" spans="1:35" x14ac:dyDescent="0.25">
      <c r="A1448" s="3"/>
      <c r="B1448" s="42"/>
      <c r="C1448" s="42"/>
      <c r="D1448" s="42"/>
      <c r="E1448" s="15"/>
      <c r="F1448" s="43"/>
      <c r="G1448" s="43"/>
      <c r="H1448" s="43"/>
      <c r="I1448" s="15"/>
      <c r="J1448" s="42"/>
      <c r="K1448" s="42"/>
      <c r="L1448" s="42"/>
      <c r="M1448" s="42"/>
      <c r="N1448" s="15"/>
      <c r="O1448" s="42"/>
      <c r="P1448" s="42"/>
      <c r="Q1448" s="42"/>
      <c r="R1448" s="42"/>
      <c r="S1448" s="15"/>
      <c r="T1448" s="13"/>
      <c r="U1448" s="15"/>
      <c r="V1448" s="5"/>
      <c r="W1448" s="16"/>
      <c r="X1448" s="16"/>
      <c r="Y1448" s="16"/>
      <c r="Z1448" s="16"/>
      <c r="AA1448" s="16"/>
      <c r="AB1448" s="16"/>
      <c r="AC1448" s="16"/>
      <c r="AD1448" s="16"/>
      <c r="AE1448" s="16"/>
      <c r="AF1448" s="16"/>
      <c r="AG1448" s="16"/>
      <c r="AH1448" s="16"/>
      <c r="AI1448" s="6"/>
    </row>
    <row r="1449" spans="1:35" x14ac:dyDescent="0.25">
      <c r="A1449" s="3"/>
      <c r="B1449" s="5"/>
      <c r="C1449" s="5"/>
      <c r="D1449" s="5"/>
      <c r="E1449" s="5"/>
      <c r="F1449" s="17"/>
      <c r="G1449" s="17"/>
      <c r="H1449" s="17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5"/>
      <c r="AI1449" s="6"/>
    </row>
    <row r="1450" spans="1:35" x14ac:dyDescent="0.25">
      <c r="A1450" s="3"/>
      <c r="B1450" s="5" t="s">
        <v>47</v>
      </c>
      <c r="C1450" s="18"/>
      <c r="D1450" s="18"/>
      <c r="E1450" s="18"/>
      <c r="F1450" s="5"/>
      <c r="G1450" s="5"/>
      <c r="H1450" s="5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  <c r="AB1450" s="18"/>
      <c r="AC1450" s="18"/>
      <c r="AD1450" s="18"/>
      <c r="AE1450" s="18"/>
      <c r="AF1450" s="18"/>
      <c r="AG1450" s="18"/>
      <c r="AH1450" s="18"/>
      <c r="AI1450" s="6"/>
    </row>
    <row r="1451" spans="1:35" ht="15" customHeight="1" x14ac:dyDescent="0.25">
      <c r="A1451" s="3"/>
      <c r="B1451" s="42" t="str">
        <f>"0x"&amp;DEC2HEX(Sheet3!$I$4,8)</f>
        <v>0x00400320</v>
      </c>
      <c r="C1451" s="42"/>
      <c r="D1451" s="42"/>
      <c r="E1451" s="16"/>
      <c r="F1451" s="322" t="str">
        <f>F1446&amp;BIN2HEX(MID(J1446,3,8),2)&amp;BIN2HEX(RIGHT(J1446,7)&amp;MID(O1446,3,1),2)&amp;BIN2HEX(MID(O1446,4,8),2)&amp;BIN2HEX(RIGHT(O1446,6)&amp;T1446&amp;U1446,2)</f>
        <v>0x0000000000080690</v>
      </c>
      <c r="G1451" s="322"/>
      <c r="H1451" s="322"/>
      <c r="I1451" s="322"/>
      <c r="J1451" s="5"/>
      <c r="K1451" s="5"/>
      <c r="L1451" s="5"/>
      <c r="M1451" s="5"/>
      <c r="N1451" s="5"/>
      <c r="O1451" s="5"/>
      <c r="P1451" s="16"/>
      <c r="Q1451" s="16"/>
      <c r="R1451" s="19"/>
      <c r="S1451" s="19"/>
      <c r="T1451" s="19"/>
      <c r="U1451" s="19"/>
      <c r="V1451" s="19"/>
      <c r="W1451" s="19"/>
      <c r="X1451" s="19"/>
      <c r="Y1451" s="19"/>
      <c r="Z1451" s="19"/>
      <c r="AA1451" s="19"/>
      <c r="AB1451" s="19"/>
      <c r="AC1451" s="19"/>
      <c r="AD1451" s="19"/>
      <c r="AE1451" s="19"/>
      <c r="AF1451" s="19"/>
      <c r="AG1451" s="5"/>
      <c r="AH1451" s="5"/>
      <c r="AI1451" s="6"/>
    </row>
    <row r="1452" spans="1:35" x14ac:dyDescent="0.25">
      <c r="A1452" s="3"/>
      <c r="B1452" s="37"/>
      <c r="C1452" s="37"/>
      <c r="D1452" s="37"/>
      <c r="E1452" s="5"/>
      <c r="F1452" s="38"/>
      <c r="G1452" s="38"/>
      <c r="H1452" s="38"/>
      <c r="I1452" s="38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5"/>
      <c r="AI1452" s="6"/>
    </row>
    <row r="1453" spans="1:35" x14ac:dyDescent="0.25">
      <c r="A1453" s="3"/>
      <c r="B1453" s="37"/>
      <c r="C1453" s="37"/>
      <c r="D1453" s="37"/>
      <c r="E1453" s="5"/>
      <c r="F1453" s="38"/>
      <c r="G1453" s="38"/>
      <c r="H1453" s="38"/>
      <c r="I1453" s="38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5"/>
      <c r="AI1453" s="6"/>
    </row>
    <row r="1454" spans="1:35" x14ac:dyDescent="0.25">
      <c r="A1454" s="20"/>
      <c r="B1454" s="21"/>
      <c r="C1454" s="21"/>
      <c r="D1454" s="21"/>
      <c r="E1454" s="21"/>
      <c r="F1454" s="21"/>
      <c r="G1454" s="21"/>
      <c r="H1454" s="21"/>
      <c r="I1454" s="21"/>
      <c r="J1454" s="21"/>
      <c r="K1454" s="21"/>
      <c r="L1454" s="21"/>
      <c r="M1454" s="21"/>
      <c r="N1454" s="21"/>
      <c r="O1454" s="22"/>
      <c r="P1454" s="21"/>
      <c r="Q1454" s="21"/>
      <c r="R1454" s="21"/>
      <c r="S1454" s="21"/>
      <c r="T1454" s="21"/>
      <c r="U1454" s="21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  <c r="AF1454" s="21"/>
      <c r="AG1454" s="21"/>
      <c r="AH1454" s="21"/>
      <c r="AI1454" s="23"/>
    </row>
    <row r="1455" spans="1:35" x14ac:dyDescent="0.25">
      <c r="A1455" s="24"/>
      <c r="B1455" s="28"/>
      <c r="C1455" s="25"/>
      <c r="D1455" s="25"/>
      <c r="E1455" s="25"/>
      <c r="F1455" s="25"/>
      <c r="G1455" s="25"/>
      <c r="H1455" s="25"/>
      <c r="I1455" s="25"/>
      <c r="J1455" s="25"/>
      <c r="K1455" s="25"/>
      <c r="L1455" s="25"/>
      <c r="M1455" s="25"/>
      <c r="N1455" s="25"/>
      <c r="O1455" s="25"/>
      <c r="P1455" s="25"/>
      <c r="Q1455" s="25"/>
      <c r="R1455" s="25"/>
      <c r="S1455" s="25"/>
      <c r="T1455" s="25"/>
      <c r="U1455" s="25"/>
      <c r="V1455" s="25"/>
      <c r="W1455" s="25"/>
      <c r="X1455" s="25"/>
      <c r="Y1455" s="25"/>
      <c r="Z1455" s="25"/>
      <c r="AA1455" s="25"/>
      <c r="AB1455" s="25"/>
      <c r="AC1455" s="25"/>
      <c r="AD1455" s="25"/>
      <c r="AE1455" s="25"/>
      <c r="AF1455" s="25"/>
      <c r="AG1455" s="25"/>
      <c r="AH1455" s="25"/>
      <c r="AI1455" s="26"/>
    </row>
    <row r="1456" spans="1:35" x14ac:dyDescent="0.25">
      <c r="A1456" s="3"/>
      <c r="B1456" s="4" t="s">
        <v>198</v>
      </c>
      <c r="C1456" s="5"/>
      <c r="D1456" s="5"/>
      <c r="E1456" s="5"/>
      <c r="F1456" s="5"/>
      <c r="G1456" s="5"/>
      <c r="H1456" s="5"/>
      <c r="I1456" s="5" t="str">
        <f>"0x"&amp;BIN2HEX(CONCATENATE(C1461,D1461,E1461,F1461,G1461,H1461,I1461,J1461),2)&amp;BIN2HEX(CONCATENATE(K1461,L1461,M1461,N1461,O1461,P1461,Q1461,R1461),2)&amp;BIN2HEX(CONCATENATE(S1461,T1461,U1461,V1461,W1461,X1461,Y1461,Z1461),2)&amp;BIN2HEX(CONCATENATE(AA1461,AB1461,AC1461,AD1461,AE1461,AF1461,AG1461,AH1461),2)&amp;"_"&amp;BIN2HEX(CONCATENATE(C1465,D1465,E1465,F1465,G1465,H1465,I1465,J1465),2)&amp;BIN2HEX(CONCATENATE(K1465,L1465,M1465,N1465,O1465,P1465,Q1465,R1465),2)&amp;BIN2HEX(CONCATENATE(S1465,T1465,U1465,V1465,W1465,X1465,Y1465,Z1465),2)&amp;BIN2HEX(CONCATENATE(AA1465,AB1465,AC1465,AD1465,AE1465,AF1465,AG1465,AH1465),2)</f>
        <v>0x00000000_00080694</v>
      </c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5"/>
      <c r="AI1456" s="6"/>
    </row>
    <row r="1457" spans="1:35" ht="15.75" thickBot="1" x14ac:dyDescent="0.3">
      <c r="A1457" s="3"/>
      <c r="B1457" s="5"/>
      <c r="C1457" s="7">
        <v>0</v>
      </c>
      <c r="D1457" s="7">
        <v>1</v>
      </c>
      <c r="E1457" s="7">
        <v>2</v>
      </c>
      <c r="F1457" s="7">
        <v>3</v>
      </c>
      <c r="G1457" s="7">
        <v>4</v>
      </c>
      <c r="H1457" s="7">
        <v>5</v>
      </c>
      <c r="I1457" s="7">
        <v>6</v>
      </c>
      <c r="J1457" s="7">
        <v>7</v>
      </c>
      <c r="K1457" s="7">
        <v>8</v>
      </c>
      <c r="L1457" s="7">
        <v>9</v>
      </c>
      <c r="M1457" s="7">
        <v>10</v>
      </c>
      <c r="N1457" s="7">
        <v>11</v>
      </c>
      <c r="O1457" s="7">
        <v>12</v>
      </c>
      <c r="P1457" s="7">
        <v>13</v>
      </c>
      <c r="Q1457" s="7">
        <v>14</v>
      </c>
      <c r="R1457" s="7">
        <v>15</v>
      </c>
      <c r="S1457" s="7">
        <v>16</v>
      </c>
      <c r="T1457" s="7">
        <v>17</v>
      </c>
      <c r="U1457" s="7">
        <v>18</v>
      </c>
      <c r="V1457" s="7">
        <v>19</v>
      </c>
      <c r="W1457" s="7">
        <v>20</v>
      </c>
      <c r="X1457" s="7">
        <v>21</v>
      </c>
      <c r="Y1457" s="7">
        <v>22</v>
      </c>
      <c r="Z1457" s="7">
        <v>23</v>
      </c>
      <c r="AA1457" s="7">
        <v>24</v>
      </c>
      <c r="AB1457" s="7">
        <v>25</v>
      </c>
      <c r="AC1457" s="7">
        <v>26</v>
      </c>
      <c r="AD1457" s="7">
        <v>27</v>
      </c>
      <c r="AE1457" s="7">
        <v>28</v>
      </c>
      <c r="AF1457" s="7">
        <v>29</v>
      </c>
      <c r="AG1457" s="7">
        <v>30</v>
      </c>
      <c r="AH1457" s="7">
        <v>31</v>
      </c>
      <c r="AI1457" s="6"/>
    </row>
    <row r="1458" spans="1:35" x14ac:dyDescent="0.25">
      <c r="A1458" s="3"/>
      <c r="B1458" s="5" t="s">
        <v>31</v>
      </c>
      <c r="C1458" s="328" t="s">
        <v>161</v>
      </c>
      <c r="D1458" s="330" t="s">
        <v>63</v>
      </c>
      <c r="E1458" s="331"/>
      <c r="F1458" s="331"/>
      <c r="G1458" s="331"/>
      <c r="H1458" s="331"/>
      <c r="I1458" s="331"/>
      <c r="J1458" s="332"/>
      <c r="K1458" s="336">
        <v>0</v>
      </c>
      <c r="L1458" s="337"/>
      <c r="M1458" s="337"/>
      <c r="N1458" s="337"/>
      <c r="O1458" s="337"/>
      <c r="P1458" s="337"/>
      <c r="Q1458" s="337"/>
      <c r="R1458" s="337"/>
      <c r="S1458" s="337"/>
      <c r="T1458" s="337"/>
      <c r="U1458" s="337"/>
      <c r="V1458" s="337"/>
      <c r="W1458" s="337"/>
      <c r="X1458" s="337"/>
      <c r="Y1458" s="337"/>
      <c r="Z1458" s="337"/>
      <c r="AA1458" s="337"/>
      <c r="AB1458" s="337"/>
      <c r="AC1458" s="337"/>
      <c r="AD1458" s="337"/>
      <c r="AE1458" s="337"/>
      <c r="AF1458" s="337"/>
      <c r="AG1458" s="337"/>
      <c r="AH1458" s="338"/>
      <c r="AI1458" s="6"/>
    </row>
    <row r="1459" spans="1:35" x14ac:dyDescent="0.25">
      <c r="A1459" s="3"/>
      <c r="B1459" s="5" t="s">
        <v>32</v>
      </c>
      <c r="C1459" s="329"/>
      <c r="D1459" s="333"/>
      <c r="E1459" s="334"/>
      <c r="F1459" s="334"/>
      <c r="G1459" s="334"/>
      <c r="H1459" s="334"/>
      <c r="I1459" s="334"/>
      <c r="J1459" s="335"/>
      <c r="K1459" s="339"/>
      <c r="L1459" s="340"/>
      <c r="M1459" s="340"/>
      <c r="N1459" s="340"/>
      <c r="O1459" s="340"/>
      <c r="P1459" s="340"/>
      <c r="Q1459" s="340"/>
      <c r="R1459" s="340"/>
      <c r="S1459" s="340"/>
      <c r="T1459" s="340"/>
      <c r="U1459" s="340"/>
      <c r="V1459" s="340"/>
      <c r="W1459" s="340"/>
      <c r="X1459" s="340"/>
      <c r="Y1459" s="340"/>
      <c r="Z1459" s="340"/>
      <c r="AA1459" s="340"/>
      <c r="AB1459" s="340"/>
      <c r="AC1459" s="340"/>
      <c r="AD1459" s="340"/>
      <c r="AE1459" s="340"/>
      <c r="AF1459" s="340"/>
      <c r="AG1459" s="340"/>
      <c r="AH1459" s="341"/>
      <c r="AI1459" s="6"/>
    </row>
    <row r="1460" spans="1:35" x14ac:dyDescent="0.25">
      <c r="A1460" s="3"/>
      <c r="B1460" s="5" t="s">
        <v>11</v>
      </c>
      <c r="C1460" s="56">
        <v>0</v>
      </c>
      <c r="D1460" s="57">
        <v>0</v>
      </c>
      <c r="E1460" s="57">
        <v>0</v>
      </c>
      <c r="F1460" s="57">
        <v>0</v>
      </c>
      <c r="G1460" s="57">
        <v>0</v>
      </c>
      <c r="H1460" s="57">
        <v>0</v>
      </c>
      <c r="I1460" s="57">
        <v>0</v>
      </c>
      <c r="J1460" s="57">
        <v>0</v>
      </c>
      <c r="K1460" s="57">
        <v>0</v>
      </c>
      <c r="L1460" s="57">
        <v>0</v>
      </c>
      <c r="M1460" s="57">
        <v>0</v>
      </c>
      <c r="N1460" s="57">
        <v>0</v>
      </c>
      <c r="O1460" s="57">
        <v>0</v>
      </c>
      <c r="P1460" s="57">
        <v>0</v>
      </c>
      <c r="Q1460" s="57">
        <v>0</v>
      </c>
      <c r="R1460" s="57">
        <v>0</v>
      </c>
      <c r="S1460" s="57">
        <v>0</v>
      </c>
      <c r="T1460" s="57">
        <v>0</v>
      </c>
      <c r="U1460" s="57">
        <v>0</v>
      </c>
      <c r="V1460" s="57">
        <v>0</v>
      </c>
      <c r="W1460" s="57">
        <v>0</v>
      </c>
      <c r="X1460" s="57">
        <v>0</v>
      </c>
      <c r="Y1460" s="57">
        <v>0</v>
      </c>
      <c r="Z1460" s="57">
        <v>0</v>
      </c>
      <c r="AA1460" s="57">
        <v>0</v>
      </c>
      <c r="AB1460" s="57">
        <v>0</v>
      </c>
      <c r="AC1460" s="57">
        <v>0</v>
      </c>
      <c r="AD1460" s="57">
        <v>0</v>
      </c>
      <c r="AE1460" s="57">
        <v>0</v>
      </c>
      <c r="AF1460" s="57">
        <v>0</v>
      </c>
      <c r="AG1460" s="57">
        <v>0</v>
      </c>
      <c r="AH1460" s="58">
        <v>0</v>
      </c>
      <c r="AI1460" s="6"/>
    </row>
    <row r="1461" spans="1:35" ht="15.75" thickBot="1" x14ac:dyDescent="0.3">
      <c r="A1461" s="3"/>
      <c r="B1461" s="5" t="s">
        <v>12</v>
      </c>
      <c r="C1461" s="145">
        <v>0</v>
      </c>
      <c r="D1461" s="88">
        <v>0</v>
      </c>
      <c r="E1461" s="88">
        <v>0</v>
      </c>
      <c r="F1461" s="88">
        <v>0</v>
      </c>
      <c r="G1461" s="88">
        <v>0</v>
      </c>
      <c r="H1461" s="88">
        <v>0</v>
      </c>
      <c r="I1461" s="88">
        <v>0</v>
      </c>
      <c r="J1461" s="88">
        <v>0</v>
      </c>
      <c r="K1461" s="62">
        <v>0</v>
      </c>
      <c r="L1461" s="62">
        <v>0</v>
      </c>
      <c r="M1461" s="62">
        <v>0</v>
      </c>
      <c r="N1461" s="62">
        <v>0</v>
      </c>
      <c r="O1461" s="62">
        <v>0</v>
      </c>
      <c r="P1461" s="62">
        <v>0</v>
      </c>
      <c r="Q1461" s="62">
        <v>0</v>
      </c>
      <c r="R1461" s="62">
        <v>0</v>
      </c>
      <c r="S1461" s="62">
        <v>0</v>
      </c>
      <c r="T1461" s="62">
        <v>0</v>
      </c>
      <c r="U1461" s="62">
        <v>0</v>
      </c>
      <c r="V1461" s="62">
        <v>0</v>
      </c>
      <c r="W1461" s="62">
        <v>0</v>
      </c>
      <c r="X1461" s="62">
        <v>0</v>
      </c>
      <c r="Y1461" s="62">
        <v>0</v>
      </c>
      <c r="Z1461" s="62">
        <v>0</v>
      </c>
      <c r="AA1461" s="62">
        <v>0</v>
      </c>
      <c r="AB1461" s="62">
        <v>0</v>
      </c>
      <c r="AC1461" s="62">
        <v>0</v>
      </c>
      <c r="AD1461" s="62">
        <v>0</v>
      </c>
      <c r="AE1461" s="62">
        <v>0</v>
      </c>
      <c r="AF1461" s="62">
        <v>0</v>
      </c>
      <c r="AG1461" s="62">
        <v>0</v>
      </c>
      <c r="AH1461" s="146">
        <v>0</v>
      </c>
      <c r="AI1461" s="6"/>
    </row>
    <row r="1462" spans="1:35" x14ac:dyDescent="0.25">
      <c r="A1462" s="3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5"/>
      <c r="AI1462" s="6"/>
    </row>
    <row r="1463" spans="1:35" ht="15.75" thickBot="1" x14ac:dyDescent="0.3">
      <c r="A1463" s="3"/>
      <c r="B1463" s="5"/>
      <c r="C1463" s="7">
        <v>32</v>
      </c>
      <c r="D1463" s="7">
        <v>33</v>
      </c>
      <c r="E1463" s="7">
        <v>34</v>
      </c>
      <c r="F1463" s="7">
        <v>35</v>
      </c>
      <c r="G1463" s="7">
        <v>36</v>
      </c>
      <c r="H1463" s="7">
        <v>37</v>
      </c>
      <c r="I1463" s="7">
        <v>38</v>
      </c>
      <c r="J1463" s="7">
        <v>39</v>
      </c>
      <c r="K1463" s="7">
        <v>40</v>
      </c>
      <c r="L1463" s="7">
        <v>41</v>
      </c>
      <c r="M1463" s="7">
        <v>42</v>
      </c>
      <c r="N1463" s="7">
        <v>43</v>
      </c>
      <c r="O1463" s="7">
        <v>44</v>
      </c>
      <c r="P1463" s="7">
        <v>45</v>
      </c>
      <c r="Q1463" s="7">
        <v>46</v>
      </c>
      <c r="R1463" s="7">
        <v>47</v>
      </c>
      <c r="S1463" s="7">
        <v>48</v>
      </c>
      <c r="T1463" s="7">
        <v>49</v>
      </c>
      <c r="U1463" s="7">
        <v>50</v>
      </c>
      <c r="V1463" s="7">
        <v>51</v>
      </c>
      <c r="W1463" s="7">
        <v>52</v>
      </c>
      <c r="X1463" s="7">
        <v>53</v>
      </c>
      <c r="Y1463" s="7">
        <v>54</v>
      </c>
      <c r="Z1463" s="7">
        <v>55</v>
      </c>
      <c r="AA1463" s="7">
        <v>56</v>
      </c>
      <c r="AB1463" s="7">
        <v>57</v>
      </c>
      <c r="AC1463" s="7">
        <v>58</v>
      </c>
      <c r="AD1463" s="7">
        <v>59</v>
      </c>
      <c r="AE1463" s="7">
        <v>60</v>
      </c>
      <c r="AF1463" s="7">
        <v>61</v>
      </c>
      <c r="AG1463" s="7">
        <v>62</v>
      </c>
      <c r="AH1463" s="7">
        <v>63</v>
      </c>
      <c r="AI1463" s="6"/>
    </row>
    <row r="1464" spans="1:35" ht="15.75" thickBot="1" x14ac:dyDescent="0.3">
      <c r="A1464" s="3"/>
      <c r="B1464" s="5"/>
      <c r="C1464" s="147" t="s">
        <v>13</v>
      </c>
      <c r="D1464" s="148" t="s">
        <v>14</v>
      </c>
      <c r="E1464" s="148" t="s">
        <v>15</v>
      </c>
      <c r="F1464" s="148" t="s">
        <v>16</v>
      </c>
      <c r="G1464" s="148" t="s">
        <v>17</v>
      </c>
      <c r="H1464" s="148" t="s">
        <v>18</v>
      </c>
      <c r="I1464" s="148" t="s">
        <v>19</v>
      </c>
      <c r="J1464" s="148" t="s">
        <v>20</v>
      </c>
      <c r="K1464" s="148" t="s">
        <v>21</v>
      </c>
      <c r="L1464" s="148" t="s">
        <v>22</v>
      </c>
      <c r="M1464" s="148" t="s">
        <v>23</v>
      </c>
      <c r="N1464" s="148" t="s">
        <v>24</v>
      </c>
      <c r="O1464" s="148" t="s">
        <v>25</v>
      </c>
      <c r="P1464" s="148" t="s">
        <v>26</v>
      </c>
      <c r="Q1464" s="148" t="s">
        <v>27</v>
      </c>
      <c r="R1464" s="342" t="s">
        <v>30</v>
      </c>
      <c r="S1464" s="343"/>
      <c r="T1464" s="343"/>
      <c r="U1464" s="343"/>
      <c r="V1464" s="343"/>
      <c r="W1464" s="343"/>
      <c r="X1464" s="343"/>
      <c r="Y1464" s="343"/>
      <c r="Z1464" s="343"/>
      <c r="AA1464" s="343"/>
      <c r="AB1464" s="343"/>
      <c r="AC1464" s="343"/>
      <c r="AD1464" s="343"/>
      <c r="AE1464" s="343"/>
      <c r="AF1464" s="344"/>
      <c r="AG1464" s="67" t="s">
        <v>28</v>
      </c>
      <c r="AH1464" s="149" t="s">
        <v>29</v>
      </c>
      <c r="AI1464" s="6"/>
    </row>
    <row r="1465" spans="1:35" ht="15.75" thickBot="1" x14ac:dyDescent="0.3">
      <c r="A1465" s="3"/>
      <c r="B1465" s="5"/>
      <c r="C1465" s="150">
        <v>0</v>
      </c>
      <c r="D1465" s="151">
        <v>0</v>
      </c>
      <c r="E1465" s="151">
        <v>0</v>
      </c>
      <c r="F1465" s="151">
        <v>0</v>
      </c>
      <c r="G1465" s="151">
        <v>0</v>
      </c>
      <c r="H1465" s="151">
        <v>0</v>
      </c>
      <c r="I1465" s="151">
        <v>0</v>
      </c>
      <c r="J1465" s="151">
        <v>0</v>
      </c>
      <c r="K1465" s="151">
        <v>0</v>
      </c>
      <c r="L1465" s="151">
        <v>0</v>
      </c>
      <c r="M1465" s="151">
        <v>0</v>
      </c>
      <c r="N1465" s="151">
        <v>0</v>
      </c>
      <c r="O1465" s="151">
        <v>1</v>
      </c>
      <c r="P1465" s="151">
        <v>0</v>
      </c>
      <c r="Q1465" s="151">
        <v>0</v>
      </c>
      <c r="R1465" s="151">
        <v>0</v>
      </c>
      <c r="S1465" s="151">
        <v>0</v>
      </c>
      <c r="T1465" s="151">
        <v>0</v>
      </c>
      <c r="U1465" s="151">
        <v>0</v>
      </c>
      <c r="V1465" s="151">
        <v>0</v>
      </c>
      <c r="W1465" s="151">
        <v>0</v>
      </c>
      <c r="X1465" s="151">
        <v>1</v>
      </c>
      <c r="Y1465" s="151">
        <v>1</v>
      </c>
      <c r="Z1465" s="151">
        <v>0</v>
      </c>
      <c r="AA1465" s="151">
        <v>1</v>
      </c>
      <c r="AB1465" s="151">
        <v>0</v>
      </c>
      <c r="AC1465" s="151">
        <v>0</v>
      </c>
      <c r="AD1465" s="151">
        <v>1</v>
      </c>
      <c r="AE1465" s="151">
        <v>0</v>
      </c>
      <c r="AF1465" s="151">
        <v>1</v>
      </c>
      <c r="AG1465" s="151">
        <v>0</v>
      </c>
      <c r="AH1465" s="152">
        <v>0</v>
      </c>
      <c r="AI1465" s="6"/>
    </row>
    <row r="1466" spans="1:35" x14ac:dyDescent="0.25">
      <c r="A1466" s="3"/>
      <c r="B1466" s="4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5"/>
      <c r="AI1466" s="6"/>
    </row>
    <row r="1467" spans="1:35" x14ac:dyDescent="0.25">
      <c r="A1467" s="3"/>
      <c r="B1467" s="8" t="s">
        <v>43</v>
      </c>
      <c r="C1467" s="9"/>
      <c r="D1467" s="9"/>
      <c r="E1467" s="9"/>
      <c r="F1467" s="44" t="s">
        <v>44</v>
      </c>
      <c r="G1467" s="44"/>
      <c r="H1467" s="44"/>
      <c r="I1467" s="9"/>
      <c r="J1467" s="45" t="s">
        <v>45</v>
      </c>
      <c r="K1467" s="45"/>
      <c r="L1467" s="45"/>
      <c r="M1467" s="45"/>
      <c r="N1467" s="9"/>
      <c r="O1467" s="46" t="s">
        <v>46</v>
      </c>
      <c r="P1467" s="46"/>
      <c r="Q1467" s="46"/>
      <c r="R1467" s="46"/>
      <c r="S1467" s="9"/>
      <c r="T1467" s="1" t="s">
        <v>49</v>
      </c>
      <c r="U1467" s="10" t="s">
        <v>48</v>
      </c>
      <c r="V1467" s="5"/>
      <c r="W1467" s="9"/>
      <c r="X1467" s="9"/>
      <c r="Y1467" s="9"/>
      <c r="Z1467" s="9"/>
      <c r="AA1467" s="9"/>
      <c r="AB1467" s="9"/>
      <c r="AC1467" s="9"/>
      <c r="AD1467" s="9"/>
      <c r="AE1467" s="9"/>
      <c r="AF1467" s="9"/>
      <c r="AG1467" s="9"/>
      <c r="AH1467" s="9"/>
      <c r="AI1467" s="6"/>
    </row>
    <row r="1468" spans="1:35" ht="15" customHeight="1" x14ac:dyDescent="0.25">
      <c r="A1468" s="3"/>
      <c r="B1468" s="42" t="str">
        <f>"0x"&amp;DEC2HEX(Sheet3!$I$4,8)</f>
        <v>0x00400320</v>
      </c>
      <c r="C1468" s="42"/>
      <c r="D1468" s="42"/>
      <c r="E1468" s="12"/>
      <c r="F1468" s="319" t="str">
        <f>"0x"&amp;BIN2HEX(CONCATENATE(C1461,D1461,E1461,F1461,G1461,H1461,I1461,J1461),2)&amp;BIN2HEX(CONCATENATE(K1461,L1461,M1461,N1461,O1461,P1461,Q1461,R1461),2)&amp;BIN2HEX(CONCATENATE(S1461,T1461,U1461,V1461,W1461,X1461,Y1461,Z1461),2)&amp;BIN2HEX(CONCATENATE(AA1461,AB1461,AC1461,AD1461,AE1461,AF1461,AG1461,AH1461),2)</f>
        <v>0x00000000</v>
      </c>
      <c r="G1468" s="319"/>
      <c r="H1468" s="319"/>
      <c r="I1468" s="12"/>
      <c r="J1468" s="319" t="str">
        <f>"0b"&amp;C1465&amp;D1465&amp;E1465&amp;F1465&amp;G1465&amp;H1465&amp;I1465&amp;J1465&amp;K1465&amp;L1465&amp;M1465&amp;N1465&amp;O1465&amp;P1465&amp;Q1465</f>
        <v>0b000000000000100</v>
      </c>
      <c r="K1468" s="319"/>
      <c r="L1468" s="319"/>
      <c r="M1468" s="319"/>
      <c r="N1468" s="12"/>
      <c r="O1468" s="319" t="str">
        <f>"0b"&amp;DEC2BIN(((AF1465+AE1465*2+AD1465*4+AC1465*8+AB1465*16+AA1465*32+Z1465*64+Y1465*128+X1465*256+W1465*512+V1465*1024+U1465*2048+T1465*4096+S1465*2^13+R1465*2^14)/512),6)&amp;DEC2BIN(MOD((AF1465+AE1465*2+AD1465*4+AC1465*8+AB1465*16+AA1465*32+Z1465*64+Y1465*128+X1465*256+W1465*512+V1465*1024+U1465*2048+T1465*4096+S1465*2^13+R1465*2^14),512),9)</f>
        <v>0b000000110100101</v>
      </c>
      <c r="P1468" s="319"/>
      <c r="Q1468" s="319"/>
      <c r="R1468" s="319"/>
      <c r="S1468" s="12"/>
      <c r="T1468" s="13">
        <v>0</v>
      </c>
      <c r="U1468" s="13">
        <f>AH1465</f>
        <v>0</v>
      </c>
      <c r="V1468" s="5"/>
      <c r="W1468" s="14"/>
      <c r="X1468" s="14"/>
      <c r="Y1468" s="14"/>
      <c r="Z1468" s="14"/>
      <c r="AA1468" s="14"/>
      <c r="AB1468" s="14"/>
      <c r="AC1468" s="14"/>
      <c r="AD1468" s="14"/>
      <c r="AE1468" s="14"/>
      <c r="AF1468" s="14"/>
      <c r="AG1468" s="14"/>
      <c r="AH1468" s="14"/>
      <c r="AI1468" s="6"/>
    </row>
    <row r="1469" spans="1:35" x14ac:dyDescent="0.25">
      <c r="A1469" s="3"/>
      <c r="B1469" s="42"/>
      <c r="C1469" s="42"/>
      <c r="D1469" s="42"/>
      <c r="E1469" s="15"/>
      <c r="F1469" s="43"/>
      <c r="G1469" s="43"/>
      <c r="H1469" s="43"/>
      <c r="I1469" s="15"/>
      <c r="J1469" s="42"/>
      <c r="K1469" s="42"/>
      <c r="L1469" s="42"/>
      <c r="M1469" s="42"/>
      <c r="N1469" s="15"/>
      <c r="O1469" s="42"/>
      <c r="P1469" s="42"/>
      <c r="Q1469" s="42"/>
      <c r="R1469" s="42"/>
      <c r="S1469" s="15"/>
      <c r="T1469" s="13"/>
      <c r="U1469" s="15"/>
      <c r="V1469" s="5"/>
      <c r="W1469" s="16"/>
      <c r="X1469" s="16"/>
      <c r="Y1469" s="16"/>
      <c r="Z1469" s="16"/>
      <c r="AA1469" s="16"/>
      <c r="AB1469" s="16"/>
      <c r="AC1469" s="16"/>
      <c r="AD1469" s="16"/>
      <c r="AE1469" s="16"/>
      <c r="AF1469" s="16"/>
      <c r="AG1469" s="16"/>
      <c r="AH1469" s="16"/>
      <c r="AI1469" s="6"/>
    </row>
    <row r="1470" spans="1:35" x14ac:dyDescent="0.25">
      <c r="A1470" s="3"/>
      <c r="B1470" s="42"/>
      <c r="C1470" s="42"/>
      <c r="D1470" s="42"/>
      <c r="E1470" s="15"/>
      <c r="F1470" s="43"/>
      <c r="G1470" s="43"/>
      <c r="H1470" s="43"/>
      <c r="I1470" s="15"/>
      <c r="J1470" s="42"/>
      <c r="K1470" s="42"/>
      <c r="L1470" s="42"/>
      <c r="M1470" s="42"/>
      <c r="N1470" s="15"/>
      <c r="O1470" s="42"/>
      <c r="P1470" s="42"/>
      <c r="Q1470" s="42"/>
      <c r="R1470" s="42"/>
      <c r="S1470" s="15"/>
      <c r="T1470" s="13"/>
      <c r="U1470" s="15"/>
      <c r="V1470" s="5"/>
      <c r="W1470" s="16"/>
      <c r="X1470" s="16"/>
      <c r="Y1470" s="16"/>
      <c r="Z1470" s="16"/>
      <c r="AA1470" s="16"/>
      <c r="AB1470" s="16"/>
      <c r="AC1470" s="16"/>
      <c r="AD1470" s="16"/>
      <c r="AE1470" s="16"/>
      <c r="AF1470" s="16"/>
      <c r="AG1470" s="16"/>
      <c r="AH1470" s="16"/>
      <c r="AI1470" s="6"/>
    </row>
    <row r="1471" spans="1:35" x14ac:dyDescent="0.25">
      <c r="A1471" s="3"/>
      <c r="B1471" s="5"/>
      <c r="C1471" s="5"/>
      <c r="D1471" s="5"/>
      <c r="E1471" s="5"/>
      <c r="F1471" s="17"/>
      <c r="G1471" s="17"/>
      <c r="H1471" s="17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5"/>
      <c r="AI1471" s="6"/>
    </row>
    <row r="1472" spans="1:35" x14ac:dyDescent="0.25">
      <c r="A1472" s="3"/>
      <c r="B1472" s="5" t="s">
        <v>47</v>
      </c>
      <c r="C1472" s="18"/>
      <c r="D1472" s="18"/>
      <c r="E1472" s="18"/>
      <c r="F1472" s="5"/>
      <c r="G1472" s="5"/>
      <c r="H1472" s="5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  <c r="AB1472" s="18"/>
      <c r="AC1472" s="18"/>
      <c r="AD1472" s="18"/>
      <c r="AE1472" s="18"/>
      <c r="AF1472" s="18"/>
      <c r="AG1472" s="18"/>
      <c r="AH1472" s="18"/>
      <c r="AI1472" s="6"/>
    </row>
    <row r="1473" spans="1:35" ht="15" customHeight="1" x14ac:dyDescent="0.25">
      <c r="A1473" s="3"/>
      <c r="B1473" s="42" t="str">
        <f>"0x"&amp;DEC2HEX(Sheet3!$I$4,8)</f>
        <v>0x00400320</v>
      </c>
      <c r="C1473" s="42"/>
      <c r="D1473" s="42"/>
      <c r="E1473" s="16"/>
      <c r="F1473" s="322" t="str">
        <f>F1468&amp;BIN2HEX(MID(J1468,3,8),2)&amp;BIN2HEX(RIGHT(J1468,7)&amp;MID(O1468,3,1),2)&amp;BIN2HEX(MID(O1468,4,8),2)&amp;BIN2HEX(RIGHT(O1468,6)&amp;T1468&amp;U1468,2)</f>
        <v>0x0000000000080694</v>
      </c>
      <c r="G1473" s="322"/>
      <c r="H1473" s="322"/>
      <c r="I1473" s="322"/>
      <c r="J1473" s="5"/>
      <c r="K1473" s="5"/>
      <c r="L1473" s="5"/>
      <c r="M1473" s="5"/>
      <c r="N1473" s="5"/>
      <c r="O1473" s="5"/>
      <c r="P1473" s="16"/>
      <c r="Q1473" s="16"/>
      <c r="R1473" s="19"/>
      <c r="S1473" s="19"/>
      <c r="T1473" s="19"/>
      <c r="U1473" s="19"/>
      <c r="V1473" s="19"/>
      <c r="W1473" s="19"/>
      <c r="X1473" s="19"/>
      <c r="Y1473" s="19"/>
      <c r="Z1473" s="19"/>
      <c r="AA1473" s="19"/>
      <c r="AB1473" s="19"/>
      <c r="AC1473" s="19"/>
      <c r="AD1473" s="19"/>
      <c r="AE1473" s="19"/>
      <c r="AF1473" s="19"/>
      <c r="AG1473" s="5"/>
      <c r="AH1473" s="5"/>
      <c r="AI1473" s="6"/>
    </row>
    <row r="1474" spans="1:35" x14ac:dyDescent="0.25">
      <c r="A1474" s="3"/>
      <c r="B1474" s="37"/>
      <c r="C1474" s="37"/>
      <c r="D1474" s="37"/>
      <c r="E1474" s="5"/>
      <c r="F1474" s="38"/>
      <c r="G1474" s="38"/>
      <c r="H1474" s="38"/>
      <c r="I1474" s="38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5"/>
      <c r="AI1474" s="6"/>
    </row>
    <row r="1475" spans="1:35" x14ac:dyDescent="0.25">
      <c r="A1475" s="3"/>
      <c r="B1475" s="37"/>
      <c r="C1475" s="37"/>
      <c r="D1475" s="37"/>
      <c r="E1475" s="5"/>
      <c r="F1475" s="38"/>
      <c r="G1475" s="38"/>
      <c r="H1475" s="38"/>
      <c r="I1475" s="38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5"/>
      <c r="AI1475" s="6"/>
    </row>
    <row r="1476" spans="1:35" x14ac:dyDescent="0.25">
      <c r="A1476" s="20"/>
      <c r="B1476" s="21"/>
      <c r="C1476" s="21"/>
      <c r="D1476" s="21"/>
      <c r="E1476" s="21"/>
      <c r="F1476" s="21"/>
      <c r="G1476" s="21"/>
      <c r="H1476" s="21"/>
      <c r="I1476" s="21"/>
      <c r="J1476" s="21"/>
      <c r="K1476" s="21"/>
      <c r="L1476" s="21"/>
      <c r="M1476" s="21"/>
      <c r="N1476" s="21"/>
      <c r="O1476" s="22"/>
      <c r="P1476" s="21"/>
      <c r="Q1476" s="21"/>
      <c r="R1476" s="21"/>
      <c r="S1476" s="21"/>
      <c r="T1476" s="21"/>
      <c r="U1476" s="21"/>
      <c r="V1476" s="21"/>
      <c r="W1476" s="21"/>
      <c r="X1476" s="21"/>
      <c r="Y1476" s="21"/>
      <c r="Z1476" s="21"/>
      <c r="AA1476" s="21"/>
      <c r="AB1476" s="21"/>
      <c r="AC1476" s="21"/>
      <c r="AD1476" s="21"/>
      <c r="AE1476" s="21"/>
      <c r="AF1476" s="21"/>
      <c r="AG1476" s="21"/>
      <c r="AH1476" s="21"/>
      <c r="AI1476" s="23"/>
    </row>
    <row r="1477" spans="1:35" x14ac:dyDescent="0.25">
      <c r="A1477" s="24"/>
      <c r="B1477" s="28"/>
      <c r="C1477" s="25"/>
      <c r="D1477" s="25"/>
      <c r="E1477" s="25"/>
      <c r="F1477" s="25"/>
      <c r="G1477" s="25"/>
      <c r="H1477" s="25"/>
      <c r="I1477" s="25"/>
      <c r="J1477" s="25"/>
      <c r="K1477" s="25"/>
      <c r="L1477" s="25"/>
      <c r="M1477" s="25"/>
      <c r="N1477" s="25"/>
      <c r="O1477" s="25"/>
      <c r="P1477" s="25"/>
      <c r="Q1477" s="25"/>
      <c r="R1477" s="25"/>
      <c r="S1477" s="25"/>
      <c r="T1477" s="25"/>
      <c r="U1477" s="25"/>
      <c r="V1477" s="25"/>
      <c r="W1477" s="25"/>
      <c r="X1477" s="25"/>
      <c r="Y1477" s="25"/>
      <c r="Z1477" s="25"/>
      <c r="AA1477" s="25"/>
      <c r="AB1477" s="25"/>
      <c r="AC1477" s="25"/>
      <c r="AD1477" s="25"/>
      <c r="AE1477" s="25"/>
      <c r="AF1477" s="25"/>
      <c r="AG1477" s="25"/>
      <c r="AH1477" s="25"/>
      <c r="AI1477" s="26"/>
    </row>
    <row r="1478" spans="1:35" x14ac:dyDescent="0.25">
      <c r="A1478" s="3"/>
      <c r="B1478" s="4" t="s">
        <v>199</v>
      </c>
      <c r="C1478" s="5"/>
      <c r="D1478" s="5"/>
      <c r="E1478" s="5"/>
      <c r="F1478" s="5"/>
      <c r="G1478" s="5"/>
      <c r="H1478" s="5"/>
      <c r="I1478" s="5" t="str">
        <f>"0x"&amp;BIN2HEX(CONCATENATE(C1483,D1483,E1483,F1483,G1483,H1483,I1483,J1483),2)&amp;BIN2HEX(CONCATENATE(K1483,L1483,M1483,N1483,O1483,P1483,Q1483,R1483),2)&amp;BIN2HEX(CONCATENATE(S1483,T1483,U1483,V1483,W1483,X1483,Y1483,Z1483),2)&amp;BIN2HEX(CONCATENATE(AA1483,AB1483,AC1483,AD1483,AE1483,AF1483,AG1483,AH1483),2)&amp;"_"&amp;BIN2HEX(CONCATENATE(C1487,D1487,E1487,F1487,G1487,H1487,I1487,J1487),2)&amp;BIN2HEX(CONCATENATE(K1487,L1487,M1487,N1487,O1487,P1487,Q1487,R1487),2)&amp;BIN2HEX(CONCATENATE(S1487,T1487,U1487,V1487,W1487,X1487,Y1487,Z1487),2)&amp;BIN2HEX(CONCATENATE(AA1487,AB1487,AC1487,AD1487,AE1487,AF1487,AG1487,AH1487),2)</f>
        <v>0x00000000_00080698</v>
      </c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5"/>
      <c r="AI1478" s="6"/>
    </row>
    <row r="1479" spans="1:35" ht="15.75" thickBot="1" x14ac:dyDescent="0.3">
      <c r="A1479" s="3"/>
      <c r="B1479" s="5"/>
      <c r="C1479" s="7">
        <v>0</v>
      </c>
      <c r="D1479" s="7">
        <v>1</v>
      </c>
      <c r="E1479" s="7">
        <v>2</v>
      </c>
      <c r="F1479" s="7">
        <v>3</v>
      </c>
      <c r="G1479" s="7">
        <v>4</v>
      </c>
      <c r="H1479" s="7">
        <v>5</v>
      </c>
      <c r="I1479" s="7">
        <v>6</v>
      </c>
      <c r="J1479" s="7">
        <v>7</v>
      </c>
      <c r="K1479" s="7">
        <v>8</v>
      </c>
      <c r="L1479" s="7">
        <v>9</v>
      </c>
      <c r="M1479" s="7">
        <v>10</v>
      </c>
      <c r="N1479" s="7">
        <v>11</v>
      </c>
      <c r="O1479" s="7">
        <v>12</v>
      </c>
      <c r="P1479" s="7">
        <v>13</v>
      </c>
      <c r="Q1479" s="7">
        <v>14</v>
      </c>
      <c r="R1479" s="7">
        <v>15</v>
      </c>
      <c r="S1479" s="7">
        <v>16</v>
      </c>
      <c r="T1479" s="7">
        <v>17</v>
      </c>
      <c r="U1479" s="7">
        <v>18</v>
      </c>
      <c r="V1479" s="7">
        <v>19</v>
      </c>
      <c r="W1479" s="7">
        <v>20</v>
      </c>
      <c r="X1479" s="7">
        <v>21</v>
      </c>
      <c r="Y1479" s="7">
        <v>22</v>
      </c>
      <c r="Z1479" s="7">
        <v>23</v>
      </c>
      <c r="AA1479" s="7">
        <v>24</v>
      </c>
      <c r="AB1479" s="7">
        <v>25</v>
      </c>
      <c r="AC1479" s="7">
        <v>26</v>
      </c>
      <c r="AD1479" s="7">
        <v>27</v>
      </c>
      <c r="AE1479" s="7">
        <v>28</v>
      </c>
      <c r="AF1479" s="7">
        <v>29</v>
      </c>
      <c r="AG1479" s="7">
        <v>30</v>
      </c>
      <c r="AH1479" s="7">
        <v>31</v>
      </c>
      <c r="AI1479" s="6"/>
    </row>
    <row r="1480" spans="1:35" x14ac:dyDescent="0.25">
      <c r="A1480" s="3"/>
      <c r="B1480" s="5" t="s">
        <v>31</v>
      </c>
      <c r="C1480" s="328" t="s">
        <v>161</v>
      </c>
      <c r="D1480" s="330" t="s">
        <v>63</v>
      </c>
      <c r="E1480" s="331"/>
      <c r="F1480" s="331"/>
      <c r="G1480" s="331"/>
      <c r="H1480" s="331"/>
      <c r="I1480" s="331"/>
      <c r="J1480" s="332"/>
      <c r="K1480" s="336">
        <v>0</v>
      </c>
      <c r="L1480" s="337"/>
      <c r="M1480" s="337"/>
      <c r="N1480" s="337"/>
      <c r="O1480" s="337"/>
      <c r="P1480" s="337"/>
      <c r="Q1480" s="337"/>
      <c r="R1480" s="337"/>
      <c r="S1480" s="337"/>
      <c r="T1480" s="337"/>
      <c r="U1480" s="337"/>
      <c r="V1480" s="337"/>
      <c r="W1480" s="337"/>
      <c r="X1480" s="337"/>
      <c r="Y1480" s="337"/>
      <c r="Z1480" s="337"/>
      <c r="AA1480" s="337"/>
      <c r="AB1480" s="337"/>
      <c r="AC1480" s="337"/>
      <c r="AD1480" s="337"/>
      <c r="AE1480" s="337"/>
      <c r="AF1480" s="337"/>
      <c r="AG1480" s="337"/>
      <c r="AH1480" s="338"/>
      <c r="AI1480" s="6"/>
    </row>
    <row r="1481" spans="1:35" x14ac:dyDescent="0.25">
      <c r="A1481" s="3"/>
      <c r="B1481" s="5" t="s">
        <v>32</v>
      </c>
      <c r="C1481" s="329"/>
      <c r="D1481" s="333"/>
      <c r="E1481" s="334"/>
      <c r="F1481" s="334"/>
      <c r="G1481" s="334"/>
      <c r="H1481" s="334"/>
      <c r="I1481" s="334"/>
      <c r="J1481" s="335"/>
      <c r="K1481" s="339"/>
      <c r="L1481" s="340"/>
      <c r="M1481" s="340"/>
      <c r="N1481" s="340"/>
      <c r="O1481" s="340"/>
      <c r="P1481" s="340"/>
      <c r="Q1481" s="340"/>
      <c r="R1481" s="340"/>
      <c r="S1481" s="340"/>
      <c r="T1481" s="340"/>
      <c r="U1481" s="340"/>
      <c r="V1481" s="340"/>
      <c r="W1481" s="340"/>
      <c r="X1481" s="340"/>
      <c r="Y1481" s="340"/>
      <c r="Z1481" s="340"/>
      <c r="AA1481" s="340"/>
      <c r="AB1481" s="340"/>
      <c r="AC1481" s="340"/>
      <c r="AD1481" s="340"/>
      <c r="AE1481" s="340"/>
      <c r="AF1481" s="340"/>
      <c r="AG1481" s="340"/>
      <c r="AH1481" s="341"/>
      <c r="AI1481" s="6"/>
    </row>
    <row r="1482" spans="1:35" x14ac:dyDescent="0.25">
      <c r="A1482" s="3"/>
      <c r="B1482" s="5" t="s">
        <v>11</v>
      </c>
      <c r="C1482" s="56">
        <v>0</v>
      </c>
      <c r="D1482" s="57">
        <v>0</v>
      </c>
      <c r="E1482" s="57">
        <v>0</v>
      </c>
      <c r="F1482" s="57">
        <v>0</v>
      </c>
      <c r="G1482" s="57">
        <v>0</v>
      </c>
      <c r="H1482" s="57">
        <v>0</v>
      </c>
      <c r="I1482" s="57">
        <v>0</v>
      </c>
      <c r="J1482" s="57">
        <v>0</v>
      </c>
      <c r="K1482" s="57">
        <v>0</v>
      </c>
      <c r="L1482" s="57">
        <v>0</v>
      </c>
      <c r="M1482" s="57">
        <v>0</v>
      </c>
      <c r="N1482" s="57">
        <v>0</v>
      </c>
      <c r="O1482" s="57">
        <v>0</v>
      </c>
      <c r="P1482" s="57">
        <v>0</v>
      </c>
      <c r="Q1482" s="57">
        <v>0</v>
      </c>
      <c r="R1482" s="57">
        <v>0</v>
      </c>
      <c r="S1482" s="57">
        <v>0</v>
      </c>
      <c r="T1482" s="57">
        <v>0</v>
      </c>
      <c r="U1482" s="57">
        <v>0</v>
      </c>
      <c r="V1482" s="57">
        <v>0</v>
      </c>
      <c r="W1482" s="57">
        <v>0</v>
      </c>
      <c r="X1482" s="57">
        <v>0</v>
      </c>
      <c r="Y1482" s="57">
        <v>0</v>
      </c>
      <c r="Z1482" s="57">
        <v>0</v>
      </c>
      <c r="AA1482" s="57">
        <v>0</v>
      </c>
      <c r="AB1482" s="57">
        <v>0</v>
      </c>
      <c r="AC1482" s="57">
        <v>0</v>
      </c>
      <c r="AD1482" s="57">
        <v>0</v>
      </c>
      <c r="AE1482" s="57">
        <v>0</v>
      </c>
      <c r="AF1482" s="57">
        <v>0</v>
      </c>
      <c r="AG1482" s="57">
        <v>0</v>
      </c>
      <c r="AH1482" s="58">
        <v>0</v>
      </c>
      <c r="AI1482" s="6"/>
    </row>
    <row r="1483" spans="1:35" ht="15.75" thickBot="1" x14ac:dyDescent="0.3">
      <c r="A1483" s="3"/>
      <c r="B1483" s="5" t="s">
        <v>12</v>
      </c>
      <c r="C1483" s="145">
        <v>0</v>
      </c>
      <c r="D1483" s="88">
        <v>0</v>
      </c>
      <c r="E1483" s="88">
        <v>0</v>
      </c>
      <c r="F1483" s="88">
        <v>0</v>
      </c>
      <c r="G1483" s="88">
        <v>0</v>
      </c>
      <c r="H1483" s="88">
        <v>0</v>
      </c>
      <c r="I1483" s="88">
        <v>0</v>
      </c>
      <c r="J1483" s="88">
        <v>0</v>
      </c>
      <c r="K1483" s="62">
        <v>0</v>
      </c>
      <c r="L1483" s="62">
        <v>0</v>
      </c>
      <c r="M1483" s="62">
        <v>0</v>
      </c>
      <c r="N1483" s="62">
        <v>0</v>
      </c>
      <c r="O1483" s="62">
        <v>0</v>
      </c>
      <c r="P1483" s="62">
        <v>0</v>
      </c>
      <c r="Q1483" s="62">
        <v>0</v>
      </c>
      <c r="R1483" s="62">
        <v>0</v>
      </c>
      <c r="S1483" s="62">
        <v>0</v>
      </c>
      <c r="T1483" s="62">
        <v>0</v>
      </c>
      <c r="U1483" s="62">
        <v>0</v>
      </c>
      <c r="V1483" s="62">
        <v>0</v>
      </c>
      <c r="W1483" s="62">
        <v>0</v>
      </c>
      <c r="X1483" s="62">
        <v>0</v>
      </c>
      <c r="Y1483" s="62">
        <v>0</v>
      </c>
      <c r="Z1483" s="62">
        <v>0</v>
      </c>
      <c r="AA1483" s="62">
        <v>0</v>
      </c>
      <c r="AB1483" s="62">
        <v>0</v>
      </c>
      <c r="AC1483" s="62">
        <v>0</v>
      </c>
      <c r="AD1483" s="62">
        <v>0</v>
      </c>
      <c r="AE1483" s="62">
        <v>0</v>
      </c>
      <c r="AF1483" s="62">
        <v>0</v>
      </c>
      <c r="AG1483" s="62">
        <v>0</v>
      </c>
      <c r="AH1483" s="146">
        <v>0</v>
      </c>
      <c r="AI1483" s="6"/>
    </row>
    <row r="1484" spans="1:35" x14ac:dyDescent="0.25">
      <c r="A1484" s="3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5"/>
      <c r="AI1484" s="6"/>
    </row>
    <row r="1485" spans="1:35" ht="15.75" thickBot="1" x14ac:dyDescent="0.3">
      <c r="A1485" s="3"/>
      <c r="B1485" s="5"/>
      <c r="C1485" s="7">
        <v>32</v>
      </c>
      <c r="D1485" s="7">
        <v>33</v>
      </c>
      <c r="E1485" s="7">
        <v>34</v>
      </c>
      <c r="F1485" s="7">
        <v>35</v>
      </c>
      <c r="G1485" s="7">
        <v>36</v>
      </c>
      <c r="H1485" s="7">
        <v>37</v>
      </c>
      <c r="I1485" s="7">
        <v>38</v>
      </c>
      <c r="J1485" s="7">
        <v>39</v>
      </c>
      <c r="K1485" s="7">
        <v>40</v>
      </c>
      <c r="L1485" s="7">
        <v>41</v>
      </c>
      <c r="M1485" s="7">
        <v>42</v>
      </c>
      <c r="N1485" s="7">
        <v>43</v>
      </c>
      <c r="O1485" s="7">
        <v>44</v>
      </c>
      <c r="P1485" s="7">
        <v>45</v>
      </c>
      <c r="Q1485" s="7">
        <v>46</v>
      </c>
      <c r="R1485" s="7">
        <v>47</v>
      </c>
      <c r="S1485" s="7">
        <v>48</v>
      </c>
      <c r="T1485" s="7">
        <v>49</v>
      </c>
      <c r="U1485" s="7">
        <v>50</v>
      </c>
      <c r="V1485" s="7">
        <v>51</v>
      </c>
      <c r="W1485" s="7">
        <v>52</v>
      </c>
      <c r="X1485" s="7">
        <v>53</v>
      </c>
      <c r="Y1485" s="7">
        <v>54</v>
      </c>
      <c r="Z1485" s="7">
        <v>55</v>
      </c>
      <c r="AA1485" s="7">
        <v>56</v>
      </c>
      <c r="AB1485" s="7">
        <v>57</v>
      </c>
      <c r="AC1485" s="7">
        <v>58</v>
      </c>
      <c r="AD1485" s="7">
        <v>59</v>
      </c>
      <c r="AE1485" s="7">
        <v>60</v>
      </c>
      <c r="AF1485" s="7">
        <v>61</v>
      </c>
      <c r="AG1485" s="7">
        <v>62</v>
      </c>
      <c r="AH1485" s="7">
        <v>63</v>
      </c>
      <c r="AI1485" s="6"/>
    </row>
    <row r="1486" spans="1:35" ht="15.75" thickBot="1" x14ac:dyDescent="0.3">
      <c r="A1486" s="3"/>
      <c r="B1486" s="5"/>
      <c r="C1486" s="147" t="s">
        <v>13</v>
      </c>
      <c r="D1486" s="148" t="s">
        <v>14</v>
      </c>
      <c r="E1486" s="148" t="s">
        <v>15</v>
      </c>
      <c r="F1486" s="148" t="s">
        <v>16</v>
      </c>
      <c r="G1486" s="148" t="s">
        <v>17</v>
      </c>
      <c r="H1486" s="148" t="s">
        <v>18</v>
      </c>
      <c r="I1486" s="148" t="s">
        <v>19</v>
      </c>
      <c r="J1486" s="148" t="s">
        <v>20</v>
      </c>
      <c r="K1486" s="148" t="s">
        <v>21</v>
      </c>
      <c r="L1486" s="148" t="s">
        <v>22</v>
      </c>
      <c r="M1486" s="148" t="s">
        <v>23</v>
      </c>
      <c r="N1486" s="148" t="s">
        <v>24</v>
      </c>
      <c r="O1486" s="148" t="s">
        <v>25</v>
      </c>
      <c r="P1486" s="148" t="s">
        <v>26</v>
      </c>
      <c r="Q1486" s="148" t="s">
        <v>27</v>
      </c>
      <c r="R1486" s="342" t="s">
        <v>30</v>
      </c>
      <c r="S1486" s="343"/>
      <c r="T1486" s="343"/>
      <c r="U1486" s="343"/>
      <c r="V1486" s="343"/>
      <c r="W1486" s="343"/>
      <c r="X1486" s="343"/>
      <c r="Y1486" s="343"/>
      <c r="Z1486" s="343"/>
      <c r="AA1486" s="343"/>
      <c r="AB1486" s="343"/>
      <c r="AC1486" s="343"/>
      <c r="AD1486" s="343"/>
      <c r="AE1486" s="343"/>
      <c r="AF1486" s="344"/>
      <c r="AG1486" s="67" t="s">
        <v>28</v>
      </c>
      <c r="AH1486" s="149" t="s">
        <v>29</v>
      </c>
      <c r="AI1486" s="6"/>
    </row>
    <row r="1487" spans="1:35" ht="15.75" thickBot="1" x14ac:dyDescent="0.3">
      <c r="A1487" s="3"/>
      <c r="B1487" s="5"/>
      <c r="C1487" s="150">
        <v>0</v>
      </c>
      <c r="D1487" s="151">
        <v>0</v>
      </c>
      <c r="E1487" s="151">
        <v>0</v>
      </c>
      <c r="F1487" s="151">
        <v>0</v>
      </c>
      <c r="G1487" s="151">
        <v>0</v>
      </c>
      <c r="H1487" s="151">
        <v>0</v>
      </c>
      <c r="I1487" s="151">
        <v>0</v>
      </c>
      <c r="J1487" s="151">
        <v>0</v>
      </c>
      <c r="K1487" s="151">
        <v>0</v>
      </c>
      <c r="L1487" s="151">
        <v>0</v>
      </c>
      <c r="M1487" s="151">
        <v>0</v>
      </c>
      <c r="N1487" s="151">
        <v>0</v>
      </c>
      <c r="O1487" s="151">
        <v>1</v>
      </c>
      <c r="P1487" s="151">
        <v>0</v>
      </c>
      <c r="Q1487" s="151">
        <v>0</v>
      </c>
      <c r="R1487" s="151">
        <v>0</v>
      </c>
      <c r="S1487" s="151">
        <v>0</v>
      </c>
      <c r="T1487" s="151">
        <v>0</v>
      </c>
      <c r="U1487" s="151">
        <v>0</v>
      </c>
      <c r="V1487" s="151">
        <v>0</v>
      </c>
      <c r="W1487" s="151">
        <v>0</v>
      </c>
      <c r="X1487" s="151">
        <v>1</v>
      </c>
      <c r="Y1487" s="151">
        <v>1</v>
      </c>
      <c r="Z1487" s="151">
        <v>0</v>
      </c>
      <c r="AA1487" s="151">
        <v>1</v>
      </c>
      <c r="AB1487" s="151">
        <v>0</v>
      </c>
      <c r="AC1487" s="151">
        <v>0</v>
      </c>
      <c r="AD1487" s="151">
        <v>1</v>
      </c>
      <c r="AE1487" s="151">
        <v>1</v>
      </c>
      <c r="AF1487" s="151">
        <v>0</v>
      </c>
      <c r="AG1487" s="151">
        <v>0</v>
      </c>
      <c r="AH1487" s="152">
        <v>0</v>
      </c>
      <c r="AI1487" s="6"/>
    </row>
    <row r="1488" spans="1:35" x14ac:dyDescent="0.25">
      <c r="A1488" s="3"/>
      <c r="B1488" s="4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5"/>
      <c r="AI1488" s="6"/>
    </row>
    <row r="1489" spans="1:35" x14ac:dyDescent="0.25">
      <c r="A1489" s="3"/>
      <c r="B1489" s="8" t="s">
        <v>43</v>
      </c>
      <c r="C1489" s="9"/>
      <c r="D1489" s="9"/>
      <c r="E1489" s="9"/>
      <c r="F1489" s="44" t="s">
        <v>44</v>
      </c>
      <c r="G1489" s="44"/>
      <c r="H1489" s="44"/>
      <c r="I1489" s="9"/>
      <c r="J1489" s="45" t="s">
        <v>45</v>
      </c>
      <c r="K1489" s="45"/>
      <c r="L1489" s="45"/>
      <c r="M1489" s="45"/>
      <c r="N1489" s="9"/>
      <c r="O1489" s="46" t="s">
        <v>46</v>
      </c>
      <c r="P1489" s="46"/>
      <c r="Q1489" s="46"/>
      <c r="R1489" s="46"/>
      <c r="S1489" s="9"/>
      <c r="T1489" s="1" t="s">
        <v>49</v>
      </c>
      <c r="U1489" s="10" t="s">
        <v>48</v>
      </c>
      <c r="V1489" s="5"/>
      <c r="W1489" s="9"/>
      <c r="X1489" s="9"/>
      <c r="Y1489" s="9"/>
      <c r="Z1489" s="9"/>
      <c r="AA1489" s="9"/>
      <c r="AB1489" s="9"/>
      <c r="AC1489" s="9"/>
      <c r="AD1489" s="9"/>
      <c r="AE1489" s="9"/>
      <c r="AF1489" s="9"/>
      <c r="AG1489" s="9"/>
      <c r="AH1489" s="9"/>
      <c r="AI1489" s="6"/>
    </row>
    <row r="1490" spans="1:35" ht="15" customHeight="1" x14ac:dyDescent="0.25">
      <c r="A1490" s="3"/>
      <c r="B1490" s="42" t="str">
        <f>"0x"&amp;DEC2HEX(Sheet3!$I$4,8)</f>
        <v>0x00400320</v>
      </c>
      <c r="C1490" s="42"/>
      <c r="D1490" s="42"/>
      <c r="E1490" s="12"/>
      <c r="F1490" s="319" t="str">
        <f>"0x"&amp;BIN2HEX(CONCATENATE(C1483,D1483,E1483,F1483,G1483,H1483,I1483,J1483),2)&amp;BIN2HEX(CONCATENATE(K1483,L1483,M1483,N1483,O1483,P1483,Q1483,R1483),2)&amp;BIN2HEX(CONCATENATE(S1483,T1483,U1483,V1483,W1483,X1483,Y1483,Z1483),2)&amp;BIN2HEX(CONCATENATE(AA1483,AB1483,AC1483,AD1483,AE1483,AF1483,AG1483,AH1483),2)</f>
        <v>0x00000000</v>
      </c>
      <c r="G1490" s="319"/>
      <c r="H1490" s="319"/>
      <c r="I1490" s="12"/>
      <c r="J1490" s="319" t="str">
        <f>"0b"&amp;C1487&amp;D1487&amp;E1487&amp;F1487&amp;G1487&amp;H1487&amp;I1487&amp;J1487&amp;K1487&amp;L1487&amp;M1487&amp;N1487&amp;O1487&amp;P1487&amp;Q1487</f>
        <v>0b000000000000100</v>
      </c>
      <c r="K1490" s="319"/>
      <c r="L1490" s="319"/>
      <c r="M1490" s="319"/>
      <c r="N1490" s="12"/>
      <c r="O1490" s="319" t="str">
        <f>"0b"&amp;DEC2BIN(((AF1487+AE1487*2+AD1487*4+AC1487*8+AB1487*16+AA1487*32+Z1487*64+Y1487*128+X1487*256+W1487*512+V1487*1024+U1487*2048+T1487*4096+S1487*2^13+R1487*2^14)/512),6)&amp;DEC2BIN(MOD((AF1487+AE1487*2+AD1487*4+AC1487*8+AB1487*16+AA1487*32+Z1487*64+Y1487*128+X1487*256+W1487*512+V1487*1024+U1487*2048+T1487*4096+S1487*2^13+R1487*2^14),512),9)</f>
        <v>0b000000110100110</v>
      </c>
      <c r="P1490" s="319"/>
      <c r="Q1490" s="319"/>
      <c r="R1490" s="319"/>
      <c r="S1490" s="12"/>
      <c r="T1490" s="13">
        <v>0</v>
      </c>
      <c r="U1490" s="13">
        <f>AH1487</f>
        <v>0</v>
      </c>
      <c r="V1490" s="5"/>
      <c r="W1490" s="14"/>
      <c r="X1490" s="14"/>
      <c r="Y1490" s="14"/>
      <c r="Z1490" s="14"/>
      <c r="AA1490" s="14"/>
      <c r="AB1490" s="14"/>
      <c r="AC1490" s="14"/>
      <c r="AD1490" s="14"/>
      <c r="AE1490" s="14"/>
      <c r="AF1490" s="14"/>
      <c r="AG1490" s="14"/>
      <c r="AH1490" s="14"/>
      <c r="AI1490" s="6"/>
    </row>
    <row r="1491" spans="1:35" x14ac:dyDescent="0.25">
      <c r="A1491" s="3"/>
      <c r="B1491" s="42"/>
      <c r="C1491" s="42"/>
      <c r="D1491" s="42"/>
      <c r="E1491" s="15"/>
      <c r="F1491" s="43"/>
      <c r="G1491" s="43"/>
      <c r="H1491" s="43"/>
      <c r="I1491" s="15"/>
      <c r="J1491" s="42"/>
      <c r="K1491" s="42"/>
      <c r="L1491" s="42"/>
      <c r="M1491" s="42"/>
      <c r="N1491" s="15"/>
      <c r="O1491" s="42"/>
      <c r="P1491" s="42"/>
      <c r="Q1491" s="42"/>
      <c r="R1491" s="42"/>
      <c r="S1491" s="15"/>
      <c r="T1491" s="13"/>
      <c r="U1491" s="15"/>
      <c r="V1491" s="5"/>
      <c r="W1491" s="16"/>
      <c r="X1491" s="16"/>
      <c r="Y1491" s="16"/>
      <c r="Z1491" s="16"/>
      <c r="AA1491" s="16"/>
      <c r="AB1491" s="16"/>
      <c r="AC1491" s="16"/>
      <c r="AD1491" s="16"/>
      <c r="AE1491" s="16"/>
      <c r="AF1491" s="16"/>
      <c r="AG1491" s="16"/>
      <c r="AH1491" s="16"/>
      <c r="AI1491" s="6"/>
    </row>
    <row r="1492" spans="1:35" x14ac:dyDescent="0.25">
      <c r="A1492" s="3"/>
      <c r="B1492" s="42"/>
      <c r="C1492" s="42"/>
      <c r="D1492" s="42"/>
      <c r="E1492" s="15"/>
      <c r="F1492" s="43"/>
      <c r="G1492" s="43"/>
      <c r="H1492" s="43"/>
      <c r="I1492" s="15"/>
      <c r="J1492" s="42"/>
      <c r="K1492" s="42"/>
      <c r="L1492" s="42"/>
      <c r="M1492" s="42"/>
      <c r="N1492" s="15"/>
      <c r="O1492" s="42"/>
      <c r="P1492" s="42"/>
      <c r="Q1492" s="42"/>
      <c r="R1492" s="42"/>
      <c r="S1492" s="15"/>
      <c r="T1492" s="13"/>
      <c r="U1492" s="15"/>
      <c r="V1492" s="5"/>
      <c r="W1492" s="16"/>
      <c r="X1492" s="16"/>
      <c r="Y1492" s="16"/>
      <c r="Z1492" s="16"/>
      <c r="AA1492" s="16"/>
      <c r="AB1492" s="16"/>
      <c r="AC1492" s="16"/>
      <c r="AD1492" s="16"/>
      <c r="AE1492" s="16"/>
      <c r="AF1492" s="16"/>
      <c r="AG1492" s="16"/>
      <c r="AH1492" s="16"/>
      <c r="AI1492" s="6"/>
    </row>
    <row r="1493" spans="1:35" x14ac:dyDescent="0.25">
      <c r="A1493" s="3"/>
      <c r="B1493" s="5"/>
      <c r="C1493" s="5"/>
      <c r="D1493" s="5"/>
      <c r="E1493" s="5"/>
      <c r="F1493" s="17"/>
      <c r="G1493" s="17"/>
      <c r="H1493" s="17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5"/>
      <c r="AI1493" s="6"/>
    </row>
    <row r="1494" spans="1:35" x14ac:dyDescent="0.25">
      <c r="A1494" s="3"/>
      <c r="B1494" s="5" t="s">
        <v>47</v>
      </c>
      <c r="C1494" s="18"/>
      <c r="D1494" s="18"/>
      <c r="E1494" s="18"/>
      <c r="F1494" s="5"/>
      <c r="G1494" s="5"/>
      <c r="H1494" s="5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  <c r="AB1494" s="18"/>
      <c r="AC1494" s="18"/>
      <c r="AD1494" s="18"/>
      <c r="AE1494" s="18"/>
      <c r="AF1494" s="18"/>
      <c r="AG1494" s="18"/>
      <c r="AH1494" s="18"/>
      <c r="AI1494" s="6"/>
    </row>
    <row r="1495" spans="1:35" ht="15" customHeight="1" x14ac:dyDescent="0.25">
      <c r="A1495" s="3"/>
      <c r="B1495" s="42" t="str">
        <f>"0x"&amp;DEC2HEX(Sheet3!$I$4,8)</f>
        <v>0x00400320</v>
      </c>
      <c r="C1495" s="42"/>
      <c r="D1495" s="42"/>
      <c r="E1495" s="16"/>
      <c r="F1495" s="322" t="str">
        <f>F1490&amp;BIN2HEX(MID(J1490,3,8),2)&amp;BIN2HEX(RIGHT(J1490,7)&amp;MID(O1490,3,1),2)&amp;BIN2HEX(MID(O1490,4,8),2)&amp;BIN2HEX(RIGHT(O1490,6)&amp;T1490&amp;U1490,2)</f>
        <v>0x0000000000080698</v>
      </c>
      <c r="G1495" s="322"/>
      <c r="H1495" s="322"/>
      <c r="I1495" s="322"/>
      <c r="J1495" s="5"/>
      <c r="K1495" s="5"/>
      <c r="L1495" s="5"/>
      <c r="M1495" s="5"/>
      <c r="N1495" s="5"/>
      <c r="O1495" s="5"/>
      <c r="P1495" s="16"/>
      <c r="Q1495" s="16"/>
      <c r="R1495" s="19"/>
      <c r="S1495" s="19"/>
      <c r="T1495" s="19"/>
      <c r="U1495" s="19"/>
      <c r="V1495" s="19"/>
      <c r="W1495" s="19"/>
      <c r="X1495" s="19"/>
      <c r="Y1495" s="19"/>
      <c r="Z1495" s="19"/>
      <c r="AA1495" s="19"/>
      <c r="AB1495" s="19"/>
      <c r="AC1495" s="19"/>
      <c r="AD1495" s="19"/>
      <c r="AE1495" s="19"/>
      <c r="AF1495" s="19"/>
      <c r="AG1495" s="5"/>
      <c r="AH1495" s="5"/>
      <c r="AI1495" s="6"/>
    </row>
    <row r="1496" spans="1:35" x14ac:dyDescent="0.25">
      <c r="A1496" s="3"/>
      <c r="B1496" s="37"/>
      <c r="C1496" s="37"/>
      <c r="D1496" s="37"/>
      <c r="E1496" s="5"/>
      <c r="F1496" s="38"/>
      <c r="G1496" s="38"/>
      <c r="H1496" s="38"/>
      <c r="I1496" s="38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5"/>
      <c r="AI1496" s="6"/>
    </row>
    <row r="1497" spans="1:35" x14ac:dyDescent="0.25">
      <c r="A1497" s="3"/>
      <c r="B1497" s="37"/>
      <c r="C1497" s="37"/>
      <c r="D1497" s="37"/>
      <c r="E1497" s="5"/>
      <c r="F1497" s="38"/>
      <c r="G1497" s="38"/>
      <c r="H1497" s="38"/>
      <c r="I1497" s="38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5"/>
      <c r="AI1497" s="6"/>
    </row>
    <row r="1498" spans="1:35" x14ac:dyDescent="0.25">
      <c r="A1498" s="20"/>
      <c r="B1498" s="21"/>
      <c r="C1498" s="21"/>
      <c r="D1498" s="21"/>
      <c r="E1498" s="21"/>
      <c r="F1498" s="21"/>
      <c r="G1498" s="21"/>
      <c r="H1498" s="21"/>
      <c r="I1498" s="21"/>
      <c r="J1498" s="21"/>
      <c r="K1498" s="21"/>
      <c r="L1498" s="21"/>
      <c r="M1498" s="21"/>
      <c r="N1498" s="21"/>
      <c r="O1498" s="22"/>
      <c r="P1498" s="21"/>
      <c r="Q1498" s="21"/>
      <c r="R1498" s="21"/>
      <c r="S1498" s="21"/>
      <c r="T1498" s="21"/>
      <c r="U1498" s="21"/>
      <c r="V1498" s="21"/>
      <c r="W1498" s="21"/>
      <c r="X1498" s="21"/>
      <c r="Y1498" s="21"/>
      <c r="Z1498" s="21"/>
      <c r="AA1498" s="21"/>
      <c r="AB1498" s="21"/>
      <c r="AC1498" s="21"/>
      <c r="AD1498" s="21"/>
      <c r="AE1498" s="21"/>
      <c r="AF1498" s="21"/>
      <c r="AG1498" s="21"/>
      <c r="AH1498" s="21"/>
      <c r="AI1498" s="23"/>
    </row>
    <row r="1499" spans="1:35" x14ac:dyDescent="0.25">
      <c r="A1499" s="24"/>
      <c r="B1499" s="28"/>
      <c r="C1499" s="25"/>
      <c r="D1499" s="25"/>
      <c r="E1499" s="25"/>
      <c r="F1499" s="25"/>
      <c r="G1499" s="25"/>
      <c r="H1499" s="25"/>
      <c r="I1499" s="25"/>
      <c r="J1499" s="25"/>
      <c r="K1499" s="25"/>
      <c r="L1499" s="25"/>
      <c r="M1499" s="25"/>
      <c r="N1499" s="25"/>
      <c r="O1499" s="25"/>
      <c r="P1499" s="25"/>
      <c r="Q1499" s="25"/>
      <c r="R1499" s="25"/>
      <c r="S1499" s="25"/>
      <c r="T1499" s="25"/>
      <c r="U1499" s="25"/>
      <c r="V1499" s="25"/>
      <c r="W1499" s="25"/>
      <c r="X1499" s="25"/>
      <c r="Y1499" s="25"/>
      <c r="Z1499" s="25"/>
      <c r="AA1499" s="25"/>
      <c r="AB1499" s="25"/>
      <c r="AC1499" s="25"/>
      <c r="AD1499" s="25"/>
      <c r="AE1499" s="25"/>
      <c r="AF1499" s="25"/>
      <c r="AG1499" s="25"/>
      <c r="AH1499" s="25"/>
      <c r="AI1499" s="26"/>
    </row>
    <row r="1500" spans="1:35" x14ac:dyDescent="0.25">
      <c r="A1500" s="3"/>
      <c r="B1500" s="4" t="s">
        <v>200</v>
      </c>
      <c r="C1500" s="5"/>
      <c r="D1500" s="5"/>
      <c r="E1500" s="5"/>
      <c r="F1500" s="5"/>
      <c r="G1500" s="5"/>
      <c r="H1500" s="5"/>
      <c r="I1500" s="5" t="str">
        <f>"0x"&amp;BIN2HEX(CONCATENATE(C1505,D1505,E1505,F1505,G1505,H1505,I1505,J1505),2)&amp;BIN2HEX(CONCATENATE(K1505,L1505,M1505,N1505,O1505,P1505,Q1505,R1505),2)&amp;BIN2HEX(CONCATENATE(S1505,T1505,U1505,V1505,W1505,X1505,Y1505,Z1505),2)&amp;BIN2HEX(CONCATENATE(AA1505,AB1505,AC1505,AD1505,AE1505,AF1505,AG1505,AH1505),2)&amp;"_"&amp;BIN2HEX(CONCATENATE(C1509,D1509,E1509,F1509,G1509,H1509,I1509,J1509),2)&amp;BIN2HEX(CONCATENATE(K1509,L1509,M1509,N1509,O1509,P1509,Q1509,R1509),2)&amp;BIN2HEX(CONCATENATE(S1509,T1509,U1509,V1509,W1509,X1509,Y1509,Z1509),2)&amp;BIN2HEX(CONCATENATE(AA1509,AB1509,AC1509,AD1509,AE1509,AF1509,AG1509,AH1509),2)</f>
        <v>0x00000000_0008069C</v>
      </c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5"/>
      <c r="AI1500" s="6"/>
    </row>
    <row r="1501" spans="1:35" ht="15.75" thickBot="1" x14ac:dyDescent="0.3">
      <c r="A1501" s="3"/>
      <c r="B1501" s="5"/>
      <c r="C1501" s="7">
        <v>0</v>
      </c>
      <c r="D1501" s="7">
        <v>1</v>
      </c>
      <c r="E1501" s="7">
        <v>2</v>
      </c>
      <c r="F1501" s="7">
        <v>3</v>
      </c>
      <c r="G1501" s="7">
        <v>4</v>
      </c>
      <c r="H1501" s="7">
        <v>5</v>
      </c>
      <c r="I1501" s="7">
        <v>6</v>
      </c>
      <c r="J1501" s="7">
        <v>7</v>
      </c>
      <c r="K1501" s="7">
        <v>8</v>
      </c>
      <c r="L1501" s="7">
        <v>9</v>
      </c>
      <c r="M1501" s="7">
        <v>10</v>
      </c>
      <c r="N1501" s="7">
        <v>11</v>
      </c>
      <c r="O1501" s="7">
        <v>12</v>
      </c>
      <c r="P1501" s="7">
        <v>13</v>
      </c>
      <c r="Q1501" s="7">
        <v>14</v>
      </c>
      <c r="R1501" s="7">
        <v>15</v>
      </c>
      <c r="S1501" s="7">
        <v>16</v>
      </c>
      <c r="T1501" s="7">
        <v>17</v>
      </c>
      <c r="U1501" s="7">
        <v>18</v>
      </c>
      <c r="V1501" s="7">
        <v>19</v>
      </c>
      <c r="W1501" s="7">
        <v>20</v>
      </c>
      <c r="X1501" s="7">
        <v>21</v>
      </c>
      <c r="Y1501" s="7">
        <v>22</v>
      </c>
      <c r="Z1501" s="7">
        <v>23</v>
      </c>
      <c r="AA1501" s="7">
        <v>24</v>
      </c>
      <c r="AB1501" s="7">
        <v>25</v>
      </c>
      <c r="AC1501" s="7">
        <v>26</v>
      </c>
      <c r="AD1501" s="7">
        <v>27</v>
      </c>
      <c r="AE1501" s="7">
        <v>28</v>
      </c>
      <c r="AF1501" s="7">
        <v>29</v>
      </c>
      <c r="AG1501" s="7">
        <v>30</v>
      </c>
      <c r="AH1501" s="7">
        <v>31</v>
      </c>
      <c r="AI1501" s="6"/>
    </row>
    <row r="1502" spans="1:35" x14ac:dyDescent="0.25">
      <c r="A1502" s="3"/>
      <c r="B1502" s="5" t="s">
        <v>31</v>
      </c>
      <c r="C1502" s="328" t="s">
        <v>161</v>
      </c>
      <c r="D1502" s="330" t="s">
        <v>63</v>
      </c>
      <c r="E1502" s="331"/>
      <c r="F1502" s="331"/>
      <c r="G1502" s="331"/>
      <c r="H1502" s="331"/>
      <c r="I1502" s="331"/>
      <c r="J1502" s="332"/>
      <c r="K1502" s="336">
        <v>0</v>
      </c>
      <c r="L1502" s="337"/>
      <c r="M1502" s="337"/>
      <c r="N1502" s="337"/>
      <c r="O1502" s="337"/>
      <c r="P1502" s="337"/>
      <c r="Q1502" s="337"/>
      <c r="R1502" s="337"/>
      <c r="S1502" s="337"/>
      <c r="T1502" s="337"/>
      <c r="U1502" s="337"/>
      <c r="V1502" s="337"/>
      <c r="W1502" s="337"/>
      <c r="X1502" s="337"/>
      <c r="Y1502" s="337"/>
      <c r="Z1502" s="337"/>
      <c r="AA1502" s="337"/>
      <c r="AB1502" s="337"/>
      <c r="AC1502" s="337"/>
      <c r="AD1502" s="337"/>
      <c r="AE1502" s="337"/>
      <c r="AF1502" s="337"/>
      <c r="AG1502" s="337"/>
      <c r="AH1502" s="338"/>
      <c r="AI1502" s="6"/>
    </row>
    <row r="1503" spans="1:35" x14ac:dyDescent="0.25">
      <c r="A1503" s="3"/>
      <c r="B1503" s="5" t="s">
        <v>32</v>
      </c>
      <c r="C1503" s="329"/>
      <c r="D1503" s="333"/>
      <c r="E1503" s="334"/>
      <c r="F1503" s="334"/>
      <c r="G1503" s="334"/>
      <c r="H1503" s="334"/>
      <c r="I1503" s="334"/>
      <c r="J1503" s="335"/>
      <c r="K1503" s="339"/>
      <c r="L1503" s="340"/>
      <c r="M1503" s="340"/>
      <c r="N1503" s="340"/>
      <c r="O1503" s="340"/>
      <c r="P1503" s="340"/>
      <c r="Q1503" s="340"/>
      <c r="R1503" s="340"/>
      <c r="S1503" s="340"/>
      <c r="T1503" s="340"/>
      <c r="U1503" s="340"/>
      <c r="V1503" s="340"/>
      <c r="W1503" s="340"/>
      <c r="X1503" s="340"/>
      <c r="Y1503" s="340"/>
      <c r="Z1503" s="340"/>
      <c r="AA1503" s="340"/>
      <c r="AB1503" s="340"/>
      <c r="AC1503" s="340"/>
      <c r="AD1503" s="340"/>
      <c r="AE1503" s="340"/>
      <c r="AF1503" s="340"/>
      <c r="AG1503" s="340"/>
      <c r="AH1503" s="341"/>
      <c r="AI1503" s="6"/>
    </row>
    <row r="1504" spans="1:35" x14ac:dyDescent="0.25">
      <c r="A1504" s="3"/>
      <c r="B1504" s="5" t="s">
        <v>11</v>
      </c>
      <c r="C1504" s="56">
        <v>0</v>
      </c>
      <c r="D1504" s="57">
        <v>0</v>
      </c>
      <c r="E1504" s="57">
        <v>0</v>
      </c>
      <c r="F1504" s="57">
        <v>0</v>
      </c>
      <c r="G1504" s="57">
        <v>0</v>
      </c>
      <c r="H1504" s="57">
        <v>0</v>
      </c>
      <c r="I1504" s="57">
        <v>0</v>
      </c>
      <c r="J1504" s="57">
        <v>0</v>
      </c>
      <c r="K1504" s="57">
        <v>0</v>
      </c>
      <c r="L1504" s="57">
        <v>0</v>
      </c>
      <c r="M1504" s="57">
        <v>0</v>
      </c>
      <c r="N1504" s="57">
        <v>0</v>
      </c>
      <c r="O1504" s="57">
        <v>0</v>
      </c>
      <c r="P1504" s="57">
        <v>0</v>
      </c>
      <c r="Q1504" s="57">
        <v>0</v>
      </c>
      <c r="R1504" s="57">
        <v>0</v>
      </c>
      <c r="S1504" s="57">
        <v>0</v>
      </c>
      <c r="T1504" s="57">
        <v>0</v>
      </c>
      <c r="U1504" s="57">
        <v>0</v>
      </c>
      <c r="V1504" s="57">
        <v>0</v>
      </c>
      <c r="W1504" s="57">
        <v>0</v>
      </c>
      <c r="X1504" s="57">
        <v>0</v>
      </c>
      <c r="Y1504" s="57">
        <v>0</v>
      </c>
      <c r="Z1504" s="57">
        <v>0</v>
      </c>
      <c r="AA1504" s="57">
        <v>0</v>
      </c>
      <c r="AB1504" s="57">
        <v>0</v>
      </c>
      <c r="AC1504" s="57">
        <v>0</v>
      </c>
      <c r="AD1504" s="57">
        <v>0</v>
      </c>
      <c r="AE1504" s="57">
        <v>0</v>
      </c>
      <c r="AF1504" s="57">
        <v>0</v>
      </c>
      <c r="AG1504" s="57">
        <v>0</v>
      </c>
      <c r="AH1504" s="58">
        <v>0</v>
      </c>
      <c r="AI1504" s="6"/>
    </row>
    <row r="1505" spans="1:35" ht="15.75" thickBot="1" x14ac:dyDescent="0.3">
      <c r="A1505" s="3"/>
      <c r="B1505" s="5" t="s">
        <v>12</v>
      </c>
      <c r="C1505" s="145">
        <v>0</v>
      </c>
      <c r="D1505" s="88">
        <v>0</v>
      </c>
      <c r="E1505" s="88">
        <v>0</v>
      </c>
      <c r="F1505" s="88">
        <v>0</v>
      </c>
      <c r="G1505" s="88">
        <v>0</v>
      </c>
      <c r="H1505" s="88">
        <v>0</v>
      </c>
      <c r="I1505" s="88">
        <v>0</v>
      </c>
      <c r="J1505" s="88">
        <v>0</v>
      </c>
      <c r="K1505" s="62">
        <v>0</v>
      </c>
      <c r="L1505" s="62">
        <v>0</v>
      </c>
      <c r="M1505" s="62">
        <v>0</v>
      </c>
      <c r="N1505" s="62">
        <v>0</v>
      </c>
      <c r="O1505" s="62">
        <v>0</v>
      </c>
      <c r="P1505" s="62">
        <v>0</v>
      </c>
      <c r="Q1505" s="62">
        <v>0</v>
      </c>
      <c r="R1505" s="62">
        <v>0</v>
      </c>
      <c r="S1505" s="62">
        <v>0</v>
      </c>
      <c r="T1505" s="62">
        <v>0</v>
      </c>
      <c r="U1505" s="62">
        <v>0</v>
      </c>
      <c r="V1505" s="62">
        <v>0</v>
      </c>
      <c r="W1505" s="62">
        <v>0</v>
      </c>
      <c r="X1505" s="62">
        <v>0</v>
      </c>
      <c r="Y1505" s="62">
        <v>0</v>
      </c>
      <c r="Z1505" s="62">
        <v>0</v>
      </c>
      <c r="AA1505" s="62">
        <v>0</v>
      </c>
      <c r="AB1505" s="62">
        <v>0</v>
      </c>
      <c r="AC1505" s="62">
        <v>0</v>
      </c>
      <c r="AD1505" s="62">
        <v>0</v>
      </c>
      <c r="AE1505" s="62">
        <v>0</v>
      </c>
      <c r="AF1505" s="62">
        <v>0</v>
      </c>
      <c r="AG1505" s="62">
        <v>0</v>
      </c>
      <c r="AH1505" s="146">
        <v>0</v>
      </c>
      <c r="AI1505" s="6"/>
    </row>
    <row r="1506" spans="1:35" x14ac:dyDescent="0.25">
      <c r="A1506" s="3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5"/>
      <c r="AI1506" s="6"/>
    </row>
    <row r="1507" spans="1:35" ht="15.75" thickBot="1" x14ac:dyDescent="0.3">
      <c r="A1507" s="3"/>
      <c r="B1507" s="5"/>
      <c r="C1507" s="7">
        <v>32</v>
      </c>
      <c r="D1507" s="7">
        <v>33</v>
      </c>
      <c r="E1507" s="7">
        <v>34</v>
      </c>
      <c r="F1507" s="7">
        <v>35</v>
      </c>
      <c r="G1507" s="7">
        <v>36</v>
      </c>
      <c r="H1507" s="7">
        <v>37</v>
      </c>
      <c r="I1507" s="7">
        <v>38</v>
      </c>
      <c r="J1507" s="7">
        <v>39</v>
      </c>
      <c r="K1507" s="7">
        <v>40</v>
      </c>
      <c r="L1507" s="7">
        <v>41</v>
      </c>
      <c r="M1507" s="7">
        <v>42</v>
      </c>
      <c r="N1507" s="7">
        <v>43</v>
      </c>
      <c r="O1507" s="7">
        <v>44</v>
      </c>
      <c r="P1507" s="7">
        <v>45</v>
      </c>
      <c r="Q1507" s="7">
        <v>46</v>
      </c>
      <c r="R1507" s="7">
        <v>47</v>
      </c>
      <c r="S1507" s="7">
        <v>48</v>
      </c>
      <c r="T1507" s="7">
        <v>49</v>
      </c>
      <c r="U1507" s="7">
        <v>50</v>
      </c>
      <c r="V1507" s="7">
        <v>51</v>
      </c>
      <c r="W1507" s="7">
        <v>52</v>
      </c>
      <c r="X1507" s="7">
        <v>53</v>
      </c>
      <c r="Y1507" s="7">
        <v>54</v>
      </c>
      <c r="Z1507" s="7">
        <v>55</v>
      </c>
      <c r="AA1507" s="7">
        <v>56</v>
      </c>
      <c r="AB1507" s="7">
        <v>57</v>
      </c>
      <c r="AC1507" s="7">
        <v>58</v>
      </c>
      <c r="AD1507" s="7">
        <v>59</v>
      </c>
      <c r="AE1507" s="7">
        <v>60</v>
      </c>
      <c r="AF1507" s="7">
        <v>61</v>
      </c>
      <c r="AG1507" s="7">
        <v>62</v>
      </c>
      <c r="AH1507" s="7">
        <v>63</v>
      </c>
      <c r="AI1507" s="6"/>
    </row>
    <row r="1508" spans="1:35" ht="15.75" thickBot="1" x14ac:dyDescent="0.3">
      <c r="A1508" s="3"/>
      <c r="B1508" s="5"/>
      <c r="C1508" s="147" t="s">
        <v>13</v>
      </c>
      <c r="D1508" s="148" t="s">
        <v>14</v>
      </c>
      <c r="E1508" s="148" t="s">
        <v>15</v>
      </c>
      <c r="F1508" s="148" t="s">
        <v>16</v>
      </c>
      <c r="G1508" s="148" t="s">
        <v>17</v>
      </c>
      <c r="H1508" s="148" t="s">
        <v>18</v>
      </c>
      <c r="I1508" s="148" t="s">
        <v>19</v>
      </c>
      <c r="J1508" s="148" t="s">
        <v>20</v>
      </c>
      <c r="K1508" s="148" t="s">
        <v>21</v>
      </c>
      <c r="L1508" s="148" t="s">
        <v>22</v>
      </c>
      <c r="M1508" s="148" t="s">
        <v>23</v>
      </c>
      <c r="N1508" s="148" t="s">
        <v>24</v>
      </c>
      <c r="O1508" s="148" t="s">
        <v>25</v>
      </c>
      <c r="P1508" s="148" t="s">
        <v>26</v>
      </c>
      <c r="Q1508" s="148" t="s">
        <v>27</v>
      </c>
      <c r="R1508" s="342" t="s">
        <v>30</v>
      </c>
      <c r="S1508" s="343"/>
      <c r="T1508" s="343"/>
      <c r="U1508" s="343"/>
      <c r="V1508" s="343"/>
      <c r="W1508" s="343"/>
      <c r="X1508" s="343"/>
      <c r="Y1508" s="343"/>
      <c r="Z1508" s="343"/>
      <c r="AA1508" s="343"/>
      <c r="AB1508" s="343"/>
      <c r="AC1508" s="343"/>
      <c r="AD1508" s="343"/>
      <c r="AE1508" s="343"/>
      <c r="AF1508" s="344"/>
      <c r="AG1508" s="67" t="s">
        <v>28</v>
      </c>
      <c r="AH1508" s="149" t="s">
        <v>29</v>
      </c>
      <c r="AI1508" s="6"/>
    </row>
    <row r="1509" spans="1:35" ht="15.75" thickBot="1" x14ac:dyDescent="0.3">
      <c r="A1509" s="3"/>
      <c r="B1509" s="5"/>
      <c r="C1509" s="150">
        <v>0</v>
      </c>
      <c r="D1509" s="151">
        <v>0</v>
      </c>
      <c r="E1509" s="151">
        <v>0</v>
      </c>
      <c r="F1509" s="151">
        <v>0</v>
      </c>
      <c r="G1509" s="151">
        <v>0</v>
      </c>
      <c r="H1509" s="151">
        <v>0</v>
      </c>
      <c r="I1509" s="151">
        <v>0</v>
      </c>
      <c r="J1509" s="151">
        <v>0</v>
      </c>
      <c r="K1509" s="151">
        <v>0</v>
      </c>
      <c r="L1509" s="151">
        <v>0</v>
      </c>
      <c r="M1509" s="151">
        <v>0</v>
      </c>
      <c r="N1509" s="151">
        <v>0</v>
      </c>
      <c r="O1509" s="151">
        <v>1</v>
      </c>
      <c r="P1509" s="151">
        <v>0</v>
      </c>
      <c r="Q1509" s="151">
        <v>0</v>
      </c>
      <c r="R1509" s="151">
        <v>0</v>
      </c>
      <c r="S1509" s="151">
        <v>0</v>
      </c>
      <c r="T1509" s="151">
        <v>0</v>
      </c>
      <c r="U1509" s="151">
        <v>0</v>
      </c>
      <c r="V1509" s="151">
        <v>0</v>
      </c>
      <c r="W1509" s="151">
        <v>0</v>
      </c>
      <c r="X1509" s="151">
        <v>1</v>
      </c>
      <c r="Y1509" s="151">
        <v>1</v>
      </c>
      <c r="Z1509" s="151">
        <v>0</v>
      </c>
      <c r="AA1509" s="151">
        <v>1</v>
      </c>
      <c r="AB1509" s="151">
        <v>0</v>
      </c>
      <c r="AC1509" s="151">
        <v>0</v>
      </c>
      <c r="AD1509" s="151">
        <v>1</v>
      </c>
      <c r="AE1509" s="151">
        <v>1</v>
      </c>
      <c r="AF1509" s="151">
        <v>1</v>
      </c>
      <c r="AG1509" s="151">
        <v>0</v>
      </c>
      <c r="AH1509" s="152">
        <v>0</v>
      </c>
      <c r="AI1509" s="6"/>
    </row>
    <row r="1510" spans="1:35" x14ac:dyDescent="0.25">
      <c r="A1510" s="3"/>
      <c r="B1510" s="4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5"/>
      <c r="AI1510" s="6"/>
    </row>
    <row r="1511" spans="1:35" x14ac:dyDescent="0.25">
      <c r="A1511" s="3"/>
      <c r="B1511" s="8" t="s">
        <v>43</v>
      </c>
      <c r="C1511" s="9"/>
      <c r="D1511" s="9"/>
      <c r="E1511" s="9"/>
      <c r="F1511" s="44" t="s">
        <v>44</v>
      </c>
      <c r="G1511" s="44"/>
      <c r="H1511" s="44"/>
      <c r="I1511" s="9"/>
      <c r="J1511" s="45" t="s">
        <v>45</v>
      </c>
      <c r="K1511" s="45"/>
      <c r="L1511" s="45"/>
      <c r="M1511" s="45"/>
      <c r="N1511" s="9"/>
      <c r="O1511" s="46" t="s">
        <v>46</v>
      </c>
      <c r="P1511" s="46"/>
      <c r="Q1511" s="46"/>
      <c r="R1511" s="46"/>
      <c r="S1511" s="9"/>
      <c r="T1511" s="1" t="s">
        <v>49</v>
      </c>
      <c r="U1511" s="10" t="s">
        <v>48</v>
      </c>
      <c r="V1511" s="5"/>
      <c r="W1511" s="9"/>
      <c r="X1511" s="9"/>
      <c r="Y1511" s="9"/>
      <c r="Z1511" s="9"/>
      <c r="AA1511" s="9"/>
      <c r="AB1511" s="9"/>
      <c r="AC1511" s="9"/>
      <c r="AD1511" s="9"/>
      <c r="AE1511" s="9"/>
      <c r="AF1511" s="9"/>
      <c r="AG1511" s="9"/>
      <c r="AH1511" s="9"/>
      <c r="AI1511" s="6"/>
    </row>
    <row r="1512" spans="1:35" ht="15" customHeight="1" x14ac:dyDescent="0.25">
      <c r="A1512" s="3"/>
      <c r="B1512" s="42" t="str">
        <f>"0x"&amp;DEC2HEX(Sheet3!$I$4,8)</f>
        <v>0x00400320</v>
      </c>
      <c r="C1512" s="42"/>
      <c r="D1512" s="42"/>
      <c r="E1512" s="12"/>
      <c r="F1512" s="319" t="str">
        <f>"0x"&amp;BIN2HEX(CONCATENATE(C1505,D1505,E1505,F1505,G1505,H1505,I1505,J1505),2)&amp;BIN2HEX(CONCATENATE(K1505,L1505,M1505,N1505,O1505,P1505,Q1505,R1505),2)&amp;BIN2HEX(CONCATENATE(S1505,T1505,U1505,V1505,W1505,X1505,Y1505,Z1505),2)&amp;BIN2HEX(CONCATENATE(AA1505,AB1505,AC1505,AD1505,AE1505,AF1505,AG1505,AH1505),2)</f>
        <v>0x00000000</v>
      </c>
      <c r="G1512" s="319"/>
      <c r="H1512" s="319"/>
      <c r="I1512" s="12"/>
      <c r="J1512" s="319" t="str">
        <f>"0b"&amp;C1509&amp;D1509&amp;E1509&amp;F1509&amp;G1509&amp;H1509&amp;I1509&amp;J1509&amp;K1509&amp;L1509&amp;M1509&amp;N1509&amp;O1509&amp;P1509&amp;Q1509</f>
        <v>0b000000000000100</v>
      </c>
      <c r="K1512" s="319"/>
      <c r="L1512" s="319"/>
      <c r="M1512" s="319"/>
      <c r="N1512" s="12"/>
      <c r="O1512" s="319" t="str">
        <f>"0b"&amp;DEC2BIN(((AF1509+AE1509*2+AD1509*4+AC1509*8+AB1509*16+AA1509*32+Z1509*64+Y1509*128+X1509*256+W1509*512+V1509*1024+U1509*2048+T1509*4096+S1509*2^13+R1509*2^14)/512),6)&amp;DEC2BIN(MOD((AF1509+AE1509*2+AD1509*4+AC1509*8+AB1509*16+AA1509*32+Z1509*64+Y1509*128+X1509*256+W1509*512+V1509*1024+U1509*2048+T1509*4096+S1509*2^13+R1509*2^14),512),9)</f>
        <v>0b000000110100111</v>
      </c>
      <c r="P1512" s="319"/>
      <c r="Q1512" s="319"/>
      <c r="R1512" s="319"/>
      <c r="S1512" s="12"/>
      <c r="T1512" s="13">
        <v>0</v>
      </c>
      <c r="U1512" s="13">
        <f>AH1509</f>
        <v>0</v>
      </c>
      <c r="V1512" s="5"/>
      <c r="W1512" s="14"/>
      <c r="X1512" s="14"/>
      <c r="Y1512" s="14"/>
      <c r="Z1512" s="14"/>
      <c r="AA1512" s="14"/>
      <c r="AB1512" s="14"/>
      <c r="AC1512" s="14"/>
      <c r="AD1512" s="14"/>
      <c r="AE1512" s="14"/>
      <c r="AF1512" s="14"/>
      <c r="AG1512" s="14"/>
      <c r="AH1512" s="14"/>
      <c r="AI1512" s="6"/>
    </row>
    <row r="1513" spans="1:35" x14ac:dyDescent="0.25">
      <c r="A1513" s="3"/>
      <c r="B1513" s="42"/>
      <c r="C1513" s="42"/>
      <c r="D1513" s="42"/>
      <c r="E1513" s="15"/>
      <c r="F1513" s="43"/>
      <c r="G1513" s="43"/>
      <c r="H1513" s="43"/>
      <c r="I1513" s="15"/>
      <c r="J1513" s="42"/>
      <c r="K1513" s="42"/>
      <c r="L1513" s="42"/>
      <c r="M1513" s="42"/>
      <c r="N1513" s="15"/>
      <c r="O1513" s="42"/>
      <c r="P1513" s="42"/>
      <c r="Q1513" s="42"/>
      <c r="R1513" s="42"/>
      <c r="S1513" s="15"/>
      <c r="T1513" s="13"/>
      <c r="U1513" s="15"/>
      <c r="V1513" s="5"/>
      <c r="W1513" s="16"/>
      <c r="X1513" s="16"/>
      <c r="Y1513" s="16"/>
      <c r="Z1513" s="16"/>
      <c r="AA1513" s="16"/>
      <c r="AB1513" s="16"/>
      <c r="AC1513" s="16"/>
      <c r="AD1513" s="16"/>
      <c r="AE1513" s="16"/>
      <c r="AF1513" s="16"/>
      <c r="AG1513" s="16"/>
      <c r="AH1513" s="16"/>
      <c r="AI1513" s="6"/>
    </row>
    <row r="1514" spans="1:35" x14ac:dyDescent="0.25">
      <c r="A1514" s="3"/>
      <c r="B1514" s="42"/>
      <c r="C1514" s="42"/>
      <c r="D1514" s="42"/>
      <c r="E1514" s="15"/>
      <c r="F1514" s="43"/>
      <c r="G1514" s="43"/>
      <c r="H1514" s="43"/>
      <c r="I1514" s="15"/>
      <c r="J1514" s="42"/>
      <c r="K1514" s="42"/>
      <c r="L1514" s="42"/>
      <c r="M1514" s="42"/>
      <c r="N1514" s="15"/>
      <c r="O1514" s="42"/>
      <c r="P1514" s="42"/>
      <c r="Q1514" s="42"/>
      <c r="R1514" s="42"/>
      <c r="S1514" s="15"/>
      <c r="T1514" s="13"/>
      <c r="U1514" s="15"/>
      <c r="V1514" s="5"/>
      <c r="W1514" s="16"/>
      <c r="X1514" s="16"/>
      <c r="Y1514" s="16"/>
      <c r="Z1514" s="16"/>
      <c r="AA1514" s="16"/>
      <c r="AB1514" s="16"/>
      <c r="AC1514" s="16"/>
      <c r="AD1514" s="16"/>
      <c r="AE1514" s="16"/>
      <c r="AF1514" s="16"/>
      <c r="AG1514" s="16"/>
      <c r="AH1514" s="16"/>
      <c r="AI1514" s="6"/>
    </row>
    <row r="1515" spans="1:35" x14ac:dyDescent="0.25">
      <c r="A1515" s="3"/>
      <c r="B1515" s="5"/>
      <c r="C1515" s="5"/>
      <c r="D1515" s="5"/>
      <c r="E1515" s="5"/>
      <c r="F1515" s="17"/>
      <c r="G1515" s="17"/>
      <c r="H1515" s="17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5"/>
      <c r="AI1515" s="6"/>
    </row>
    <row r="1516" spans="1:35" x14ac:dyDescent="0.25">
      <c r="A1516" s="3"/>
      <c r="B1516" s="5" t="s">
        <v>47</v>
      </c>
      <c r="C1516" s="18"/>
      <c r="D1516" s="18"/>
      <c r="E1516" s="18"/>
      <c r="F1516" s="5"/>
      <c r="G1516" s="5"/>
      <c r="H1516" s="5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  <c r="AB1516" s="18"/>
      <c r="AC1516" s="18"/>
      <c r="AD1516" s="18"/>
      <c r="AE1516" s="18"/>
      <c r="AF1516" s="18"/>
      <c r="AG1516" s="18"/>
      <c r="AH1516" s="18"/>
      <c r="AI1516" s="6"/>
    </row>
    <row r="1517" spans="1:35" ht="15" customHeight="1" x14ac:dyDescent="0.25">
      <c r="A1517" s="3"/>
      <c r="B1517" s="42" t="str">
        <f>"0x"&amp;DEC2HEX(Sheet3!$I$4,8)</f>
        <v>0x00400320</v>
      </c>
      <c r="C1517" s="42"/>
      <c r="D1517" s="42"/>
      <c r="E1517" s="16"/>
      <c r="F1517" s="322" t="str">
        <f>F1512&amp;BIN2HEX(MID(J1512,3,8),2)&amp;BIN2HEX(RIGHT(J1512,7)&amp;MID(O1512,3,1),2)&amp;BIN2HEX(MID(O1512,4,8),2)&amp;BIN2HEX(RIGHT(O1512,6)&amp;T1512&amp;U1512,2)</f>
        <v>0x000000000008069C</v>
      </c>
      <c r="G1517" s="322"/>
      <c r="H1517" s="322"/>
      <c r="I1517" s="322"/>
      <c r="J1517" s="5"/>
      <c r="K1517" s="5"/>
      <c r="L1517" s="5"/>
      <c r="M1517" s="5"/>
      <c r="N1517" s="5"/>
      <c r="O1517" s="5"/>
      <c r="P1517" s="16"/>
      <c r="Q1517" s="16"/>
      <c r="R1517" s="19"/>
      <c r="S1517" s="19"/>
      <c r="T1517" s="19"/>
      <c r="U1517" s="19"/>
      <c r="V1517" s="19"/>
      <c r="W1517" s="19"/>
      <c r="X1517" s="19"/>
      <c r="Y1517" s="19"/>
      <c r="Z1517" s="19"/>
      <c r="AA1517" s="19"/>
      <c r="AB1517" s="19"/>
      <c r="AC1517" s="19"/>
      <c r="AD1517" s="19"/>
      <c r="AE1517" s="19"/>
      <c r="AF1517" s="19"/>
      <c r="AG1517" s="5"/>
      <c r="AH1517" s="5"/>
      <c r="AI1517" s="6"/>
    </row>
    <row r="1518" spans="1:35" x14ac:dyDescent="0.25">
      <c r="A1518" s="3"/>
      <c r="B1518" s="37"/>
      <c r="C1518" s="37"/>
      <c r="D1518" s="37"/>
      <c r="E1518" s="5"/>
      <c r="F1518" s="38"/>
      <c r="G1518" s="38"/>
      <c r="H1518" s="38"/>
      <c r="I1518" s="38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5"/>
      <c r="AI1518" s="6"/>
    </row>
    <row r="1519" spans="1:35" x14ac:dyDescent="0.25">
      <c r="A1519" s="3"/>
      <c r="B1519" s="37"/>
      <c r="C1519" s="37"/>
      <c r="D1519" s="37"/>
      <c r="E1519" s="5"/>
      <c r="F1519" s="38"/>
      <c r="G1519" s="38"/>
      <c r="H1519" s="38"/>
      <c r="I1519" s="38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5"/>
      <c r="AI1519" s="6"/>
    </row>
    <row r="1520" spans="1:35" x14ac:dyDescent="0.25">
      <c r="A1520" s="20"/>
      <c r="B1520" s="21"/>
      <c r="C1520" s="21"/>
      <c r="D1520" s="21"/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2"/>
      <c r="P1520" s="21"/>
      <c r="Q1520" s="21"/>
      <c r="R1520" s="21"/>
      <c r="S1520" s="21"/>
      <c r="T1520" s="21"/>
      <c r="U1520" s="21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  <c r="AF1520" s="21"/>
      <c r="AG1520" s="21"/>
      <c r="AH1520" s="21"/>
      <c r="AI1520" s="23"/>
    </row>
    <row r="1521" spans="1:35" x14ac:dyDescent="0.25">
      <c r="A1521" s="24"/>
      <c r="B1521" s="28"/>
      <c r="C1521" s="25"/>
      <c r="D1521" s="25"/>
      <c r="E1521" s="25"/>
      <c r="F1521" s="25"/>
      <c r="G1521" s="25"/>
      <c r="H1521" s="25"/>
      <c r="I1521" s="25"/>
      <c r="J1521" s="25"/>
      <c r="K1521" s="25"/>
      <c r="L1521" s="25"/>
      <c r="M1521" s="25"/>
      <c r="N1521" s="25"/>
      <c r="O1521" s="25"/>
      <c r="P1521" s="25"/>
      <c r="Q1521" s="25"/>
      <c r="R1521" s="25"/>
      <c r="S1521" s="25"/>
      <c r="T1521" s="25"/>
      <c r="U1521" s="25"/>
      <c r="V1521" s="25"/>
      <c r="W1521" s="25"/>
      <c r="X1521" s="25"/>
      <c r="Y1521" s="25"/>
      <c r="Z1521" s="25"/>
      <c r="AA1521" s="25"/>
      <c r="AB1521" s="25"/>
      <c r="AC1521" s="25"/>
      <c r="AD1521" s="25"/>
      <c r="AE1521" s="25"/>
      <c r="AF1521" s="25"/>
      <c r="AG1521" s="25"/>
      <c r="AH1521" s="25"/>
      <c r="AI1521" s="26"/>
    </row>
    <row r="1522" spans="1:35" x14ac:dyDescent="0.25">
      <c r="A1522" s="3"/>
      <c r="B1522" s="4" t="s">
        <v>201</v>
      </c>
      <c r="C1522" s="5"/>
      <c r="D1522" s="5"/>
      <c r="E1522" s="5"/>
      <c r="F1522" s="5"/>
      <c r="G1522" s="5"/>
      <c r="H1522" s="5"/>
      <c r="I1522" s="5" t="str">
        <f>"0x"&amp;BIN2HEX(CONCATENATE(C1527,D1527,E1527,F1527,G1527,H1527,I1527,J1527),2)&amp;BIN2HEX(CONCATENATE(K1527,L1527,M1527,N1527,O1527,P1527,Q1527,R1527),2)&amp;BIN2HEX(CONCATENATE(S1527,T1527,U1527,V1527,W1527,X1527,Y1527,Z1527),2)&amp;BIN2HEX(CONCATENATE(AA1527,AB1527,AC1527,AD1527,AE1527,AF1527,AG1527,AH1527),2)&amp;"_"&amp;BIN2HEX(CONCATENATE(C1531,D1531,E1531,F1531,G1531,H1531,I1531,J1531),2)&amp;BIN2HEX(CONCATENATE(K1531,L1531,M1531,N1531,O1531,P1531,Q1531,R1531),2)&amp;BIN2HEX(CONCATENATE(S1531,T1531,U1531,V1531,W1531,X1531,Y1531,Z1531),2)&amp;BIN2HEX(CONCATENATE(AA1531,AB1531,AC1531,AD1531,AE1531,AF1531,AG1531,AH1531),2)</f>
        <v>0x00000000_000806A0</v>
      </c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5"/>
      <c r="AH1522" s="5"/>
      <c r="AI1522" s="6"/>
    </row>
    <row r="1523" spans="1:35" ht="15.75" thickBot="1" x14ac:dyDescent="0.3">
      <c r="A1523" s="3"/>
      <c r="B1523" s="5"/>
      <c r="C1523" s="7">
        <v>0</v>
      </c>
      <c r="D1523" s="7">
        <v>1</v>
      </c>
      <c r="E1523" s="7">
        <v>2</v>
      </c>
      <c r="F1523" s="7">
        <v>3</v>
      </c>
      <c r="G1523" s="7">
        <v>4</v>
      </c>
      <c r="H1523" s="7">
        <v>5</v>
      </c>
      <c r="I1523" s="7">
        <v>6</v>
      </c>
      <c r="J1523" s="7">
        <v>7</v>
      </c>
      <c r="K1523" s="7">
        <v>8</v>
      </c>
      <c r="L1523" s="7">
        <v>9</v>
      </c>
      <c r="M1523" s="7">
        <v>10</v>
      </c>
      <c r="N1523" s="7">
        <v>11</v>
      </c>
      <c r="O1523" s="7">
        <v>12</v>
      </c>
      <c r="P1523" s="7">
        <v>13</v>
      </c>
      <c r="Q1523" s="7">
        <v>14</v>
      </c>
      <c r="R1523" s="7">
        <v>15</v>
      </c>
      <c r="S1523" s="7">
        <v>16</v>
      </c>
      <c r="T1523" s="7">
        <v>17</v>
      </c>
      <c r="U1523" s="7">
        <v>18</v>
      </c>
      <c r="V1523" s="7">
        <v>19</v>
      </c>
      <c r="W1523" s="7">
        <v>20</v>
      </c>
      <c r="X1523" s="7">
        <v>21</v>
      </c>
      <c r="Y1523" s="7">
        <v>22</v>
      </c>
      <c r="Z1523" s="7">
        <v>23</v>
      </c>
      <c r="AA1523" s="7">
        <v>24</v>
      </c>
      <c r="AB1523" s="7">
        <v>25</v>
      </c>
      <c r="AC1523" s="7">
        <v>26</v>
      </c>
      <c r="AD1523" s="7">
        <v>27</v>
      </c>
      <c r="AE1523" s="7">
        <v>28</v>
      </c>
      <c r="AF1523" s="7">
        <v>29</v>
      </c>
      <c r="AG1523" s="7">
        <v>30</v>
      </c>
      <c r="AH1523" s="7">
        <v>31</v>
      </c>
      <c r="AI1523" s="6"/>
    </row>
    <row r="1524" spans="1:35" x14ac:dyDescent="0.25">
      <c r="A1524" s="3"/>
      <c r="B1524" s="5" t="s">
        <v>31</v>
      </c>
      <c r="C1524" s="328" t="s">
        <v>161</v>
      </c>
      <c r="D1524" s="330" t="s">
        <v>63</v>
      </c>
      <c r="E1524" s="331"/>
      <c r="F1524" s="331"/>
      <c r="G1524" s="331"/>
      <c r="H1524" s="331"/>
      <c r="I1524" s="331"/>
      <c r="J1524" s="332"/>
      <c r="K1524" s="336">
        <v>0</v>
      </c>
      <c r="L1524" s="337"/>
      <c r="M1524" s="337"/>
      <c r="N1524" s="337"/>
      <c r="O1524" s="337"/>
      <c r="P1524" s="337"/>
      <c r="Q1524" s="337"/>
      <c r="R1524" s="337"/>
      <c r="S1524" s="337"/>
      <c r="T1524" s="337"/>
      <c r="U1524" s="337"/>
      <c r="V1524" s="337"/>
      <c r="W1524" s="337"/>
      <c r="X1524" s="337"/>
      <c r="Y1524" s="337"/>
      <c r="Z1524" s="337"/>
      <c r="AA1524" s="337"/>
      <c r="AB1524" s="337"/>
      <c r="AC1524" s="337"/>
      <c r="AD1524" s="337"/>
      <c r="AE1524" s="337"/>
      <c r="AF1524" s="337"/>
      <c r="AG1524" s="337"/>
      <c r="AH1524" s="338"/>
      <c r="AI1524" s="6"/>
    </row>
    <row r="1525" spans="1:35" x14ac:dyDescent="0.25">
      <c r="A1525" s="3"/>
      <c r="B1525" s="5" t="s">
        <v>32</v>
      </c>
      <c r="C1525" s="329"/>
      <c r="D1525" s="333"/>
      <c r="E1525" s="334"/>
      <c r="F1525" s="334"/>
      <c r="G1525" s="334"/>
      <c r="H1525" s="334"/>
      <c r="I1525" s="334"/>
      <c r="J1525" s="335"/>
      <c r="K1525" s="339"/>
      <c r="L1525" s="340"/>
      <c r="M1525" s="340"/>
      <c r="N1525" s="340"/>
      <c r="O1525" s="340"/>
      <c r="P1525" s="340"/>
      <c r="Q1525" s="340"/>
      <c r="R1525" s="340"/>
      <c r="S1525" s="340"/>
      <c r="T1525" s="340"/>
      <c r="U1525" s="340"/>
      <c r="V1525" s="340"/>
      <c r="W1525" s="340"/>
      <c r="X1525" s="340"/>
      <c r="Y1525" s="340"/>
      <c r="Z1525" s="340"/>
      <c r="AA1525" s="340"/>
      <c r="AB1525" s="340"/>
      <c r="AC1525" s="340"/>
      <c r="AD1525" s="340"/>
      <c r="AE1525" s="340"/>
      <c r="AF1525" s="340"/>
      <c r="AG1525" s="340"/>
      <c r="AH1525" s="341"/>
      <c r="AI1525" s="6"/>
    </row>
    <row r="1526" spans="1:35" x14ac:dyDescent="0.25">
      <c r="A1526" s="3"/>
      <c r="B1526" s="5" t="s">
        <v>11</v>
      </c>
      <c r="C1526" s="56">
        <v>0</v>
      </c>
      <c r="D1526" s="57">
        <v>0</v>
      </c>
      <c r="E1526" s="57">
        <v>0</v>
      </c>
      <c r="F1526" s="57">
        <v>0</v>
      </c>
      <c r="G1526" s="57">
        <v>0</v>
      </c>
      <c r="H1526" s="57">
        <v>0</v>
      </c>
      <c r="I1526" s="57">
        <v>0</v>
      </c>
      <c r="J1526" s="57">
        <v>0</v>
      </c>
      <c r="K1526" s="57">
        <v>0</v>
      </c>
      <c r="L1526" s="57">
        <v>0</v>
      </c>
      <c r="M1526" s="57">
        <v>0</v>
      </c>
      <c r="N1526" s="57">
        <v>0</v>
      </c>
      <c r="O1526" s="57">
        <v>0</v>
      </c>
      <c r="P1526" s="57">
        <v>0</v>
      </c>
      <c r="Q1526" s="57">
        <v>0</v>
      </c>
      <c r="R1526" s="57">
        <v>0</v>
      </c>
      <c r="S1526" s="57">
        <v>0</v>
      </c>
      <c r="T1526" s="57">
        <v>0</v>
      </c>
      <c r="U1526" s="57">
        <v>0</v>
      </c>
      <c r="V1526" s="57">
        <v>0</v>
      </c>
      <c r="W1526" s="57">
        <v>0</v>
      </c>
      <c r="X1526" s="57">
        <v>0</v>
      </c>
      <c r="Y1526" s="57">
        <v>0</v>
      </c>
      <c r="Z1526" s="57">
        <v>0</v>
      </c>
      <c r="AA1526" s="57">
        <v>0</v>
      </c>
      <c r="AB1526" s="57">
        <v>0</v>
      </c>
      <c r="AC1526" s="57">
        <v>0</v>
      </c>
      <c r="AD1526" s="57">
        <v>0</v>
      </c>
      <c r="AE1526" s="57">
        <v>0</v>
      </c>
      <c r="AF1526" s="57">
        <v>0</v>
      </c>
      <c r="AG1526" s="57">
        <v>0</v>
      </c>
      <c r="AH1526" s="58">
        <v>0</v>
      </c>
      <c r="AI1526" s="6"/>
    </row>
    <row r="1527" spans="1:35" ht="15.75" thickBot="1" x14ac:dyDescent="0.3">
      <c r="A1527" s="3"/>
      <c r="B1527" s="5" t="s">
        <v>12</v>
      </c>
      <c r="C1527" s="145">
        <v>0</v>
      </c>
      <c r="D1527" s="88">
        <v>0</v>
      </c>
      <c r="E1527" s="88">
        <v>0</v>
      </c>
      <c r="F1527" s="88">
        <v>0</v>
      </c>
      <c r="G1527" s="88">
        <v>0</v>
      </c>
      <c r="H1527" s="88">
        <v>0</v>
      </c>
      <c r="I1527" s="88">
        <v>0</v>
      </c>
      <c r="J1527" s="88">
        <v>0</v>
      </c>
      <c r="K1527" s="62">
        <v>0</v>
      </c>
      <c r="L1527" s="62">
        <v>0</v>
      </c>
      <c r="M1527" s="62">
        <v>0</v>
      </c>
      <c r="N1527" s="62">
        <v>0</v>
      </c>
      <c r="O1527" s="62">
        <v>0</v>
      </c>
      <c r="P1527" s="62">
        <v>0</v>
      </c>
      <c r="Q1527" s="62">
        <v>0</v>
      </c>
      <c r="R1527" s="62">
        <v>0</v>
      </c>
      <c r="S1527" s="62">
        <v>0</v>
      </c>
      <c r="T1527" s="62">
        <v>0</v>
      </c>
      <c r="U1527" s="62">
        <v>0</v>
      </c>
      <c r="V1527" s="62">
        <v>0</v>
      </c>
      <c r="W1527" s="62">
        <v>0</v>
      </c>
      <c r="X1527" s="62">
        <v>0</v>
      </c>
      <c r="Y1527" s="62">
        <v>0</v>
      </c>
      <c r="Z1527" s="62">
        <v>0</v>
      </c>
      <c r="AA1527" s="62">
        <v>0</v>
      </c>
      <c r="AB1527" s="62">
        <v>0</v>
      </c>
      <c r="AC1527" s="62">
        <v>0</v>
      </c>
      <c r="AD1527" s="62">
        <v>0</v>
      </c>
      <c r="AE1527" s="62">
        <v>0</v>
      </c>
      <c r="AF1527" s="62">
        <v>0</v>
      </c>
      <c r="AG1527" s="62">
        <v>0</v>
      </c>
      <c r="AH1527" s="146">
        <v>0</v>
      </c>
      <c r="AI1527" s="6"/>
    </row>
    <row r="1528" spans="1:35" x14ac:dyDescent="0.25">
      <c r="A1528" s="3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5"/>
      <c r="AH1528" s="5"/>
      <c r="AI1528" s="6"/>
    </row>
    <row r="1529" spans="1:35" ht="15.75" thickBot="1" x14ac:dyDescent="0.3">
      <c r="A1529" s="3"/>
      <c r="B1529" s="5"/>
      <c r="C1529" s="7">
        <v>32</v>
      </c>
      <c r="D1529" s="7">
        <v>33</v>
      </c>
      <c r="E1529" s="7">
        <v>34</v>
      </c>
      <c r="F1529" s="7">
        <v>35</v>
      </c>
      <c r="G1529" s="7">
        <v>36</v>
      </c>
      <c r="H1529" s="7">
        <v>37</v>
      </c>
      <c r="I1529" s="7">
        <v>38</v>
      </c>
      <c r="J1529" s="7">
        <v>39</v>
      </c>
      <c r="K1529" s="7">
        <v>40</v>
      </c>
      <c r="L1529" s="7">
        <v>41</v>
      </c>
      <c r="M1529" s="7">
        <v>42</v>
      </c>
      <c r="N1529" s="7">
        <v>43</v>
      </c>
      <c r="O1529" s="7">
        <v>44</v>
      </c>
      <c r="P1529" s="7">
        <v>45</v>
      </c>
      <c r="Q1529" s="7">
        <v>46</v>
      </c>
      <c r="R1529" s="7">
        <v>47</v>
      </c>
      <c r="S1529" s="7">
        <v>48</v>
      </c>
      <c r="T1529" s="7">
        <v>49</v>
      </c>
      <c r="U1529" s="7">
        <v>50</v>
      </c>
      <c r="V1529" s="7">
        <v>51</v>
      </c>
      <c r="W1529" s="7">
        <v>52</v>
      </c>
      <c r="X1529" s="7">
        <v>53</v>
      </c>
      <c r="Y1529" s="7">
        <v>54</v>
      </c>
      <c r="Z1529" s="7">
        <v>55</v>
      </c>
      <c r="AA1529" s="7">
        <v>56</v>
      </c>
      <c r="AB1529" s="7">
        <v>57</v>
      </c>
      <c r="AC1529" s="7">
        <v>58</v>
      </c>
      <c r="AD1529" s="7">
        <v>59</v>
      </c>
      <c r="AE1529" s="7">
        <v>60</v>
      </c>
      <c r="AF1529" s="7">
        <v>61</v>
      </c>
      <c r="AG1529" s="7">
        <v>62</v>
      </c>
      <c r="AH1529" s="7">
        <v>63</v>
      </c>
      <c r="AI1529" s="6"/>
    </row>
    <row r="1530" spans="1:35" ht="15.75" thickBot="1" x14ac:dyDescent="0.3">
      <c r="A1530" s="3"/>
      <c r="B1530" s="5"/>
      <c r="C1530" s="147" t="s">
        <v>13</v>
      </c>
      <c r="D1530" s="148" t="s">
        <v>14</v>
      </c>
      <c r="E1530" s="148" t="s">
        <v>15</v>
      </c>
      <c r="F1530" s="148" t="s">
        <v>16</v>
      </c>
      <c r="G1530" s="148" t="s">
        <v>17</v>
      </c>
      <c r="H1530" s="148" t="s">
        <v>18</v>
      </c>
      <c r="I1530" s="148" t="s">
        <v>19</v>
      </c>
      <c r="J1530" s="148" t="s">
        <v>20</v>
      </c>
      <c r="K1530" s="148" t="s">
        <v>21</v>
      </c>
      <c r="L1530" s="148" t="s">
        <v>22</v>
      </c>
      <c r="M1530" s="148" t="s">
        <v>23</v>
      </c>
      <c r="N1530" s="148" t="s">
        <v>24</v>
      </c>
      <c r="O1530" s="148" t="s">
        <v>25</v>
      </c>
      <c r="P1530" s="148" t="s">
        <v>26</v>
      </c>
      <c r="Q1530" s="148" t="s">
        <v>27</v>
      </c>
      <c r="R1530" s="342" t="s">
        <v>30</v>
      </c>
      <c r="S1530" s="343"/>
      <c r="T1530" s="343"/>
      <c r="U1530" s="343"/>
      <c r="V1530" s="343"/>
      <c r="W1530" s="343"/>
      <c r="X1530" s="343"/>
      <c r="Y1530" s="343"/>
      <c r="Z1530" s="343"/>
      <c r="AA1530" s="343"/>
      <c r="AB1530" s="343"/>
      <c r="AC1530" s="343"/>
      <c r="AD1530" s="343"/>
      <c r="AE1530" s="343"/>
      <c r="AF1530" s="344"/>
      <c r="AG1530" s="67" t="s">
        <v>28</v>
      </c>
      <c r="AH1530" s="149" t="s">
        <v>29</v>
      </c>
      <c r="AI1530" s="6"/>
    </row>
    <row r="1531" spans="1:35" ht="15.75" thickBot="1" x14ac:dyDescent="0.3">
      <c r="A1531" s="3"/>
      <c r="B1531" s="5"/>
      <c r="C1531" s="150">
        <v>0</v>
      </c>
      <c r="D1531" s="151">
        <v>0</v>
      </c>
      <c r="E1531" s="151">
        <v>0</v>
      </c>
      <c r="F1531" s="151">
        <v>0</v>
      </c>
      <c r="G1531" s="151">
        <v>0</v>
      </c>
      <c r="H1531" s="151">
        <v>0</v>
      </c>
      <c r="I1531" s="151">
        <v>0</v>
      </c>
      <c r="J1531" s="151">
        <v>0</v>
      </c>
      <c r="K1531" s="151">
        <v>0</v>
      </c>
      <c r="L1531" s="151">
        <v>0</v>
      </c>
      <c r="M1531" s="151">
        <v>0</v>
      </c>
      <c r="N1531" s="151">
        <v>0</v>
      </c>
      <c r="O1531" s="151">
        <v>1</v>
      </c>
      <c r="P1531" s="151">
        <v>0</v>
      </c>
      <c r="Q1531" s="151">
        <v>0</v>
      </c>
      <c r="R1531" s="151">
        <v>0</v>
      </c>
      <c r="S1531" s="151">
        <v>0</v>
      </c>
      <c r="T1531" s="151">
        <v>0</v>
      </c>
      <c r="U1531" s="151">
        <v>0</v>
      </c>
      <c r="V1531" s="151">
        <v>0</v>
      </c>
      <c r="W1531" s="151">
        <v>0</v>
      </c>
      <c r="X1531" s="151">
        <v>1</v>
      </c>
      <c r="Y1531" s="151">
        <v>1</v>
      </c>
      <c r="Z1531" s="151">
        <v>0</v>
      </c>
      <c r="AA1531" s="151">
        <v>1</v>
      </c>
      <c r="AB1531" s="151">
        <v>0</v>
      </c>
      <c r="AC1531" s="151">
        <v>1</v>
      </c>
      <c r="AD1531" s="151">
        <v>0</v>
      </c>
      <c r="AE1531" s="151">
        <v>0</v>
      </c>
      <c r="AF1531" s="151">
        <v>0</v>
      </c>
      <c r="AG1531" s="151">
        <v>0</v>
      </c>
      <c r="AH1531" s="152">
        <v>0</v>
      </c>
      <c r="AI1531" s="6"/>
    </row>
    <row r="1532" spans="1:35" x14ac:dyDescent="0.25">
      <c r="A1532" s="3"/>
      <c r="B1532" s="4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5"/>
      <c r="AH1532" s="5"/>
      <c r="AI1532" s="6"/>
    </row>
    <row r="1533" spans="1:35" x14ac:dyDescent="0.25">
      <c r="A1533" s="3"/>
      <c r="B1533" s="8" t="s">
        <v>43</v>
      </c>
      <c r="C1533" s="9"/>
      <c r="D1533" s="9"/>
      <c r="E1533" s="9"/>
      <c r="F1533" s="44" t="s">
        <v>44</v>
      </c>
      <c r="G1533" s="44"/>
      <c r="H1533" s="44"/>
      <c r="I1533" s="9"/>
      <c r="J1533" s="45" t="s">
        <v>45</v>
      </c>
      <c r="K1533" s="45"/>
      <c r="L1533" s="45"/>
      <c r="M1533" s="45"/>
      <c r="N1533" s="9"/>
      <c r="O1533" s="46" t="s">
        <v>46</v>
      </c>
      <c r="P1533" s="46"/>
      <c r="Q1533" s="46"/>
      <c r="R1533" s="46"/>
      <c r="S1533" s="9"/>
      <c r="T1533" s="1" t="s">
        <v>49</v>
      </c>
      <c r="U1533" s="10" t="s">
        <v>48</v>
      </c>
      <c r="V1533" s="5"/>
      <c r="W1533" s="9"/>
      <c r="X1533" s="9"/>
      <c r="Y1533" s="9"/>
      <c r="Z1533" s="9"/>
      <c r="AA1533" s="9"/>
      <c r="AB1533" s="9"/>
      <c r="AC1533" s="9"/>
      <c r="AD1533" s="9"/>
      <c r="AE1533" s="9"/>
      <c r="AF1533" s="9"/>
      <c r="AG1533" s="9"/>
      <c r="AH1533" s="9"/>
      <c r="AI1533" s="6"/>
    </row>
    <row r="1534" spans="1:35" ht="15" customHeight="1" x14ac:dyDescent="0.25">
      <c r="A1534" s="3"/>
      <c r="B1534" s="42" t="str">
        <f>"0x"&amp;DEC2HEX(Sheet3!$I$4,8)</f>
        <v>0x00400320</v>
      </c>
      <c r="C1534" s="42"/>
      <c r="D1534" s="42"/>
      <c r="E1534" s="12"/>
      <c r="F1534" s="319" t="str">
        <f>"0x"&amp;BIN2HEX(CONCATENATE(C1527,D1527,E1527,F1527,G1527,H1527,I1527,J1527),2)&amp;BIN2HEX(CONCATENATE(K1527,L1527,M1527,N1527,O1527,P1527,Q1527,R1527),2)&amp;BIN2HEX(CONCATENATE(S1527,T1527,U1527,V1527,W1527,X1527,Y1527,Z1527),2)&amp;BIN2HEX(CONCATENATE(AA1527,AB1527,AC1527,AD1527,AE1527,AF1527,AG1527,AH1527),2)</f>
        <v>0x00000000</v>
      </c>
      <c r="G1534" s="319"/>
      <c r="H1534" s="319"/>
      <c r="I1534" s="12"/>
      <c r="J1534" s="319" t="str">
        <f>"0b"&amp;C1531&amp;D1531&amp;E1531&amp;F1531&amp;G1531&amp;H1531&amp;I1531&amp;J1531&amp;K1531&amp;L1531&amp;M1531&amp;N1531&amp;O1531&amp;P1531&amp;Q1531</f>
        <v>0b000000000000100</v>
      </c>
      <c r="K1534" s="319"/>
      <c r="L1534" s="319"/>
      <c r="M1534" s="319"/>
      <c r="N1534" s="12"/>
      <c r="O1534" s="319" t="str">
        <f>"0b"&amp;DEC2BIN(((AF1531+AE1531*2+AD1531*4+AC1531*8+AB1531*16+AA1531*32+Z1531*64+Y1531*128+X1531*256+W1531*512+V1531*1024+U1531*2048+T1531*4096+S1531*2^13+R1531*2^14)/512),6)&amp;DEC2BIN(MOD((AF1531+AE1531*2+AD1531*4+AC1531*8+AB1531*16+AA1531*32+Z1531*64+Y1531*128+X1531*256+W1531*512+V1531*1024+U1531*2048+T1531*4096+S1531*2^13+R1531*2^14),512),9)</f>
        <v>0b000000110101000</v>
      </c>
      <c r="P1534" s="319"/>
      <c r="Q1534" s="319"/>
      <c r="R1534" s="319"/>
      <c r="S1534" s="12"/>
      <c r="T1534" s="13">
        <v>0</v>
      </c>
      <c r="U1534" s="13">
        <f>AH1531</f>
        <v>0</v>
      </c>
      <c r="V1534" s="5"/>
      <c r="W1534" s="14"/>
      <c r="X1534" s="14"/>
      <c r="Y1534" s="14"/>
      <c r="Z1534" s="14"/>
      <c r="AA1534" s="14"/>
      <c r="AB1534" s="14"/>
      <c r="AC1534" s="14"/>
      <c r="AD1534" s="14"/>
      <c r="AE1534" s="14"/>
      <c r="AF1534" s="14"/>
      <c r="AG1534" s="14"/>
      <c r="AH1534" s="14"/>
      <c r="AI1534" s="6"/>
    </row>
    <row r="1535" spans="1:35" x14ac:dyDescent="0.25">
      <c r="A1535" s="3"/>
      <c r="B1535" s="42"/>
      <c r="C1535" s="42"/>
      <c r="D1535" s="42"/>
      <c r="E1535" s="15"/>
      <c r="F1535" s="43"/>
      <c r="G1535" s="43"/>
      <c r="H1535" s="43"/>
      <c r="I1535" s="15"/>
      <c r="J1535" s="42"/>
      <c r="K1535" s="42"/>
      <c r="L1535" s="42"/>
      <c r="M1535" s="42"/>
      <c r="N1535" s="15"/>
      <c r="O1535" s="42"/>
      <c r="P1535" s="42"/>
      <c r="Q1535" s="42"/>
      <c r="R1535" s="42"/>
      <c r="S1535" s="15"/>
      <c r="T1535" s="13"/>
      <c r="U1535" s="15"/>
      <c r="V1535" s="5"/>
      <c r="W1535" s="16"/>
      <c r="X1535" s="16"/>
      <c r="Y1535" s="16"/>
      <c r="Z1535" s="16"/>
      <c r="AA1535" s="16"/>
      <c r="AB1535" s="16"/>
      <c r="AC1535" s="16"/>
      <c r="AD1535" s="16"/>
      <c r="AE1535" s="16"/>
      <c r="AF1535" s="16"/>
      <c r="AG1535" s="16"/>
      <c r="AH1535" s="16"/>
      <c r="AI1535" s="6"/>
    </row>
    <row r="1536" spans="1:35" x14ac:dyDescent="0.25">
      <c r="A1536" s="3"/>
      <c r="B1536" s="42"/>
      <c r="C1536" s="42"/>
      <c r="D1536" s="42"/>
      <c r="E1536" s="15"/>
      <c r="F1536" s="43"/>
      <c r="G1536" s="43"/>
      <c r="H1536" s="43"/>
      <c r="I1536" s="15"/>
      <c r="J1536" s="42"/>
      <c r="K1536" s="42"/>
      <c r="L1536" s="42"/>
      <c r="M1536" s="42"/>
      <c r="N1536" s="15"/>
      <c r="O1536" s="42"/>
      <c r="P1536" s="42"/>
      <c r="Q1536" s="42"/>
      <c r="R1536" s="42"/>
      <c r="S1536" s="15"/>
      <c r="T1536" s="13"/>
      <c r="U1536" s="15"/>
      <c r="V1536" s="5"/>
      <c r="W1536" s="16"/>
      <c r="X1536" s="16"/>
      <c r="Y1536" s="16"/>
      <c r="Z1536" s="16"/>
      <c r="AA1536" s="16"/>
      <c r="AB1536" s="16"/>
      <c r="AC1536" s="16"/>
      <c r="AD1536" s="16"/>
      <c r="AE1536" s="16"/>
      <c r="AF1536" s="16"/>
      <c r="AG1536" s="16"/>
      <c r="AH1536" s="16"/>
      <c r="AI1536" s="6"/>
    </row>
    <row r="1537" spans="1:35" x14ac:dyDescent="0.25">
      <c r="A1537" s="3"/>
      <c r="B1537" s="5"/>
      <c r="C1537" s="5"/>
      <c r="D1537" s="5"/>
      <c r="E1537" s="5"/>
      <c r="F1537" s="17"/>
      <c r="G1537" s="17"/>
      <c r="H1537" s="17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5"/>
      <c r="AH1537" s="5"/>
      <c r="AI1537" s="6"/>
    </row>
    <row r="1538" spans="1:35" x14ac:dyDescent="0.25">
      <c r="A1538" s="3"/>
      <c r="B1538" s="5" t="s">
        <v>47</v>
      </c>
      <c r="C1538" s="18"/>
      <c r="D1538" s="18"/>
      <c r="E1538" s="18"/>
      <c r="F1538" s="5"/>
      <c r="G1538" s="5"/>
      <c r="H1538" s="5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  <c r="AB1538" s="18"/>
      <c r="AC1538" s="18"/>
      <c r="AD1538" s="18"/>
      <c r="AE1538" s="18"/>
      <c r="AF1538" s="18"/>
      <c r="AG1538" s="18"/>
      <c r="AH1538" s="18"/>
      <c r="AI1538" s="6"/>
    </row>
    <row r="1539" spans="1:35" ht="15" customHeight="1" x14ac:dyDescent="0.25">
      <c r="A1539" s="3"/>
      <c r="B1539" s="42" t="str">
        <f>"0x"&amp;DEC2HEX(Sheet3!$I$4,8)</f>
        <v>0x00400320</v>
      </c>
      <c r="C1539" s="42"/>
      <c r="D1539" s="42"/>
      <c r="E1539" s="16"/>
      <c r="F1539" s="322" t="str">
        <f>F1534&amp;BIN2HEX(MID(J1534,3,8),2)&amp;BIN2HEX(RIGHT(J1534,7)&amp;MID(O1534,3,1),2)&amp;BIN2HEX(MID(O1534,4,8),2)&amp;BIN2HEX(RIGHT(O1534,6)&amp;T1534&amp;U1534,2)</f>
        <v>0x00000000000806A0</v>
      </c>
      <c r="G1539" s="322"/>
      <c r="H1539" s="322"/>
      <c r="I1539" s="322"/>
      <c r="J1539" s="5"/>
      <c r="K1539" s="5"/>
      <c r="L1539" s="5"/>
      <c r="M1539" s="5"/>
      <c r="N1539" s="5"/>
      <c r="O1539" s="5"/>
      <c r="P1539" s="16"/>
      <c r="Q1539" s="16"/>
      <c r="R1539" s="19"/>
      <c r="S1539" s="19"/>
      <c r="T1539" s="19"/>
      <c r="U1539" s="19"/>
      <c r="V1539" s="19"/>
      <c r="W1539" s="19"/>
      <c r="X1539" s="19"/>
      <c r="Y1539" s="19"/>
      <c r="Z1539" s="19"/>
      <c r="AA1539" s="19"/>
      <c r="AB1539" s="19"/>
      <c r="AC1539" s="19"/>
      <c r="AD1539" s="19"/>
      <c r="AE1539" s="19"/>
      <c r="AF1539" s="19"/>
      <c r="AG1539" s="5"/>
      <c r="AH1539" s="5"/>
      <c r="AI1539" s="6"/>
    </row>
    <row r="1540" spans="1:35" x14ac:dyDescent="0.25">
      <c r="A1540" s="3"/>
      <c r="B1540" s="37"/>
      <c r="C1540" s="37"/>
      <c r="D1540" s="37"/>
      <c r="E1540" s="5"/>
      <c r="F1540" s="38"/>
      <c r="G1540" s="38"/>
      <c r="H1540" s="38"/>
      <c r="I1540" s="38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5"/>
      <c r="AH1540" s="5"/>
      <c r="AI1540" s="6"/>
    </row>
    <row r="1541" spans="1:35" x14ac:dyDescent="0.25">
      <c r="A1541" s="3"/>
      <c r="B1541" s="37"/>
      <c r="C1541" s="37"/>
      <c r="D1541" s="37"/>
      <c r="E1541" s="5"/>
      <c r="F1541" s="38"/>
      <c r="G1541" s="38"/>
      <c r="H1541" s="38"/>
      <c r="I1541" s="38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5"/>
      <c r="AH1541" s="5"/>
      <c r="AI1541" s="6"/>
    </row>
    <row r="1542" spans="1:35" x14ac:dyDescent="0.25">
      <c r="A1542" s="20"/>
      <c r="B1542" s="21"/>
      <c r="C1542" s="21"/>
      <c r="D1542" s="21"/>
      <c r="E1542" s="21"/>
      <c r="F1542" s="21"/>
      <c r="G1542" s="21"/>
      <c r="H1542" s="21"/>
      <c r="I1542" s="21"/>
      <c r="J1542" s="21"/>
      <c r="K1542" s="21"/>
      <c r="L1542" s="21"/>
      <c r="M1542" s="21"/>
      <c r="N1542" s="21"/>
      <c r="O1542" s="22"/>
      <c r="P1542" s="21"/>
      <c r="Q1542" s="21"/>
      <c r="R1542" s="21"/>
      <c r="S1542" s="21"/>
      <c r="T1542" s="21"/>
      <c r="U1542" s="21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  <c r="AF1542" s="21"/>
      <c r="AG1542" s="21"/>
      <c r="AH1542" s="21"/>
      <c r="AI1542" s="23"/>
    </row>
    <row r="1543" spans="1:35" x14ac:dyDescent="0.25">
      <c r="A1543" s="24"/>
      <c r="B1543" s="28"/>
      <c r="C1543" s="25"/>
      <c r="D1543" s="25"/>
      <c r="E1543" s="25"/>
      <c r="F1543" s="25"/>
      <c r="G1543" s="25"/>
      <c r="H1543" s="25"/>
      <c r="I1543" s="25"/>
      <c r="J1543" s="25"/>
      <c r="K1543" s="25"/>
      <c r="L1543" s="25"/>
      <c r="M1543" s="25"/>
      <c r="N1543" s="25"/>
      <c r="O1543" s="25"/>
      <c r="P1543" s="25"/>
      <c r="Q1543" s="25"/>
      <c r="R1543" s="25"/>
      <c r="S1543" s="25"/>
      <c r="T1543" s="25"/>
      <c r="U1543" s="25"/>
      <c r="V1543" s="25"/>
      <c r="W1543" s="25"/>
      <c r="X1543" s="25"/>
      <c r="Y1543" s="25"/>
      <c r="Z1543" s="25"/>
      <c r="AA1543" s="25"/>
      <c r="AB1543" s="25"/>
      <c r="AC1543" s="25"/>
      <c r="AD1543" s="25"/>
      <c r="AE1543" s="25"/>
      <c r="AF1543" s="25"/>
      <c r="AG1543" s="25"/>
      <c r="AH1543" s="25"/>
      <c r="AI1543" s="26"/>
    </row>
    <row r="1544" spans="1:35" x14ac:dyDescent="0.25">
      <c r="A1544" s="3"/>
      <c r="B1544" s="4" t="s">
        <v>202</v>
      </c>
      <c r="C1544" s="5"/>
      <c r="D1544" s="5"/>
      <c r="E1544" s="5"/>
      <c r="F1544" s="5"/>
      <c r="G1544" s="5"/>
      <c r="H1544" s="5"/>
      <c r="I1544" s="5" t="str">
        <f>"0x"&amp;BIN2HEX(CONCATENATE(C1549,D1549,E1549,F1549,G1549,H1549,I1549,J1549),2)&amp;BIN2HEX(CONCATENATE(K1549,L1549,M1549,N1549,O1549,P1549,Q1549,R1549),2)&amp;BIN2HEX(CONCATENATE(S1549,T1549,U1549,V1549,W1549,X1549,Y1549,Z1549),2)&amp;BIN2HEX(CONCATENATE(AA1549,AB1549,AC1549,AD1549,AE1549,AF1549,AG1549,AH1549),2)&amp;"_"&amp;BIN2HEX(CONCATENATE(C1553,D1553,E1553,F1553,G1553,H1553,I1553,J1553),2)&amp;BIN2HEX(CONCATENATE(K1553,L1553,M1553,N1553,O1553,P1553,Q1553,R1553),2)&amp;BIN2HEX(CONCATENATE(S1553,T1553,U1553,V1553,W1553,X1553,Y1553,Z1553),2)&amp;BIN2HEX(CONCATENATE(AA1553,AB1553,AC1553,AD1553,AE1553,AF1553,AG1553,AH1553),2)</f>
        <v>0x00000000_000806A4</v>
      </c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5"/>
      <c r="AH1544" s="5"/>
      <c r="AI1544" s="6"/>
    </row>
    <row r="1545" spans="1:35" ht="15.75" thickBot="1" x14ac:dyDescent="0.3">
      <c r="A1545" s="3"/>
      <c r="B1545" s="5"/>
      <c r="C1545" s="7">
        <v>0</v>
      </c>
      <c r="D1545" s="7">
        <v>1</v>
      </c>
      <c r="E1545" s="7">
        <v>2</v>
      </c>
      <c r="F1545" s="7">
        <v>3</v>
      </c>
      <c r="G1545" s="7">
        <v>4</v>
      </c>
      <c r="H1545" s="7">
        <v>5</v>
      </c>
      <c r="I1545" s="7">
        <v>6</v>
      </c>
      <c r="J1545" s="7">
        <v>7</v>
      </c>
      <c r="K1545" s="7">
        <v>8</v>
      </c>
      <c r="L1545" s="7">
        <v>9</v>
      </c>
      <c r="M1545" s="7">
        <v>10</v>
      </c>
      <c r="N1545" s="7">
        <v>11</v>
      </c>
      <c r="O1545" s="7">
        <v>12</v>
      </c>
      <c r="P1545" s="7">
        <v>13</v>
      </c>
      <c r="Q1545" s="7">
        <v>14</v>
      </c>
      <c r="R1545" s="7">
        <v>15</v>
      </c>
      <c r="S1545" s="7">
        <v>16</v>
      </c>
      <c r="T1545" s="7">
        <v>17</v>
      </c>
      <c r="U1545" s="7">
        <v>18</v>
      </c>
      <c r="V1545" s="7">
        <v>19</v>
      </c>
      <c r="W1545" s="7">
        <v>20</v>
      </c>
      <c r="X1545" s="7">
        <v>21</v>
      </c>
      <c r="Y1545" s="7">
        <v>22</v>
      </c>
      <c r="Z1545" s="7">
        <v>23</v>
      </c>
      <c r="AA1545" s="7">
        <v>24</v>
      </c>
      <c r="AB1545" s="7">
        <v>25</v>
      </c>
      <c r="AC1545" s="7">
        <v>26</v>
      </c>
      <c r="AD1545" s="7">
        <v>27</v>
      </c>
      <c r="AE1545" s="7">
        <v>28</v>
      </c>
      <c r="AF1545" s="7">
        <v>29</v>
      </c>
      <c r="AG1545" s="7">
        <v>30</v>
      </c>
      <c r="AH1545" s="7">
        <v>31</v>
      </c>
      <c r="AI1545" s="6"/>
    </row>
    <row r="1546" spans="1:35" x14ac:dyDescent="0.25">
      <c r="A1546" s="3"/>
      <c r="B1546" s="5" t="s">
        <v>31</v>
      </c>
      <c r="C1546" s="328" t="s">
        <v>161</v>
      </c>
      <c r="D1546" s="330" t="s">
        <v>63</v>
      </c>
      <c r="E1546" s="331"/>
      <c r="F1546" s="331"/>
      <c r="G1546" s="331"/>
      <c r="H1546" s="331"/>
      <c r="I1546" s="331"/>
      <c r="J1546" s="332"/>
      <c r="K1546" s="336">
        <v>0</v>
      </c>
      <c r="L1546" s="337"/>
      <c r="M1546" s="337"/>
      <c r="N1546" s="337"/>
      <c r="O1546" s="337"/>
      <c r="P1546" s="337"/>
      <c r="Q1546" s="337"/>
      <c r="R1546" s="337"/>
      <c r="S1546" s="337"/>
      <c r="T1546" s="337"/>
      <c r="U1546" s="337"/>
      <c r="V1546" s="337"/>
      <c r="W1546" s="337"/>
      <c r="X1546" s="337"/>
      <c r="Y1546" s="337"/>
      <c r="Z1546" s="337"/>
      <c r="AA1546" s="337"/>
      <c r="AB1546" s="337"/>
      <c r="AC1546" s="337"/>
      <c r="AD1546" s="337"/>
      <c r="AE1546" s="337"/>
      <c r="AF1546" s="337"/>
      <c r="AG1546" s="337"/>
      <c r="AH1546" s="338"/>
      <c r="AI1546" s="6"/>
    </row>
    <row r="1547" spans="1:35" x14ac:dyDescent="0.25">
      <c r="A1547" s="3"/>
      <c r="B1547" s="5" t="s">
        <v>32</v>
      </c>
      <c r="C1547" s="329"/>
      <c r="D1547" s="333"/>
      <c r="E1547" s="334"/>
      <c r="F1547" s="334"/>
      <c r="G1547" s="334"/>
      <c r="H1547" s="334"/>
      <c r="I1547" s="334"/>
      <c r="J1547" s="335"/>
      <c r="K1547" s="339"/>
      <c r="L1547" s="340"/>
      <c r="M1547" s="340"/>
      <c r="N1547" s="340"/>
      <c r="O1547" s="340"/>
      <c r="P1547" s="340"/>
      <c r="Q1547" s="340"/>
      <c r="R1547" s="340"/>
      <c r="S1547" s="340"/>
      <c r="T1547" s="340"/>
      <c r="U1547" s="340"/>
      <c r="V1547" s="340"/>
      <c r="W1547" s="340"/>
      <c r="X1547" s="340"/>
      <c r="Y1547" s="340"/>
      <c r="Z1547" s="340"/>
      <c r="AA1547" s="340"/>
      <c r="AB1547" s="340"/>
      <c r="AC1547" s="340"/>
      <c r="AD1547" s="340"/>
      <c r="AE1547" s="340"/>
      <c r="AF1547" s="340"/>
      <c r="AG1547" s="340"/>
      <c r="AH1547" s="341"/>
      <c r="AI1547" s="6"/>
    </row>
    <row r="1548" spans="1:35" x14ac:dyDescent="0.25">
      <c r="A1548" s="3"/>
      <c r="B1548" s="5" t="s">
        <v>11</v>
      </c>
      <c r="C1548" s="56">
        <v>0</v>
      </c>
      <c r="D1548" s="57">
        <v>0</v>
      </c>
      <c r="E1548" s="57">
        <v>0</v>
      </c>
      <c r="F1548" s="57">
        <v>0</v>
      </c>
      <c r="G1548" s="57">
        <v>0</v>
      </c>
      <c r="H1548" s="57">
        <v>0</v>
      </c>
      <c r="I1548" s="57">
        <v>0</v>
      </c>
      <c r="J1548" s="57">
        <v>0</v>
      </c>
      <c r="K1548" s="57">
        <v>0</v>
      </c>
      <c r="L1548" s="57">
        <v>0</v>
      </c>
      <c r="M1548" s="57">
        <v>0</v>
      </c>
      <c r="N1548" s="57">
        <v>0</v>
      </c>
      <c r="O1548" s="57">
        <v>0</v>
      </c>
      <c r="P1548" s="57">
        <v>0</v>
      </c>
      <c r="Q1548" s="57">
        <v>0</v>
      </c>
      <c r="R1548" s="57">
        <v>0</v>
      </c>
      <c r="S1548" s="57">
        <v>0</v>
      </c>
      <c r="T1548" s="57">
        <v>0</v>
      </c>
      <c r="U1548" s="57">
        <v>0</v>
      </c>
      <c r="V1548" s="57">
        <v>0</v>
      </c>
      <c r="W1548" s="57">
        <v>0</v>
      </c>
      <c r="X1548" s="57">
        <v>0</v>
      </c>
      <c r="Y1548" s="57">
        <v>0</v>
      </c>
      <c r="Z1548" s="57">
        <v>0</v>
      </c>
      <c r="AA1548" s="57">
        <v>0</v>
      </c>
      <c r="AB1548" s="57">
        <v>0</v>
      </c>
      <c r="AC1548" s="57">
        <v>0</v>
      </c>
      <c r="AD1548" s="57">
        <v>0</v>
      </c>
      <c r="AE1548" s="57">
        <v>0</v>
      </c>
      <c r="AF1548" s="57">
        <v>0</v>
      </c>
      <c r="AG1548" s="57">
        <v>0</v>
      </c>
      <c r="AH1548" s="58">
        <v>0</v>
      </c>
      <c r="AI1548" s="6"/>
    </row>
    <row r="1549" spans="1:35" ht="15.75" thickBot="1" x14ac:dyDescent="0.3">
      <c r="A1549" s="3"/>
      <c r="B1549" s="5" t="s">
        <v>12</v>
      </c>
      <c r="C1549" s="145">
        <v>0</v>
      </c>
      <c r="D1549" s="88">
        <v>0</v>
      </c>
      <c r="E1549" s="88">
        <v>0</v>
      </c>
      <c r="F1549" s="88">
        <v>0</v>
      </c>
      <c r="G1549" s="88">
        <v>0</v>
      </c>
      <c r="H1549" s="88">
        <v>0</v>
      </c>
      <c r="I1549" s="88">
        <v>0</v>
      </c>
      <c r="J1549" s="88">
        <v>0</v>
      </c>
      <c r="K1549" s="62">
        <v>0</v>
      </c>
      <c r="L1549" s="62">
        <v>0</v>
      </c>
      <c r="M1549" s="62">
        <v>0</v>
      </c>
      <c r="N1549" s="62">
        <v>0</v>
      </c>
      <c r="O1549" s="62">
        <v>0</v>
      </c>
      <c r="P1549" s="62">
        <v>0</v>
      </c>
      <c r="Q1549" s="62">
        <v>0</v>
      </c>
      <c r="R1549" s="62">
        <v>0</v>
      </c>
      <c r="S1549" s="62">
        <v>0</v>
      </c>
      <c r="T1549" s="62">
        <v>0</v>
      </c>
      <c r="U1549" s="62">
        <v>0</v>
      </c>
      <c r="V1549" s="62">
        <v>0</v>
      </c>
      <c r="W1549" s="62">
        <v>0</v>
      </c>
      <c r="X1549" s="62">
        <v>0</v>
      </c>
      <c r="Y1549" s="62">
        <v>0</v>
      </c>
      <c r="Z1549" s="62">
        <v>0</v>
      </c>
      <c r="AA1549" s="62">
        <v>0</v>
      </c>
      <c r="AB1549" s="62">
        <v>0</v>
      </c>
      <c r="AC1549" s="62">
        <v>0</v>
      </c>
      <c r="AD1549" s="62">
        <v>0</v>
      </c>
      <c r="AE1549" s="62">
        <v>0</v>
      </c>
      <c r="AF1549" s="62">
        <v>0</v>
      </c>
      <c r="AG1549" s="62">
        <v>0</v>
      </c>
      <c r="AH1549" s="146">
        <v>0</v>
      </c>
      <c r="AI1549" s="6"/>
    </row>
    <row r="1550" spans="1:35" x14ac:dyDescent="0.25">
      <c r="A1550" s="3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5"/>
      <c r="AH1550" s="5"/>
      <c r="AI1550" s="6"/>
    </row>
    <row r="1551" spans="1:35" ht="15.75" thickBot="1" x14ac:dyDescent="0.3">
      <c r="A1551" s="3"/>
      <c r="B1551" s="5"/>
      <c r="C1551" s="7">
        <v>32</v>
      </c>
      <c r="D1551" s="7">
        <v>33</v>
      </c>
      <c r="E1551" s="7">
        <v>34</v>
      </c>
      <c r="F1551" s="7">
        <v>35</v>
      </c>
      <c r="G1551" s="7">
        <v>36</v>
      </c>
      <c r="H1551" s="7">
        <v>37</v>
      </c>
      <c r="I1551" s="7">
        <v>38</v>
      </c>
      <c r="J1551" s="7">
        <v>39</v>
      </c>
      <c r="K1551" s="7">
        <v>40</v>
      </c>
      <c r="L1551" s="7">
        <v>41</v>
      </c>
      <c r="M1551" s="7">
        <v>42</v>
      </c>
      <c r="N1551" s="7">
        <v>43</v>
      </c>
      <c r="O1551" s="7">
        <v>44</v>
      </c>
      <c r="P1551" s="7">
        <v>45</v>
      </c>
      <c r="Q1551" s="7">
        <v>46</v>
      </c>
      <c r="R1551" s="7">
        <v>47</v>
      </c>
      <c r="S1551" s="7">
        <v>48</v>
      </c>
      <c r="T1551" s="7">
        <v>49</v>
      </c>
      <c r="U1551" s="7">
        <v>50</v>
      </c>
      <c r="V1551" s="7">
        <v>51</v>
      </c>
      <c r="W1551" s="7">
        <v>52</v>
      </c>
      <c r="X1551" s="7">
        <v>53</v>
      </c>
      <c r="Y1551" s="7">
        <v>54</v>
      </c>
      <c r="Z1551" s="7">
        <v>55</v>
      </c>
      <c r="AA1551" s="7">
        <v>56</v>
      </c>
      <c r="AB1551" s="7">
        <v>57</v>
      </c>
      <c r="AC1551" s="7">
        <v>58</v>
      </c>
      <c r="AD1551" s="7">
        <v>59</v>
      </c>
      <c r="AE1551" s="7">
        <v>60</v>
      </c>
      <c r="AF1551" s="7">
        <v>61</v>
      </c>
      <c r="AG1551" s="7">
        <v>62</v>
      </c>
      <c r="AH1551" s="7">
        <v>63</v>
      </c>
      <c r="AI1551" s="6"/>
    </row>
    <row r="1552" spans="1:35" ht="15.75" thickBot="1" x14ac:dyDescent="0.3">
      <c r="A1552" s="3"/>
      <c r="B1552" s="5"/>
      <c r="C1552" s="147" t="s">
        <v>13</v>
      </c>
      <c r="D1552" s="148" t="s">
        <v>14</v>
      </c>
      <c r="E1552" s="148" t="s">
        <v>15</v>
      </c>
      <c r="F1552" s="148" t="s">
        <v>16</v>
      </c>
      <c r="G1552" s="148" t="s">
        <v>17</v>
      </c>
      <c r="H1552" s="148" t="s">
        <v>18</v>
      </c>
      <c r="I1552" s="148" t="s">
        <v>19</v>
      </c>
      <c r="J1552" s="148" t="s">
        <v>20</v>
      </c>
      <c r="K1552" s="148" t="s">
        <v>21</v>
      </c>
      <c r="L1552" s="148" t="s">
        <v>22</v>
      </c>
      <c r="M1552" s="148" t="s">
        <v>23</v>
      </c>
      <c r="N1552" s="148" t="s">
        <v>24</v>
      </c>
      <c r="O1552" s="148" t="s">
        <v>25</v>
      </c>
      <c r="P1552" s="148" t="s">
        <v>26</v>
      </c>
      <c r="Q1552" s="148" t="s">
        <v>27</v>
      </c>
      <c r="R1552" s="342" t="s">
        <v>30</v>
      </c>
      <c r="S1552" s="343"/>
      <c r="T1552" s="343"/>
      <c r="U1552" s="343"/>
      <c r="V1552" s="343"/>
      <c r="W1552" s="343"/>
      <c r="X1552" s="343"/>
      <c r="Y1552" s="343"/>
      <c r="Z1552" s="343"/>
      <c r="AA1552" s="343"/>
      <c r="AB1552" s="343"/>
      <c r="AC1552" s="343"/>
      <c r="AD1552" s="343"/>
      <c r="AE1552" s="343"/>
      <c r="AF1552" s="344"/>
      <c r="AG1552" s="67" t="s">
        <v>28</v>
      </c>
      <c r="AH1552" s="149" t="s">
        <v>29</v>
      </c>
      <c r="AI1552" s="6"/>
    </row>
    <row r="1553" spans="1:35" ht="15.75" thickBot="1" x14ac:dyDescent="0.3">
      <c r="A1553" s="3"/>
      <c r="B1553" s="5"/>
      <c r="C1553" s="150">
        <v>0</v>
      </c>
      <c r="D1553" s="151">
        <v>0</v>
      </c>
      <c r="E1553" s="151">
        <v>0</v>
      </c>
      <c r="F1553" s="151">
        <v>0</v>
      </c>
      <c r="G1553" s="151">
        <v>0</v>
      </c>
      <c r="H1553" s="151">
        <v>0</v>
      </c>
      <c r="I1553" s="151">
        <v>0</v>
      </c>
      <c r="J1553" s="151">
        <v>0</v>
      </c>
      <c r="K1553" s="151">
        <v>0</v>
      </c>
      <c r="L1553" s="151">
        <v>0</v>
      </c>
      <c r="M1553" s="151">
        <v>0</v>
      </c>
      <c r="N1553" s="151">
        <v>0</v>
      </c>
      <c r="O1553" s="151">
        <v>1</v>
      </c>
      <c r="P1553" s="151">
        <v>0</v>
      </c>
      <c r="Q1553" s="151">
        <v>0</v>
      </c>
      <c r="R1553" s="151">
        <v>0</v>
      </c>
      <c r="S1553" s="151">
        <v>0</v>
      </c>
      <c r="T1553" s="151">
        <v>0</v>
      </c>
      <c r="U1553" s="151">
        <v>0</v>
      </c>
      <c r="V1553" s="151">
        <v>0</v>
      </c>
      <c r="W1553" s="151">
        <v>0</v>
      </c>
      <c r="X1553" s="151">
        <v>1</v>
      </c>
      <c r="Y1553" s="151">
        <v>1</v>
      </c>
      <c r="Z1553" s="151">
        <v>0</v>
      </c>
      <c r="AA1553" s="151">
        <v>1</v>
      </c>
      <c r="AB1553" s="151">
        <v>0</v>
      </c>
      <c r="AC1553" s="151">
        <v>1</v>
      </c>
      <c r="AD1553" s="151">
        <v>0</v>
      </c>
      <c r="AE1553" s="151">
        <v>0</v>
      </c>
      <c r="AF1553" s="151">
        <v>1</v>
      </c>
      <c r="AG1553" s="151">
        <v>0</v>
      </c>
      <c r="AH1553" s="152">
        <v>0</v>
      </c>
      <c r="AI1553" s="6"/>
    </row>
    <row r="1554" spans="1:35" x14ac:dyDescent="0.25">
      <c r="A1554" s="3"/>
      <c r="B1554" s="4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5"/>
      <c r="AH1554" s="5"/>
      <c r="AI1554" s="6"/>
    </row>
    <row r="1555" spans="1:35" x14ac:dyDescent="0.25">
      <c r="A1555" s="3"/>
      <c r="B1555" s="8" t="s">
        <v>43</v>
      </c>
      <c r="C1555" s="9"/>
      <c r="D1555" s="9"/>
      <c r="E1555" s="9"/>
      <c r="F1555" s="44" t="s">
        <v>44</v>
      </c>
      <c r="G1555" s="44"/>
      <c r="H1555" s="44"/>
      <c r="I1555" s="9"/>
      <c r="J1555" s="45" t="s">
        <v>45</v>
      </c>
      <c r="K1555" s="45"/>
      <c r="L1555" s="45"/>
      <c r="M1555" s="45"/>
      <c r="N1555" s="9"/>
      <c r="O1555" s="46" t="s">
        <v>46</v>
      </c>
      <c r="P1555" s="46"/>
      <c r="Q1555" s="46"/>
      <c r="R1555" s="46"/>
      <c r="S1555" s="9"/>
      <c r="T1555" s="1" t="s">
        <v>49</v>
      </c>
      <c r="U1555" s="10" t="s">
        <v>48</v>
      </c>
      <c r="V1555" s="5"/>
      <c r="W1555" s="9"/>
      <c r="X1555" s="9"/>
      <c r="Y1555" s="9"/>
      <c r="Z1555" s="9"/>
      <c r="AA1555" s="9"/>
      <c r="AB1555" s="9"/>
      <c r="AC1555" s="9"/>
      <c r="AD1555" s="9"/>
      <c r="AE1555" s="9"/>
      <c r="AF1555" s="9"/>
      <c r="AG1555" s="9"/>
      <c r="AH1555" s="9"/>
      <c r="AI1555" s="6"/>
    </row>
    <row r="1556" spans="1:35" ht="15" customHeight="1" x14ac:dyDescent="0.25">
      <c r="A1556" s="3"/>
      <c r="B1556" s="42" t="str">
        <f>"0x"&amp;DEC2HEX(Sheet3!$I$4,8)</f>
        <v>0x00400320</v>
      </c>
      <c r="C1556" s="42"/>
      <c r="D1556" s="42"/>
      <c r="E1556" s="12"/>
      <c r="F1556" s="319" t="str">
        <f>"0x"&amp;BIN2HEX(CONCATENATE(C1549,D1549,E1549,F1549,G1549,H1549,I1549,J1549),2)&amp;BIN2HEX(CONCATENATE(K1549,L1549,M1549,N1549,O1549,P1549,Q1549,R1549),2)&amp;BIN2HEX(CONCATENATE(S1549,T1549,U1549,V1549,W1549,X1549,Y1549,Z1549),2)&amp;BIN2HEX(CONCATENATE(AA1549,AB1549,AC1549,AD1549,AE1549,AF1549,AG1549,AH1549),2)</f>
        <v>0x00000000</v>
      </c>
      <c r="G1556" s="319"/>
      <c r="H1556" s="319"/>
      <c r="I1556" s="12"/>
      <c r="J1556" s="319" t="str">
        <f>"0b"&amp;C1553&amp;D1553&amp;E1553&amp;F1553&amp;G1553&amp;H1553&amp;I1553&amp;J1553&amp;K1553&amp;L1553&amp;M1553&amp;N1553&amp;O1553&amp;P1553&amp;Q1553</f>
        <v>0b000000000000100</v>
      </c>
      <c r="K1556" s="319"/>
      <c r="L1556" s="319"/>
      <c r="M1556" s="319"/>
      <c r="N1556" s="12"/>
      <c r="O1556" s="319" t="str">
        <f>"0b"&amp;DEC2BIN(((AF1553+AE1553*2+AD1553*4+AC1553*8+AB1553*16+AA1553*32+Z1553*64+Y1553*128+X1553*256+W1553*512+V1553*1024+U1553*2048+T1553*4096+S1553*2^13+R1553*2^14)/512),6)&amp;DEC2BIN(MOD((AF1553+AE1553*2+AD1553*4+AC1553*8+AB1553*16+AA1553*32+Z1553*64+Y1553*128+X1553*256+W1553*512+V1553*1024+U1553*2048+T1553*4096+S1553*2^13+R1553*2^14),512),9)</f>
        <v>0b000000110101001</v>
      </c>
      <c r="P1556" s="319"/>
      <c r="Q1556" s="319"/>
      <c r="R1556" s="319"/>
      <c r="S1556" s="12"/>
      <c r="T1556" s="13">
        <v>0</v>
      </c>
      <c r="U1556" s="13">
        <f>AH1553</f>
        <v>0</v>
      </c>
      <c r="V1556" s="5"/>
      <c r="W1556" s="14"/>
      <c r="X1556" s="14"/>
      <c r="Y1556" s="14"/>
      <c r="Z1556" s="14"/>
      <c r="AA1556" s="14"/>
      <c r="AB1556" s="14"/>
      <c r="AC1556" s="14"/>
      <c r="AD1556" s="14"/>
      <c r="AE1556" s="14"/>
      <c r="AF1556" s="14"/>
      <c r="AG1556" s="14"/>
      <c r="AH1556" s="14"/>
      <c r="AI1556" s="6"/>
    </row>
    <row r="1557" spans="1:35" x14ac:dyDescent="0.25">
      <c r="A1557" s="3"/>
      <c r="B1557" s="42"/>
      <c r="C1557" s="42"/>
      <c r="D1557" s="42"/>
      <c r="E1557" s="15"/>
      <c r="F1557" s="43"/>
      <c r="G1557" s="43"/>
      <c r="H1557" s="43"/>
      <c r="I1557" s="15"/>
      <c r="J1557" s="42"/>
      <c r="K1557" s="42"/>
      <c r="L1557" s="42"/>
      <c r="M1557" s="42"/>
      <c r="N1557" s="15"/>
      <c r="O1557" s="42"/>
      <c r="P1557" s="42"/>
      <c r="Q1557" s="42"/>
      <c r="R1557" s="42"/>
      <c r="S1557" s="15"/>
      <c r="T1557" s="13"/>
      <c r="U1557" s="15"/>
      <c r="V1557" s="5"/>
      <c r="W1557" s="16"/>
      <c r="X1557" s="16"/>
      <c r="Y1557" s="16"/>
      <c r="Z1557" s="16"/>
      <c r="AA1557" s="16"/>
      <c r="AB1557" s="16"/>
      <c r="AC1557" s="16"/>
      <c r="AD1557" s="16"/>
      <c r="AE1557" s="16"/>
      <c r="AF1557" s="16"/>
      <c r="AG1557" s="16"/>
      <c r="AH1557" s="16"/>
      <c r="AI1557" s="6"/>
    </row>
    <row r="1558" spans="1:35" x14ac:dyDescent="0.25">
      <c r="A1558" s="3"/>
      <c r="B1558" s="42"/>
      <c r="C1558" s="42"/>
      <c r="D1558" s="42"/>
      <c r="E1558" s="15"/>
      <c r="F1558" s="43"/>
      <c r="G1558" s="43"/>
      <c r="H1558" s="43"/>
      <c r="I1558" s="15"/>
      <c r="J1558" s="42"/>
      <c r="K1558" s="42"/>
      <c r="L1558" s="42"/>
      <c r="M1558" s="42"/>
      <c r="N1558" s="15"/>
      <c r="O1558" s="42"/>
      <c r="P1558" s="42"/>
      <c r="Q1558" s="42"/>
      <c r="R1558" s="42"/>
      <c r="S1558" s="15"/>
      <c r="T1558" s="13"/>
      <c r="U1558" s="15"/>
      <c r="V1558" s="5"/>
      <c r="W1558" s="16"/>
      <c r="X1558" s="16"/>
      <c r="Y1558" s="16"/>
      <c r="Z1558" s="16"/>
      <c r="AA1558" s="16"/>
      <c r="AB1558" s="16"/>
      <c r="AC1558" s="16"/>
      <c r="AD1558" s="16"/>
      <c r="AE1558" s="16"/>
      <c r="AF1558" s="16"/>
      <c r="AG1558" s="16"/>
      <c r="AH1558" s="16"/>
      <c r="AI1558" s="6"/>
    </row>
    <row r="1559" spans="1:35" x14ac:dyDescent="0.25">
      <c r="A1559" s="3"/>
      <c r="B1559" s="5"/>
      <c r="C1559" s="5"/>
      <c r="D1559" s="5"/>
      <c r="E1559" s="5"/>
      <c r="F1559" s="17"/>
      <c r="G1559" s="17"/>
      <c r="H1559" s="17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5"/>
      <c r="AH1559" s="5"/>
      <c r="AI1559" s="6"/>
    </row>
    <row r="1560" spans="1:35" x14ac:dyDescent="0.25">
      <c r="A1560" s="3"/>
      <c r="B1560" s="5" t="s">
        <v>47</v>
      </c>
      <c r="C1560" s="18"/>
      <c r="D1560" s="18"/>
      <c r="E1560" s="18"/>
      <c r="F1560" s="5"/>
      <c r="G1560" s="5"/>
      <c r="H1560" s="5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  <c r="AB1560" s="18"/>
      <c r="AC1560" s="18"/>
      <c r="AD1560" s="18"/>
      <c r="AE1560" s="18"/>
      <c r="AF1560" s="18"/>
      <c r="AG1560" s="18"/>
      <c r="AH1560" s="18"/>
      <c r="AI1560" s="6"/>
    </row>
    <row r="1561" spans="1:35" ht="15" customHeight="1" x14ac:dyDescent="0.25">
      <c r="A1561" s="3"/>
      <c r="B1561" s="42" t="str">
        <f>"0x"&amp;DEC2HEX(Sheet3!$I$4,8)</f>
        <v>0x00400320</v>
      </c>
      <c r="C1561" s="42"/>
      <c r="D1561" s="42"/>
      <c r="E1561" s="16"/>
      <c r="F1561" s="322" t="str">
        <f>F1556&amp;BIN2HEX(MID(J1556,3,8),2)&amp;BIN2HEX(RIGHT(J1556,7)&amp;MID(O1556,3,1),2)&amp;BIN2HEX(MID(O1556,4,8),2)&amp;BIN2HEX(RIGHT(O1556,6)&amp;T1556&amp;U1556,2)</f>
        <v>0x00000000000806A4</v>
      </c>
      <c r="G1561" s="322"/>
      <c r="H1561" s="322"/>
      <c r="I1561" s="322"/>
      <c r="J1561" s="5"/>
      <c r="K1561" s="5"/>
      <c r="L1561" s="5"/>
      <c r="M1561" s="5"/>
      <c r="N1561" s="5"/>
      <c r="O1561" s="5"/>
      <c r="P1561" s="16"/>
      <c r="Q1561" s="16"/>
      <c r="R1561" s="19"/>
      <c r="S1561" s="19"/>
      <c r="T1561" s="19"/>
      <c r="U1561" s="19"/>
      <c r="V1561" s="19"/>
      <c r="W1561" s="19"/>
      <c r="X1561" s="19"/>
      <c r="Y1561" s="19"/>
      <c r="Z1561" s="19"/>
      <c r="AA1561" s="19"/>
      <c r="AB1561" s="19"/>
      <c r="AC1561" s="19"/>
      <c r="AD1561" s="19"/>
      <c r="AE1561" s="19"/>
      <c r="AF1561" s="19"/>
      <c r="AG1561" s="5"/>
      <c r="AH1561" s="5"/>
      <c r="AI1561" s="6"/>
    </row>
    <row r="1562" spans="1:35" x14ac:dyDescent="0.25">
      <c r="A1562" s="3"/>
      <c r="B1562" s="37"/>
      <c r="C1562" s="37"/>
      <c r="D1562" s="37"/>
      <c r="E1562" s="5"/>
      <c r="F1562" s="38"/>
      <c r="G1562" s="38"/>
      <c r="H1562" s="38"/>
      <c r="I1562" s="38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5"/>
      <c r="AH1562" s="5"/>
      <c r="AI1562" s="6"/>
    </row>
    <row r="1563" spans="1:35" x14ac:dyDescent="0.25">
      <c r="A1563" s="3"/>
      <c r="B1563" s="37"/>
      <c r="C1563" s="37"/>
      <c r="D1563" s="37"/>
      <c r="E1563" s="5"/>
      <c r="F1563" s="38"/>
      <c r="G1563" s="38"/>
      <c r="H1563" s="38"/>
      <c r="I1563" s="38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5"/>
      <c r="AH1563" s="5"/>
      <c r="AI1563" s="6"/>
    </row>
    <row r="1564" spans="1:35" x14ac:dyDescent="0.25">
      <c r="A1564" s="20"/>
      <c r="B1564" s="21"/>
      <c r="C1564" s="21"/>
      <c r="D1564" s="21"/>
      <c r="E1564" s="21"/>
      <c r="F1564" s="21"/>
      <c r="G1564" s="21"/>
      <c r="H1564" s="21"/>
      <c r="I1564" s="21"/>
      <c r="J1564" s="21"/>
      <c r="K1564" s="21"/>
      <c r="L1564" s="21"/>
      <c r="M1564" s="21"/>
      <c r="N1564" s="21"/>
      <c r="O1564" s="22"/>
      <c r="P1564" s="21"/>
      <c r="Q1564" s="21"/>
      <c r="R1564" s="21"/>
      <c r="S1564" s="21"/>
      <c r="T1564" s="21"/>
      <c r="U1564" s="21"/>
      <c r="V1564" s="21"/>
      <c r="W1564" s="21"/>
      <c r="X1564" s="21"/>
      <c r="Y1564" s="21"/>
      <c r="Z1564" s="21"/>
      <c r="AA1564" s="21"/>
      <c r="AB1564" s="21"/>
      <c r="AC1564" s="21"/>
      <c r="AD1564" s="21"/>
      <c r="AE1564" s="21"/>
      <c r="AF1564" s="21"/>
      <c r="AG1564" s="21"/>
      <c r="AH1564" s="21"/>
      <c r="AI1564" s="23"/>
    </row>
    <row r="1565" spans="1:35" x14ac:dyDescent="0.25">
      <c r="A1565" s="24"/>
      <c r="B1565" s="28"/>
      <c r="C1565" s="25"/>
      <c r="D1565" s="25"/>
      <c r="E1565" s="25"/>
      <c r="F1565" s="25"/>
      <c r="G1565" s="25"/>
      <c r="H1565" s="25"/>
      <c r="I1565" s="25"/>
      <c r="J1565" s="25"/>
      <c r="K1565" s="25"/>
      <c r="L1565" s="25"/>
      <c r="M1565" s="25"/>
      <c r="N1565" s="25"/>
      <c r="O1565" s="25"/>
      <c r="P1565" s="25"/>
      <c r="Q1565" s="25"/>
      <c r="R1565" s="25"/>
      <c r="S1565" s="25"/>
      <c r="T1565" s="25"/>
      <c r="U1565" s="25"/>
      <c r="V1565" s="25"/>
      <c r="W1565" s="25"/>
      <c r="X1565" s="25"/>
      <c r="Y1565" s="25"/>
      <c r="Z1565" s="25"/>
      <c r="AA1565" s="25"/>
      <c r="AB1565" s="25"/>
      <c r="AC1565" s="25"/>
      <c r="AD1565" s="25"/>
      <c r="AE1565" s="25"/>
      <c r="AF1565" s="25"/>
      <c r="AG1565" s="25"/>
      <c r="AH1565" s="25"/>
      <c r="AI1565" s="26"/>
    </row>
    <row r="1566" spans="1:35" x14ac:dyDescent="0.25">
      <c r="A1566" s="3"/>
      <c r="B1566" s="4" t="s">
        <v>203</v>
      </c>
      <c r="C1566" s="5"/>
      <c r="D1566" s="5"/>
      <c r="E1566" s="5"/>
      <c r="F1566" s="5"/>
      <c r="G1566" s="5"/>
      <c r="H1566" s="5"/>
      <c r="I1566" s="5" t="str">
        <f>"0x"&amp;BIN2HEX(CONCATENATE(C1571,D1571,E1571,F1571,G1571,H1571,I1571,J1571),2)&amp;BIN2HEX(CONCATENATE(K1571,L1571,M1571,N1571,O1571,P1571,Q1571,R1571),2)&amp;BIN2HEX(CONCATENATE(S1571,T1571,U1571,V1571,W1571,X1571,Y1571,Z1571),2)&amp;BIN2HEX(CONCATENATE(AA1571,AB1571,AC1571,AD1571,AE1571,AF1571,AG1571,AH1571),2)&amp;"_"&amp;BIN2HEX(CONCATENATE(C1575,D1575,E1575,F1575,G1575,H1575,I1575,J1575),2)&amp;BIN2HEX(CONCATENATE(K1575,L1575,M1575,N1575,O1575,P1575,Q1575,R1575),2)&amp;BIN2HEX(CONCATENATE(S1575,T1575,U1575,V1575,W1575,X1575,Y1575,Z1575),2)&amp;BIN2HEX(CONCATENATE(AA1575,AB1575,AC1575,AD1575,AE1575,AF1575,AG1575,AH1575),2)</f>
        <v>0x00000000_000806A8</v>
      </c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5"/>
      <c r="AH1566" s="5"/>
      <c r="AI1566" s="6"/>
    </row>
    <row r="1567" spans="1:35" ht="15.75" thickBot="1" x14ac:dyDescent="0.3">
      <c r="A1567" s="3"/>
      <c r="B1567" s="5"/>
      <c r="C1567" s="7">
        <v>0</v>
      </c>
      <c r="D1567" s="7">
        <v>1</v>
      </c>
      <c r="E1567" s="7">
        <v>2</v>
      </c>
      <c r="F1567" s="7">
        <v>3</v>
      </c>
      <c r="G1567" s="7">
        <v>4</v>
      </c>
      <c r="H1567" s="7">
        <v>5</v>
      </c>
      <c r="I1567" s="7">
        <v>6</v>
      </c>
      <c r="J1567" s="7">
        <v>7</v>
      </c>
      <c r="K1567" s="7">
        <v>8</v>
      </c>
      <c r="L1567" s="7">
        <v>9</v>
      </c>
      <c r="M1567" s="7">
        <v>10</v>
      </c>
      <c r="N1567" s="7">
        <v>11</v>
      </c>
      <c r="O1567" s="7">
        <v>12</v>
      </c>
      <c r="P1567" s="7">
        <v>13</v>
      </c>
      <c r="Q1567" s="7">
        <v>14</v>
      </c>
      <c r="R1567" s="7">
        <v>15</v>
      </c>
      <c r="S1567" s="7">
        <v>16</v>
      </c>
      <c r="T1567" s="7">
        <v>17</v>
      </c>
      <c r="U1567" s="7">
        <v>18</v>
      </c>
      <c r="V1567" s="7">
        <v>19</v>
      </c>
      <c r="W1567" s="7">
        <v>20</v>
      </c>
      <c r="X1567" s="7">
        <v>21</v>
      </c>
      <c r="Y1567" s="7">
        <v>22</v>
      </c>
      <c r="Z1567" s="7">
        <v>23</v>
      </c>
      <c r="AA1567" s="7">
        <v>24</v>
      </c>
      <c r="AB1567" s="7">
        <v>25</v>
      </c>
      <c r="AC1567" s="7">
        <v>26</v>
      </c>
      <c r="AD1567" s="7">
        <v>27</v>
      </c>
      <c r="AE1567" s="7">
        <v>28</v>
      </c>
      <c r="AF1567" s="7">
        <v>29</v>
      </c>
      <c r="AG1567" s="7">
        <v>30</v>
      </c>
      <c r="AH1567" s="7">
        <v>31</v>
      </c>
      <c r="AI1567" s="6"/>
    </row>
    <row r="1568" spans="1:35" x14ac:dyDescent="0.25">
      <c r="A1568" s="3"/>
      <c r="B1568" s="5" t="s">
        <v>31</v>
      </c>
      <c r="C1568" s="328" t="s">
        <v>161</v>
      </c>
      <c r="D1568" s="330" t="s">
        <v>63</v>
      </c>
      <c r="E1568" s="331"/>
      <c r="F1568" s="331"/>
      <c r="G1568" s="331"/>
      <c r="H1568" s="331"/>
      <c r="I1568" s="331"/>
      <c r="J1568" s="332"/>
      <c r="K1568" s="336">
        <v>0</v>
      </c>
      <c r="L1568" s="337"/>
      <c r="M1568" s="337"/>
      <c r="N1568" s="337"/>
      <c r="O1568" s="337"/>
      <c r="P1568" s="337"/>
      <c r="Q1568" s="337"/>
      <c r="R1568" s="337"/>
      <c r="S1568" s="337"/>
      <c r="T1568" s="337"/>
      <c r="U1568" s="337"/>
      <c r="V1568" s="337"/>
      <c r="W1568" s="337"/>
      <c r="X1568" s="337"/>
      <c r="Y1568" s="337"/>
      <c r="Z1568" s="337"/>
      <c r="AA1568" s="337"/>
      <c r="AB1568" s="337"/>
      <c r="AC1568" s="337"/>
      <c r="AD1568" s="337"/>
      <c r="AE1568" s="337"/>
      <c r="AF1568" s="337"/>
      <c r="AG1568" s="337"/>
      <c r="AH1568" s="338"/>
      <c r="AI1568" s="6"/>
    </row>
    <row r="1569" spans="1:35" x14ac:dyDescent="0.25">
      <c r="A1569" s="3"/>
      <c r="B1569" s="5" t="s">
        <v>32</v>
      </c>
      <c r="C1569" s="329"/>
      <c r="D1569" s="333"/>
      <c r="E1569" s="334"/>
      <c r="F1569" s="334"/>
      <c r="G1569" s="334"/>
      <c r="H1569" s="334"/>
      <c r="I1569" s="334"/>
      <c r="J1569" s="335"/>
      <c r="K1569" s="339"/>
      <c r="L1569" s="340"/>
      <c r="M1569" s="340"/>
      <c r="N1569" s="340"/>
      <c r="O1569" s="340"/>
      <c r="P1569" s="340"/>
      <c r="Q1569" s="340"/>
      <c r="R1569" s="340"/>
      <c r="S1569" s="340"/>
      <c r="T1569" s="340"/>
      <c r="U1569" s="340"/>
      <c r="V1569" s="340"/>
      <c r="W1569" s="340"/>
      <c r="X1569" s="340"/>
      <c r="Y1569" s="340"/>
      <c r="Z1569" s="340"/>
      <c r="AA1569" s="340"/>
      <c r="AB1569" s="340"/>
      <c r="AC1569" s="340"/>
      <c r="AD1569" s="340"/>
      <c r="AE1569" s="340"/>
      <c r="AF1569" s="340"/>
      <c r="AG1569" s="340"/>
      <c r="AH1569" s="341"/>
      <c r="AI1569" s="6"/>
    </row>
    <row r="1570" spans="1:35" x14ac:dyDescent="0.25">
      <c r="A1570" s="3"/>
      <c r="B1570" s="5" t="s">
        <v>11</v>
      </c>
      <c r="C1570" s="56">
        <v>0</v>
      </c>
      <c r="D1570" s="57">
        <v>0</v>
      </c>
      <c r="E1570" s="57">
        <v>0</v>
      </c>
      <c r="F1570" s="57">
        <v>0</v>
      </c>
      <c r="G1570" s="57">
        <v>0</v>
      </c>
      <c r="H1570" s="57">
        <v>0</v>
      </c>
      <c r="I1570" s="57">
        <v>0</v>
      </c>
      <c r="J1570" s="57">
        <v>0</v>
      </c>
      <c r="K1570" s="57">
        <v>0</v>
      </c>
      <c r="L1570" s="57">
        <v>0</v>
      </c>
      <c r="M1570" s="57">
        <v>0</v>
      </c>
      <c r="N1570" s="57">
        <v>0</v>
      </c>
      <c r="O1570" s="57">
        <v>0</v>
      </c>
      <c r="P1570" s="57">
        <v>0</v>
      </c>
      <c r="Q1570" s="57">
        <v>0</v>
      </c>
      <c r="R1570" s="57">
        <v>0</v>
      </c>
      <c r="S1570" s="57">
        <v>0</v>
      </c>
      <c r="T1570" s="57">
        <v>0</v>
      </c>
      <c r="U1570" s="57">
        <v>0</v>
      </c>
      <c r="V1570" s="57">
        <v>0</v>
      </c>
      <c r="W1570" s="57">
        <v>0</v>
      </c>
      <c r="X1570" s="57">
        <v>0</v>
      </c>
      <c r="Y1570" s="57">
        <v>0</v>
      </c>
      <c r="Z1570" s="57">
        <v>0</v>
      </c>
      <c r="AA1570" s="57">
        <v>0</v>
      </c>
      <c r="AB1570" s="57">
        <v>0</v>
      </c>
      <c r="AC1570" s="57">
        <v>0</v>
      </c>
      <c r="AD1570" s="57">
        <v>0</v>
      </c>
      <c r="AE1570" s="57">
        <v>0</v>
      </c>
      <c r="AF1570" s="57">
        <v>0</v>
      </c>
      <c r="AG1570" s="57">
        <v>0</v>
      </c>
      <c r="AH1570" s="58">
        <v>0</v>
      </c>
      <c r="AI1570" s="6"/>
    </row>
    <row r="1571" spans="1:35" ht="15.75" thickBot="1" x14ac:dyDescent="0.3">
      <c r="A1571" s="3"/>
      <c r="B1571" s="5" t="s">
        <v>12</v>
      </c>
      <c r="C1571" s="145">
        <v>0</v>
      </c>
      <c r="D1571" s="88">
        <v>0</v>
      </c>
      <c r="E1571" s="88">
        <v>0</v>
      </c>
      <c r="F1571" s="88">
        <v>0</v>
      </c>
      <c r="G1571" s="88">
        <v>0</v>
      </c>
      <c r="H1571" s="88">
        <v>0</v>
      </c>
      <c r="I1571" s="88">
        <v>0</v>
      </c>
      <c r="J1571" s="88">
        <v>0</v>
      </c>
      <c r="K1571" s="62">
        <v>0</v>
      </c>
      <c r="L1571" s="62">
        <v>0</v>
      </c>
      <c r="M1571" s="62">
        <v>0</v>
      </c>
      <c r="N1571" s="62">
        <v>0</v>
      </c>
      <c r="O1571" s="62">
        <v>0</v>
      </c>
      <c r="P1571" s="62">
        <v>0</v>
      </c>
      <c r="Q1571" s="62">
        <v>0</v>
      </c>
      <c r="R1571" s="62">
        <v>0</v>
      </c>
      <c r="S1571" s="62">
        <v>0</v>
      </c>
      <c r="T1571" s="62">
        <v>0</v>
      </c>
      <c r="U1571" s="62">
        <v>0</v>
      </c>
      <c r="V1571" s="62">
        <v>0</v>
      </c>
      <c r="W1571" s="62">
        <v>0</v>
      </c>
      <c r="X1571" s="62">
        <v>0</v>
      </c>
      <c r="Y1571" s="62">
        <v>0</v>
      </c>
      <c r="Z1571" s="62">
        <v>0</v>
      </c>
      <c r="AA1571" s="62">
        <v>0</v>
      </c>
      <c r="AB1571" s="62">
        <v>0</v>
      </c>
      <c r="AC1571" s="62">
        <v>0</v>
      </c>
      <c r="AD1571" s="62">
        <v>0</v>
      </c>
      <c r="AE1571" s="62">
        <v>0</v>
      </c>
      <c r="AF1571" s="62">
        <v>0</v>
      </c>
      <c r="AG1571" s="62">
        <v>0</v>
      </c>
      <c r="AH1571" s="146">
        <v>0</v>
      </c>
      <c r="AI1571" s="6"/>
    </row>
    <row r="1572" spans="1:35" x14ac:dyDescent="0.25">
      <c r="A1572" s="3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5"/>
      <c r="AH1572" s="5"/>
      <c r="AI1572" s="6"/>
    </row>
    <row r="1573" spans="1:35" ht="15.75" thickBot="1" x14ac:dyDescent="0.3">
      <c r="A1573" s="3"/>
      <c r="B1573" s="5"/>
      <c r="C1573" s="7">
        <v>32</v>
      </c>
      <c r="D1573" s="7">
        <v>33</v>
      </c>
      <c r="E1573" s="7">
        <v>34</v>
      </c>
      <c r="F1573" s="7">
        <v>35</v>
      </c>
      <c r="G1573" s="7">
        <v>36</v>
      </c>
      <c r="H1573" s="7">
        <v>37</v>
      </c>
      <c r="I1573" s="7">
        <v>38</v>
      </c>
      <c r="J1573" s="7">
        <v>39</v>
      </c>
      <c r="K1573" s="7">
        <v>40</v>
      </c>
      <c r="L1573" s="7">
        <v>41</v>
      </c>
      <c r="M1573" s="7">
        <v>42</v>
      </c>
      <c r="N1573" s="7">
        <v>43</v>
      </c>
      <c r="O1573" s="7">
        <v>44</v>
      </c>
      <c r="P1573" s="7">
        <v>45</v>
      </c>
      <c r="Q1573" s="7">
        <v>46</v>
      </c>
      <c r="R1573" s="7">
        <v>47</v>
      </c>
      <c r="S1573" s="7">
        <v>48</v>
      </c>
      <c r="T1573" s="7">
        <v>49</v>
      </c>
      <c r="U1573" s="7">
        <v>50</v>
      </c>
      <c r="V1573" s="7">
        <v>51</v>
      </c>
      <c r="W1573" s="7">
        <v>52</v>
      </c>
      <c r="X1573" s="7">
        <v>53</v>
      </c>
      <c r="Y1573" s="7">
        <v>54</v>
      </c>
      <c r="Z1573" s="7">
        <v>55</v>
      </c>
      <c r="AA1573" s="7">
        <v>56</v>
      </c>
      <c r="AB1573" s="7">
        <v>57</v>
      </c>
      <c r="AC1573" s="7">
        <v>58</v>
      </c>
      <c r="AD1573" s="7">
        <v>59</v>
      </c>
      <c r="AE1573" s="7">
        <v>60</v>
      </c>
      <c r="AF1573" s="7">
        <v>61</v>
      </c>
      <c r="AG1573" s="7">
        <v>62</v>
      </c>
      <c r="AH1573" s="7">
        <v>63</v>
      </c>
      <c r="AI1573" s="6"/>
    </row>
    <row r="1574" spans="1:35" ht="15.75" thickBot="1" x14ac:dyDescent="0.3">
      <c r="A1574" s="3"/>
      <c r="B1574" s="5"/>
      <c r="C1574" s="147" t="s">
        <v>13</v>
      </c>
      <c r="D1574" s="148" t="s">
        <v>14</v>
      </c>
      <c r="E1574" s="148" t="s">
        <v>15</v>
      </c>
      <c r="F1574" s="148" t="s">
        <v>16</v>
      </c>
      <c r="G1574" s="148" t="s">
        <v>17</v>
      </c>
      <c r="H1574" s="148" t="s">
        <v>18</v>
      </c>
      <c r="I1574" s="148" t="s">
        <v>19</v>
      </c>
      <c r="J1574" s="148" t="s">
        <v>20</v>
      </c>
      <c r="K1574" s="148" t="s">
        <v>21</v>
      </c>
      <c r="L1574" s="148" t="s">
        <v>22</v>
      </c>
      <c r="M1574" s="148" t="s">
        <v>23</v>
      </c>
      <c r="N1574" s="148" t="s">
        <v>24</v>
      </c>
      <c r="O1574" s="148" t="s">
        <v>25</v>
      </c>
      <c r="P1574" s="148" t="s">
        <v>26</v>
      </c>
      <c r="Q1574" s="148" t="s">
        <v>27</v>
      </c>
      <c r="R1574" s="342" t="s">
        <v>30</v>
      </c>
      <c r="S1574" s="343"/>
      <c r="T1574" s="343"/>
      <c r="U1574" s="343"/>
      <c r="V1574" s="343"/>
      <c r="W1574" s="343"/>
      <c r="X1574" s="343"/>
      <c r="Y1574" s="343"/>
      <c r="Z1574" s="343"/>
      <c r="AA1574" s="343"/>
      <c r="AB1574" s="343"/>
      <c r="AC1574" s="343"/>
      <c r="AD1574" s="343"/>
      <c r="AE1574" s="343"/>
      <c r="AF1574" s="344"/>
      <c r="AG1574" s="67" t="s">
        <v>28</v>
      </c>
      <c r="AH1574" s="149" t="s">
        <v>29</v>
      </c>
      <c r="AI1574" s="6"/>
    </row>
    <row r="1575" spans="1:35" ht="15.75" thickBot="1" x14ac:dyDescent="0.3">
      <c r="A1575" s="3"/>
      <c r="B1575" s="5"/>
      <c r="C1575" s="150">
        <v>0</v>
      </c>
      <c r="D1575" s="151">
        <v>0</v>
      </c>
      <c r="E1575" s="151">
        <v>0</v>
      </c>
      <c r="F1575" s="151">
        <v>0</v>
      </c>
      <c r="G1575" s="151">
        <v>0</v>
      </c>
      <c r="H1575" s="151">
        <v>0</v>
      </c>
      <c r="I1575" s="151">
        <v>0</v>
      </c>
      <c r="J1575" s="151">
        <v>0</v>
      </c>
      <c r="K1575" s="151">
        <v>0</v>
      </c>
      <c r="L1575" s="151">
        <v>0</v>
      </c>
      <c r="M1575" s="151">
        <v>0</v>
      </c>
      <c r="N1575" s="151">
        <v>0</v>
      </c>
      <c r="O1575" s="151">
        <v>1</v>
      </c>
      <c r="P1575" s="151">
        <v>0</v>
      </c>
      <c r="Q1575" s="151">
        <v>0</v>
      </c>
      <c r="R1575" s="151">
        <v>0</v>
      </c>
      <c r="S1575" s="151">
        <v>0</v>
      </c>
      <c r="T1575" s="151">
        <v>0</v>
      </c>
      <c r="U1575" s="151">
        <v>0</v>
      </c>
      <c r="V1575" s="151">
        <v>0</v>
      </c>
      <c r="W1575" s="151">
        <v>0</v>
      </c>
      <c r="X1575" s="151">
        <v>1</v>
      </c>
      <c r="Y1575" s="151">
        <v>1</v>
      </c>
      <c r="Z1575" s="151">
        <v>0</v>
      </c>
      <c r="AA1575" s="151">
        <v>1</v>
      </c>
      <c r="AB1575" s="151">
        <v>0</v>
      </c>
      <c r="AC1575" s="151">
        <v>1</v>
      </c>
      <c r="AD1575" s="151">
        <v>0</v>
      </c>
      <c r="AE1575" s="151">
        <v>1</v>
      </c>
      <c r="AF1575" s="151">
        <v>0</v>
      </c>
      <c r="AG1575" s="151">
        <v>0</v>
      </c>
      <c r="AH1575" s="152">
        <v>0</v>
      </c>
      <c r="AI1575" s="6"/>
    </row>
    <row r="1576" spans="1:35" x14ac:dyDescent="0.25">
      <c r="A1576" s="3"/>
      <c r="B1576" s="4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5"/>
      <c r="AH1576" s="5"/>
      <c r="AI1576" s="6"/>
    </row>
    <row r="1577" spans="1:35" x14ac:dyDescent="0.25">
      <c r="A1577" s="3"/>
      <c r="B1577" s="8" t="s">
        <v>43</v>
      </c>
      <c r="C1577" s="9"/>
      <c r="D1577" s="9"/>
      <c r="E1577" s="9"/>
      <c r="F1577" s="44" t="s">
        <v>44</v>
      </c>
      <c r="G1577" s="44"/>
      <c r="H1577" s="44"/>
      <c r="I1577" s="9"/>
      <c r="J1577" s="45" t="s">
        <v>45</v>
      </c>
      <c r="K1577" s="45"/>
      <c r="L1577" s="45"/>
      <c r="M1577" s="45"/>
      <c r="N1577" s="9"/>
      <c r="O1577" s="46" t="s">
        <v>46</v>
      </c>
      <c r="P1577" s="46"/>
      <c r="Q1577" s="46"/>
      <c r="R1577" s="46"/>
      <c r="S1577" s="9"/>
      <c r="T1577" s="1" t="s">
        <v>49</v>
      </c>
      <c r="U1577" s="10" t="s">
        <v>48</v>
      </c>
      <c r="V1577" s="5"/>
      <c r="W1577" s="9"/>
      <c r="X1577" s="9"/>
      <c r="Y1577" s="9"/>
      <c r="Z1577" s="9"/>
      <c r="AA1577" s="9"/>
      <c r="AB1577" s="9"/>
      <c r="AC1577" s="9"/>
      <c r="AD1577" s="9"/>
      <c r="AE1577" s="9"/>
      <c r="AF1577" s="9"/>
      <c r="AG1577" s="9"/>
      <c r="AH1577" s="9"/>
      <c r="AI1577" s="6"/>
    </row>
    <row r="1578" spans="1:35" ht="15" customHeight="1" x14ac:dyDescent="0.25">
      <c r="A1578" s="3"/>
      <c r="B1578" s="42" t="str">
        <f>"0x"&amp;DEC2HEX(Sheet3!$I$4,8)</f>
        <v>0x00400320</v>
      </c>
      <c r="C1578" s="42"/>
      <c r="D1578" s="42"/>
      <c r="E1578" s="12"/>
      <c r="F1578" s="319" t="str">
        <f>"0x"&amp;BIN2HEX(CONCATENATE(C1571,D1571,E1571,F1571,G1571,H1571,I1571,J1571),2)&amp;BIN2HEX(CONCATENATE(K1571,L1571,M1571,N1571,O1571,P1571,Q1571,R1571),2)&amp;BIN2HEX(CONCATENATE(S1571,T1571,U1571,V1571,W1571,X1571,Y1571,Z1571),2)&amp;BIN2HEX(CONCATENATE(AA1571,AB1571,AC1571,AD1571,AE1571,AF1571,AG1571,AH1571),2)</f>
        <v>0x00000000</v>
      </c>
      <c r="G1578" s="319"/>
      <c r="H1578" s="319"/>
      <c r="I1578" s="12"/>
      <c r="J1578" s="319" t="str">
        <f>"0b"&amp;C1575&amp;D1575&amp;E1575&amp;F1575&amp;G1575&amp;H1575&amp;I1575&amp;J1575&amp;K1575&amp;L1575&amp;M1575&amp;N1575&amp;O1575&amp;P1575&amp;Q1575</f>
        <v>0b000000000000100</v>
      </c>
      <c r="K1578" s="319"/>
      <c r="L1578" s="319"/>
      <c r="M1578" s="319"/>
      <c r="N1578" s="12"/>
      <c r="O1578" s="319" t="str">
        <f>"0b"&amp;DEC2BIN(((AF1575+AE1575*2+AD1575*4+AC1575*8+AB1575*16+AA1575*32+Z1575*64+Y1575*128+X1575*256+W1575*512+V1575*1024+U1575*2048+T1575*4096+S1575*2^13+R1575*2^14)/512),6)&amp;DEC2BIN(MOD((AF1575+AE1575*2+AD1575*4+AC1575*8+AB1575*16+AA1575*32+Z1575*64+Y1575*128+X1575*256+W1575*512+V1575*1024+U1575*2048+T1575*4096+S1575*2^13+R1575*2^14),512),9)</f>
        <v>0b000000110101010</v>
      </c>
      <c r="P1578" s="319"/>
      <c r="Q1578" s="319"/>
      <c r="R1578" s="319"/>
      <c r="S1578" s="12"/>
      <c r="T1578" s="13">
        <v>0</v>
      </c>
      <c r="U1578" s="13">
        <f>AH1575</f>
        <v>0</v>
      </c>
      <c r="V1578" s="5"/>
      <c r="W1578" s="14"/>
      <c r="X1578" s="14"/>
      <c r="Y1578" s="14"/>
      <c r="Z1578" s="14"/>
      <c r="AA1578" s="14"/>
      <c r="AB1578" s="14"/>
      <c r="AC1578" s="14"/>
      <c r="AD1578" s="14"/>
      <c r="AE1578" s="14"/>
      <c r="AF1578" s="14"/>
      <c r="AG1578" s="14"/>
      <c r="AH1578" s="14"/>
      <c r="AI1578" s="6"/>
    </row>
    <row r="1579" spans="1:35" x14ac:dyDescent="0.25">
      <c r="A1579" s="3"/>
      <c r="B1579" s="42"/>
      <c r="C1579" s="42"/>
      <c r="D1579" s="42"/>
      <c r="E1579" s="15"/>
      <c r="F1579" s="43"/>
      <c r="G1579" s="43"/>
      <c r="H1579" s="43"/>
      <c r="I1579" s="15"/>
      <c r="J1579" s="42"/>
      <c r="K1579" s="42"/>
      <c r="L1579" s="42"/>
      <c r="M1579" s="42"/>
      <c r="N1579" s="15"/>
      <c r="O1579" s="42"/>
      <c r="P1579" s="42"/>
      <c r="Q1579" s="42"/>
      <c r="R1579" s="42"/>
      <c r="S1579" s="15"/>
      <c r="T1579" s="13"/>
      <c r="U1579" s="15"/>
      <c r="V1579" s="5"/>
      <c r="W1579" s="16"/>
      <c r="X1579" s="16"/>
      <c r="Y1579" s="16"/>
      <c r="Z1579" s="16"/>
      <c r="AA1579" s="16"/>
      <c r="AB1579" s="16"/>
      <c r="AC1579" s="16"/>
      <c r="AD1579" s="16"/>
      <c r="AE1579" s="16"/>
      <c r="AF1579" s="16"/>
      <c r="AG1579" s="16"/>
      <c r="AH1579" s="16"/>
      <c r="AI1579" s="6"/>
    </row>
    <row r="1580" spans="1:35" x14ac:dyDescent="0.25">
      <c r="A1580" s="3"/>
      <c r="B1580" s="42"/>
      <c r="C1580" s="42"/>
      <c r="D1580" s="42"/>
      <c r="E1580" s="15"/>
      <c r="F1580" s="43"/>
      <c r="G1580" s="43"/>
      <c r="H1580" s="43"/>
      <c r="I1580" s="15"/>
      <c r="J1580" s="42"/>
      <c r="K1580" s="42"/>
      <c r="L1580" s="42"/>
      <c r="M1580" s="42"/>
      <c r="N1580" s="15"/>
      <c r="O1580" s="42"/>
      <c r="P1580" s="42"/>
      <c r="Q1580" s="42"/>
      <c r="R1580" s="42"/>
      <c r="S1580" s="15"/>
      <c r="T1580" s="13"/>
      <c r="U1580" s="15"/>
      <c r="V1580" s="5"/>
      <c r="W1580" s="16"/>
      <c r="X1580" s="16"/>
      <c r="Y1580" s="16"/>
      <c r="Z1580" s="16"/>
      <c r="AA1580" s="16"/>
      <c r="AB1580" s="16"/>
      <c r="AC1580" s="16"/>
      <c r="AD1580" s="16"/>
      <c r="AE1580" s="16"/>
      <c r="AF1580" s="16"/>
      <c r="AG1580" s="16"/>
      <c r="AH1580" s="16"/>
      <c r="AI1580" s="6"/>
    </row>
    <row r="1581" spans="1:35" x14ac:dyDescent="0.25">
      <c r="A1581" s="3"/>
      <c r="B1581" s="5"/>
      <c r="C1581" s="5"/>
      <c r="D1581" s="5"/>
      <c r="E1581" s="5"/>
      <c r="F1581" s="17"/>
      <c r="G1581" s="17"/>
      <c r="H1581" s="17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5"/>
      <c r="AH1581" s="5"/>
      <c r="AI1581" s="6"/>
    </row>
    <row r="1582" spans="1:35" x14ac:dyDescent="0.25">
      <c r="A1582" s="3"/>
      <c r="B1582" s="5" t="s">
        <v>47</v>
      </c>
      <c r="C1582" s="18"/>
      <c r="D1582" s="18"/>
      <c r="E1582" s="18"/>
      <c r="F1582" s="5"/>
      <c r="G1582" s="5"/>
      <c r="H1582" s="5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  <c r="AB1582" s="18"/>
      <c r="AC1582" s="18"/>
      <c r="AD1582" s="18"/>
      <c r="AE1582" s="18"/>
      <c r="AF1582" s="18"/>
      <c r="AG1582" s="18"/>
      <c r="AH1582" s="18"/>
      <c r="AI1582" s="6"/>
    </row>
    <row r="1583" spans="1:35" ht="15" customHeight="1" x14ac:dyDescent="0.25">
      <c r="A1583" s="3"/>
      <c r="B1583" s="42" t="str">
        <f>"0x"&amp;DEC2HEX(Sheet3!$I$4,8)</f>
        <v>0x00400320</v>
      </c>
      <c r="C1583" s="42"/>
      <c r="D1583" s="42"/>
      <c r="E1583" s="16"/>
      <c r="F1583" s="322" t="str">
        <f>F1578&amp;BIN2HEX(MID(J1578,3,8),2)&amp;BIN2HEX(RIGHT(J1578,7)&amp;MID(O1578,3,1),2)&amp;BIN2HEX(MID(O1578,4,8),2)&amp;BIN2HEX(RIGHT(O1578,6)&amp;T1578&amp;U1578,2)</f>
        <v>0x00000000000806A8</v>
      </c>
      <c r="G1583" s="322"/>
      <c r="H1583" s="322"/>
      <c r="I1583" s="322"/>
      <c r="J1583" s="5"/>
      <c r="K1583" s="5"/>
      <c r="L1583" s="5"/>
      <c r="M1583" s="5"/>
      <c r="N1583" s="5"/>
      <c r="O1583" s="5"/>
      <c r="P1583" s="16"/>
      <c r="Q1583" s="16"/>
      <c r="R1583" s="19"/>
      <c r="S1583" s="19"/>
      <c r="T1583" s="19"/>
      <c r="U1583" s="19"/>
      <c r="V1583" s="19"/>
      <c r="W1583" s="19"/>
      <c r="X1583" s="19"/>
      <c r="Y1583" s="19"/>
      <c r="Z1583" s="19"/>
      <c r="AA1583" s="19"/>
      <c r="AB1583" s="19"/>
      <c r="AC1583" s="19"/>
      <c r="AD1583" s="19"/>
      <c r="AE1583" s="19"/>
      <c r="AF1583" s="19"/>
      <c r="AG1583" s="5"/>
      <c r="AH1583" s="5"/>
      <c r="AI1583" s="6"/>
    </row>
    <row r="1584" spans="1:35" x14ac:dyDescent="0.25">
      <c r="A1584" s="3"/>
      <c r="B1584" s="37"/>
      <c r="C1584" s="37"/>
      <c r="D1584" s="37"/>
      <c r="E1584" s="5"/>
      <c r="F1584" s="38"/>
      <c r="G1584" s="38"/>
      <c r="H1584" s="38"/>
      <c r="I1584" s="38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5"/>
      <c r="AH1584" s="5"/>
      <c r="AI1584" s="6"/>
    </row>
    <row r="1585" spans="1:35" x14ac:dyDescent="0.25">
      <c r="A1585" s="3"/>
      <c r="B1585" s="37"/>
      <c r="C1585" s="37"/>
      <c r="D1585" s="37"/>
      <c r="E1585" s="5"/>
      <c r="F1585" s="38"/>
      <c r="G1585" s="38"/>
      <c r="H1585" s="38"/>
      <c r="I1585" s="38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5"/>
      <c r="AH1585" s="5"/>
      <c r="AI1585" s="6"/>
    </row>
    <row r="1586" spans="1:35" x14ac:dyDescent="0.25">
      <c r="A1586" s="20"/>
      <c r="B1586" s="21"/>
      <c r="C1586" s="21"/>
      <c r="D1586" s="21"/>
      <c r="E1586" s="21"/>
      <c r="F1586" s="21"/>
      <c r="G1586" s="21"/>
      <c r="H1586" s="21"/>
      <c r="I1586" s="21"/>
      <c r="J1586" s="21"/>
      <c r="K1586" s="21"/>
      <c r="L1586" s="21"/>
      <c r="M1586" s="21"/>
      <c r="N1586" s="21"/>
      <c r="O1586" s="22"/>
      <c r="P1586" s="21"/>
      <c r="Q1586" s="21"/>
      <c r="R1586" s="21"/>
      <c r="S1586" s="21"/>
      <c r="T1586" s="21"/>
      <c r="U1586" s="21"/>
      <c r="V1586" s="21"/>
      <c r="W1586" s="21"/>
      <c r="X1586" s="21"/>
      <c r="Y1586" s="21"/>
      <c r="Z1586" s="21"/>
      <c r="AA1586" s="21"/>
      <c r="AB1586" s="21"/>
      <c r="AC1586" s="21"/>
      <c r="AD1586" s="21"/>
      <c r="AE1586" s="21"/>
      <c r="AF1586" s="21"/>
      <c r="AG1586" s="21"/>
      <c r="AH1586" s="21"/>
      <c r="AI1586" s="23"/>
    </row>
    <row r="1587" spans="1:35" x14ac:dyDescent="0.25">
      <c r="A1587" s="24"/>
      <c r="B1587" s="28"/>
      <c r="C1587" s="25"/>
      <c r="D1587" s="25"/>
      <c r="E1587" s="25"/>
      <c r="F1587" s="25"/>
      <c r="G1587" s="25"/>
      <c r="H1587" s="25"/>
      <c r="I1587" s="25"/>
      <c r="J1587" s="25"/>
      <c r="K1587" s="25"/>
      <c r="L1587" s="25"/>
      <c r="M1587" s="25"/>
      <c r="N1587" s="25"/>
      <c r="O1587" s="25"/>
      <c r="P1587" s="25"/>
      <c r="Q1587" s="25"/>
      <c r="R1587" s="25"/>
      <c r="S1587" s="25"/>
      <c r="T1587" s="25"/>
      <c r="U1587" s="25"/>
      <c r="V1587" s="25"/>
      <c r="W1587" s="25"/>
      <c r="X1587" s="25"/>
      <c r="Y1587" s="25"/>
      <c r="Z1587" s="25"/>
      <c r="AA1587" s="25"/>
      <c r="AB1587" s="25"/>
      <c r="AC1587" s="25"/>
      <c r="AD1587" s="25"/>
      <c r="AE1587" s="25"/>
      <c r="AF1587" s="25"/>
      <c r="AG1587" s="25"/>
      <c r="AH1587" s="25"/>
      <c r="AI1587" s="26"/>
    </row>
    <row r="1588" spans="1:35" x14ac:dyDescent="0.25">
      <c r="A1588" s="3"/>
      <c r="B1588" s="4" t="s">
        <v>204</v>
      </c>
      <c r="C1588" s="5"/>
      <c r="D1588" s="5"/>
      <c r="E1588" s="5"/>
      <c r="F1588" s="5"/>
      <c r="G1588" s="5"/>
      <c r="H1588" s="5"/>
      <c r="I1588" s="5" t="str">
        <f>"0x"&amp;BIN2HEX(CONCATENATE(C1593,D1593,E1593,F1593,G1593,H1593,I1593,J1593),2)&amp;BIN2HEX(CONCATENATE(K1593,L1593,M1593,N1593,O1593,P1593,Q1593,R1593),2)&amp;BIN2HEX(CONCATENATE(S1593,T1593,U1593,V1593,W1593,X1593,Y1593,Z1593),2)&amp;BIN2HEX(CONCATENATE(AA1593,AB1593,AC1593,AD1593,AE1593,AF1593,AG1593,AH1593),2)&amp;"_"&amp;BIN2HEX(CONCATENATE(C1597,D1597,E1597,F1597,G1597,H1597,I1597,J1597),2)&amp;BIN2HEX(CONCATENATE(K1597,L1597,M1597,N1597,O1597,P1597,Q1597,R1597),2)&amp;BIN2HEX(CONCATENATE(S1597,T1597,U1597,V1597,W1597,X1597,Y1597,Z1597),2)&amp;BIN2HEX(CONCATENATE(AA1597,AB1597,AC1597,AD1597,AE1597,AF1597,AG1597,AH1597),2)</f>
        <v>0x00000000_000806AC</v>
      </c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5"/>
      <c r="AH1588" s="5"/>
      <c r="AI1588" s="6"/>
    </row>
    <row r="1589" spans="1:35" ht="15.75" thickBot="1" x14ac:dyDescent="0.3">
      <c r="A1589" s="3"/>
      <c r="B1589" s="5"/>
      <c r="C1589" s="7">
        <v>0</v>
      </c>
      <c r="D1589" s="7">
        <v>1</v>
      </c>
      <c r="E1589" s="7">
        <v>2</v>
      </c>
      <c r="F1589" s="7">
        <v>3</v>
      </c>
      <c r="G1589" s="7">
        <v>4</v>
      </c>
      <c r="H1589" s="7">
        <v>5</v>
      </c>
      <c r="I1589" s="7">
        <v>6</v>
      </c>
      <c r="J1589" s="7">
        <v>7</v>
      </c>
      <c r="K1589" s="7">
        <v>8</v>
      </c>
      <c r="L1589" s="7">
        <v>9</v>
      </c>
      <c r="M1589" s="7">
        <v>10</v>
      </c>
      <c r="N1589" s="7">
        <v>11</v>
      </c>
      <c r="O1589" s="7">
        <v>12</v>
      </c>
      <c r="P1589" s="7">
        <v>13</v>
      </c>
      <c r="Q1589" s="7">
        <v>14</v>
      </c>
      <c r="R1589" s="7">
        <v>15</v>
      </c>
      <c r="S1589" s="7">
        <v>16</v>
      </c>
      <c r="T1589" s="7">
        <v>17</v>
      </c>
      <c r="U1589" s="7">
        <v>18</v>
      </c>
      <c r="V1589" s="7">
        <v>19</v>
      </c>
      <c r="W1589" s="7">
        <v>20</v>
      </c>
      <c r="X1589" s="7">
        <v>21</v>
      </c>
      <c r="Y1589" s="7">
        <v>22</v>
      </c>
      <c r="Z1589" s="7">
        <v>23</v>
      </c>
      <c r="AA1589" s="7">
        <v>24</v>
      </c>
      <c r="AB1589" s="7">
        <v>25</v>
      </c>
      <c r="AC1589" s="7">
        <v>26</v>
      </c>
      <c r="AD1589" s="7">
        <v>27</v>
      </c>
      <c r="AE1589" s="7">
        <v>28</v>
      </c>
      <c r="AF1589" s="7">
        <v>29</v>
      </c>
      <c r="AG1589" s="7">
        <v>30</v>
      </c>
      <c r="AH1589" s="7">
        <v>31</v>
      </c>
      <c r="AI1589" s="6"/>
    </row>
    <row r="1590" spans="1:35" x14ac:dyDescent="0.25">
      <c r="A1590" s="3"/>
      <c r="B1590" s="5" t="s">
        <v>31</v>
      </c>
      <c r="C1590" s="328" t="s">
        <v>161</v>
      </c>
      <c r="D1590" s="330" t="s">
        <v>63</v>
      </c>
      <c r="E1590" s="331"/>
      <c r="F1590" s="331"/>
      <c r="G1590" s="331"/>
      <c r="H1590" s="331"/>
      <c r="I1590" s="331"/>
      <c r="J1590" s="332"/>
      <c r="K1590" s="336">
        <v>0</v>
      </c>
      <c r="L1590" s="337"/>
      <c r="M1590" s="337"/>
      <c r="N1590" s="337"/>
      <c r="O1590" s="337"/>
      <c r="P1590" s="337"/>
      <c r="Q1590" s="337"/>
      <c r="R1590" s="337"/>
      <c r="S1590" s="337"/>
      <c r="T1590" s="337"/>
      <c r="U1590" s="337"/>
      <c r="V1590" s="337"/>
      <c r="W1590" s="337"/>
      <c r="X1590" s="337"/>
      <c r="Y1590" s="337"/>
      <c r="Z1590" s="337"/>
      <c r="AA1590" s="337"/>
      <c r="AB1590" s="337"/>
      <c r="AC1590" s="337"/>
      <c r="AD1590" s="337"/>
      <c r="AE1590" s="337"/>
      <c r="AF1590" s="337"/>
      <c r="AG1590" s="337"/>
      <c r="AH1590" s="338"/>
      <c r="AI1590" s="6"/>
    </row>
    <row r="1591" spans="1:35" x14ac:dyDescent="0.25">
      <c r="A1591" s="3"/>
      <c r="B1591" s="5" t="s">
        <v>32</v>
      </c>
      <c r="C1591" s="329"/>
      <c r="D1591" s="333"/>
      <c r="E1591" s="334"/>
      <c r="F1591" s="334"/>
      <c r="G1591" s="334"/>
      <c r="H1591" s="334"/>
      <c r="I1591" s="334"/>
      <c r="J1591" s="335"/>
      <c r="K1591" s="339"/>
      <c r="L1591" s="340"/>
      <c r="M1591" s="340"/>
      <c r="N1591" s="340"/>
      <c r="O1591" s="340"/>
      <c r="P1591" s="340"/>
      <c r="Q1591" s="340"/>
      <c r="R1591" s="340"/>
      <c r="S1591" s="340"/>
      <c r="T1591" s="340"/>
      <c r="U1591" s="340"/>
      <c r="V1591" s="340"/>
      <c r="W1591" s="340"/>
      <c r="X1591" s="340"/>
      <c r="Y1591" s="340"/>
      <c r="Z1591" s="340"/>
      <c r="AA1591" s="340"/>
      <c r="AB1591" s="340"/>
      <c r="AC1591" s="340"/>
      <c r="AD1591" s="340"/>
      <c r="AE1591" s="340"/>
      <c r="AF1591" s="340"/>
      <c r="AG1591" s="340"/>
      <c r="AH1591" s="341"/>
      <c r="AI1591" s="6"/>
    </row>
    <row r="1592" spans="1:35" x14ac:dyDescent="0.25">
      <c r="A1592" s="3"/>
      <c r="B1592" s="5" t="s">
        <v>11</v>
      </c>
      <c r="C1592" s="56">
        <v>0</v>
      </c>
      <c r="D1592" s="57">
        <v>0</v>
      </c>
      <c r="E1592" s="57">
        <v>0</v>
      </c>
      <c r="F1592" s="57">
        <v>0</v>
      </c>
      <c r="G1592" s="57">
        <v>0</v>
      </c>
      <c r="H1592" s="57">
        <v>0</v>
      </c>
      <c r="I1592" s="57">
        <v>0</v>
      </c>
      <c r="J1592" s="57">
        <v>0</v>
      </c>
      <c r="K1592" s="57">
        <v>0</v>
      </c>
      <c r="L1592" s="57">
        <v>0</v>
      </c>
      <c r="M1592" s="57">
        <v>0</v>
      </c>
      <c r="N1592" s="57">
        <v>0</v>
      </c>
      <c r="O1592" s="57">
        <v>0</v>
      </c>
      <c r="P1592" s="57">
        <v>0</v>
      </c>
      <c r="Q1592" s="57">
        <v>0</v>
      </c>
      <c r="R1592" s="57">
        <v>0</v>
      </c>
      <c r="S1592" s="57">
        <v>0</v>
      </c>
      <c r="T1592" s="57">
        <v>0</v>
      </c>
      <c r="U1592" s="57">
        <v>0</v>
      </c>
      <c r="V1592" s="57">
        <v>0</v>
      </c>
      <c r="W1592" s="57">
        <v>0</v>
      </c>
      <c r="X1592" s="57">
        <v>0</v>
      </c>
      <c r="Y1592" s="57">
        <v>0</v>
      </c>
      <c r="Z1592" s="57">
        <v>0</v>
      </c>
      <c r="AA1592" s="57">
        <v>0</v>
      </c>
      <c r="AB1592" s="57">
        <v>0</v>
      </c>
      <c r="AC1592" s="57">
        <v>0</v>
      </c>
      <c r="AD1592" s="57">
        <v>0</v>
      </c>
      <c r="AE1592" s="57">
        <v>0</v>
      </c>
      <c r="AF1592" s="57">
        <v>0</v>
      </c>
      <c r="AG1592" s="57">
        <v>0</v>
      </c>
      <c r="AH1592" s="58">
        <v>0</v>
      </c>
      <c r="AI1592" s="6"/>
    </row>
    <row r="1593" spans="1:35" ht="15.75" thickBot="1" x14ac:dyDescent="0.3">
      <c r="A1593" s="3"/>
      <c r="B1593" s="5" t="s">
        <v>12</v>
      </c>
      <c r="C1593" s="145">
        <v>0</v>
      </c>
      <c r="D1593" s="88">
        <v>0</v>
      </c>
      <c r="E1593" s="88">
        <v>0</v>
      </c>
      <c r="F1593" s="88">
        <v>0</v>
      </c>
      <c r="G1593" s="88">
        <v>0</v>
      </c>
      <c r="H1593" s="88">
        <v>0</v>
      </c>
      <c r="I1593" s="88">
        <v>0</v>
      </c>
      <c r="J1593" s="88">
        <v>0</v>
      </c>
      <c r="K1593" s="62">
        <v>0</v>
      </c>
      <c r="L1593" s="62">
        <v>0</v>
      </c>
      <c r="M1593" s="62">
        <v>0</v>
      </c>
      <c r="N1593" s="62">
        <v>0</v>
      </c>
      <c r="O1593" s="62">
        <v>0</v>
      </c>
      <c r="P1593" s="62">
        <v>0</v>
      </c>
      <c r="Q1593" s="62">
        <v>0</v>
      </c>
      <c r="R1593" s="62">
        <v>0</v>
      </c>
      <c r="S1593" s="62">
        <v>0</v>
      </c>
      <c r="T1593" s="62">
        <v>0</v>
      </c>
      <c r="U1593" s="62">
        <v>0</v>
      </c>
      <c r="V1593" s="62">
        <v>0</v>
      </c>
      <c r="W1593" s="62">
        <v>0</v>
      </c>
      <c r="X1593" s="62">
        <v>0</v>
      </c>
      <c r="Y1593" s="62">
        <v>0</v>
      </c>
      <c r="Z1593" s="62">
        <v>0</v>
      </c>
      <c r="AA1593" s="62">
        <v>0</v>
      </c>
      <c r="AB1593" s="62">
        <v>0</v>
      </c>
      <c r="AC1593" s="62">
        <v>0</v>
      </c>
      <c r="AD1593" s="62">
        <v>0</v>
      </c>
      <c r="AE1593" s="62">
        <v>0</v>
      </c>
      <c r="AF1593" s="62">
        <v>0</v>
      </c>
      <c r="AG1593" s="62">
        <v>0</v>
      </c>
      <c r="AH1593" s="146">
        <v>0</v>
      </c>
      <c r="AI1593" s="6"/>
    </row>
    <row r="1594" spans="1:35" x14ac:dyDescent="0.25">
      <c r="A1594" s="3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5"/>
      <c r="AI1594" s="6"/>
    </row>
    <row r="1595" spans="1:35" ht="15.75" thickBot="1" x14ac:dyDescent="0.3">
      <c r="A1595" s="3"/>
      <c r="B1595" s="5"/>
      <c r="C1595" s="7">
        <v>32</v>
      </c>
      <c r="D1595" s="7">
        <v>33</v>
      </c>
      <c r="E1595" s="7">
        <v>34</v>
      </c>
      <c r="F1595" s="7">
        <v>35</v>
      </c>
      <c r="G1595" s="7">
        <v>36</v>
      </c>
      <c r="H1595" s="7">
        <v>37</v>
      </c>
      <c r="I1595" s="7">
        <v>38</v>
      </c>
      <c r="J1595" s="7">
        <v>39</v>
      </c>
      <c r="K1595" s="7">
        <v>40</v>
      </c>
      <c r="L1595" s="7">
        <v>41</v>
      </c>
      <c r="M1595" s="7">
        <v>42</v>
      </c>
      <c r="N1595" s="7">
        <v>43</v>
      </c>
      <c r="O1595" s="7">
        <v>44</v>
      </c>
      <c r="P1595" s="7">
        <v>45</v>
      </c>
      <c r="Q1595" s="7">
        <v>46</v>
      </c>
      <c r="R1595" s="7">
        <v>47</v>
      </c>
      <c r="S1595" s="7">
        <v>48</v>
      </c>
      <c r="T1595" s="7">
        <v>49</v>
      </c>
      <c r="U1595" s="7">
        <v>50</v>
      </c>
      <c r="V1595" s="7">
        <v>51</v>
      </c>
      <c r="W1595" s="7">
        <v>52</v>
      </c>
      <c r="X1595" s="7">
        <v>53</v>
      </c>
      <c r="Y1595" s="7">
        <v>54</v>
      </c>
      <c r="Z1595" s="7">
        <v>55</v>
      </c>
      <c r="AA1595" s="7">
        <v>56</v>
      </c>
      <c r="AB1595" s="7">
        <v>57</v>
      </c>
      <c r="AC1595" s="7">
        <v>58</v>
      </c>
      <c r="AD1595" s="7">
        <v>59</v>
      </c>
      <c r="AE1595" s="7">
        <v>60</v>
      </c>
      <c r="AF1595" s="7">
        <v>61</v>
      </c>
      <c r="AG1595" s="7">
        <v>62</v>
      </c>
      <c r="AH1595" s="7">
        <v>63</v>
      </c>
      <c r="AI1595" s="6"/>
    </row>
    <row r="1596" spans="1:35" ht="15.75" thickBot="1" x14ac:dyDescent="0.3">
      <c r="A1596" s="3"/>
      <c r="B1596" s="5"/>
      <c r="C1596" s="147" t="s">
        <v>13</v>
      </c>
      <c r="D1596" s="148" t="s">
        <v>14</v>
      </c>
      <c r="E1596" s="148" t="s">
        <v>15</v>
      </c>
      <c r="F1596" s="148" t="s">
        <v>16</v>
      </c>
      <c r="G1596" s="148" t="s">
        <v>17</v>
      </c>
      <c r="H1596" s="148" t="s">
        <v>18</v>
      </c>
      <c r="I1596" s="148" t="s">
        <v>19</v>
      </c>
      <c r="J1596" s="148" t="s">
        <v>20</v>
      </c>
      <c r="K1596" s="148" t="s">
        <v>21</v>
      </c>
      <c r="L1596" s="148" t="s">
        <v>22</v>
      </c>
      <c r="M1596" s="148" t="s">
        <v>23</v>
      </c>
      <c r="N1596" s="148" t="s">
        <v>24</v>
      </c>
      <c r="O1596" s="148" t="s">
        <v>25</v>
      </c>
      <c r="P1596" s="148" t="s">
        <v>26</v>
      </c>
      <c r="Q1596" s="148" t="s">
        <v>27</v>
      </c>
      <c r="R1596" s="342" t="s">
        <v>30</v>
      </c>
      <c r="S1596" s="343"/>
      <c r="T1596" s="343"/>
      <c r="U1596" s="343"/>
      <c r="V1596" s="343"/>
      <c r="W1596" s="343"/>
      <c r="X1596" s="343"/>
      <c r="Y1596" s="343"/>
      <c r="Z1596" s="343"/>
      <c r="AA1596" s="343"/>
      <c r="AB1596" s="343"/>
      <c r="AC1596" s="343"/>
      <c r="AD1596" s="343"/>
      <c r="AE1596" s="343"/>
      <c r="AF1596" s="344"/>
      <c r="AG1596" s="67" t="s">
        <v>28</v>
      </c>
      <c r="AH1596" s="149" t="s">
        <v>29</v>
      </c>
      <c r="AI1596" s="6"/>
    </row>
    <row r="1597" spans="1:35" ht="15.75" thickBot="1" x14ac:dyDescent="0.3">
      <c r="A1597" s="3"/>
      <c r="B1597" s="5"/>
      <c r="C1597" s="150">
        <v>0</v>
      </c>
      <c r="D1597" s="151">
        <v>0</v>
      </c>
      <c r="E1597" s="151">
        <v>0</v>
      </c>
      <c r="F1597" s="151">
        <v>0</v>
      </c>
      <c r="G1597" s="151">
        <v>0</v>
      </c>
      <c r="H1597" s="151">
        <v>0</v>
      </c>
      <c r="I1597" s="151">
        <v>0</v>
      </c>
      <c r="J1597" s="151">
        <v>0</v>
      </c>
      <c r="K1597" s="151">
        <v>0</v>
      </c>
      <c r="L1597" s="151">
        <v>0</v>
      </c>
      <c r="M1597" s="151">
        <v>0</v>
      </c>
      <c r="N1597" s="151">
        <v>0</v>
      </c>
      <c r="O1597" s="151">
        <v>1</v>
      </c>
      <c r="P1597" s="151">
        <v>0</v>
      </c>
      <c r="Q1597" s="151">
        <v>0</v>
      </c>
      <c r="R1597" s="151">
        <v>0</v>
      </c>
      <c r="S1597" s="151">
        <v>0</v>
      </c>
      <c r="T1597" s="151">
        <v>0</v>
      </c>
      <c r="U1597" s="151">
        <v>0</v>
      </c>
      <c r="V1597" s="151">
        <v>0</v>
      </c>
      <c r="W1597" s="151">
        <v>0</v>
      </c>
      <c r="X1597" s="151">
        <v>1</v>
      </c>
      <c r="Y1597" s="151">
        <v>1</v>
      </c>
      <c r="Z1597" s="151">
        <v>0</v>
      </c>
      <c r="AA1597" s="151">
        <v>1</v>
      </c>
      <c r="AB1597" s="151">
        <v>0</v>
      </c>
      <c r="AC1597" s="151">
        <v>1</v>
      </c>
      <c r="AD1597" s="151">
        <v>0</v>
      </c>
      <c r="AE1597" s="151">
        <v>1</v>
      </c>
      <c r="AF1597" s="151">
        <v>1</v>
      </c>
      <c r="AG1597" s="151">
        <v>0</v>
      </c>
      <c r="AH1597" s="152">
        <v>0</v>
      </c>
      <c r="AI1597" s="6"/>
    </row>
    <row r="1598" spans="1:35" x14ac:dyDescent="0.25">
      <c r="A1598" s="3"/>
      <c r="B1598" s="4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5"/>
      <c r="AH1598" s="5"/>
      <c r="AI1598" s="6"/>
    </row>
    <row r="1599" spans="1:35" x14ac:dyDescent="0.25">
      <c r="A1599" s="3"/>
      <c r="B1599" s="8" t="s">
        <v>43</v>
      </c>
      <c r="C1599" s="9"/>
      <c r="D1599" s="9"/>
      <c r="E1599" s="9"/>
      <c r="F1599" s="44" t="s">
        <v>44</v>
      </c>
      <c r="G1599" s="44"/>
      <c r="H1599" s="44"/>
      <c r="I1599" s="9"/>
      <c r="J1599" s="45" t="s">
        <v>45</v>
      </c>
      <c r="K1599" s="45"/>
      <c r="L1599" s="45"/>
      <c r="M1599" s="45"/>
      <c r="N1599" s="9"/>
      <c r="O1599" s="46" t="s">
        <v>46</v>
      </c>
      <c r="P1599" s="46"/>
      <c r="Q1599" s="46"/>
      <c r="R1599" s="46"/>
      <c r="S1599" s="9"/>
      <c r="T1599" s="1" t="s">
        <v>49</v>
      </c>
      <c r="U1599" s="10" t="s">
        <v>48</v>
      </c>
      <c r="V1599" s="5"/>
      <c r="W1599" s="9"/>
      <c r="X1599" s="9"/>
      <c r="Y1599" s="9"/>
      <c r="Z1599" s="9"/>
      <c r="AA1599" s="9"/>
      <c r="AB1599" s="9"/>
      <c r="AC1599" s="9"/>
      <c r="AD1599" s="9"/>
      <c r="AE1599" s="9"/>
      <c r="AF1599" s="9"/>
      <c r="AG1599" s="9"/>
      <c r="AH1599" s="9"/>
      <c r="AI1599" s="6"/>
    </row>
    <row r="1600" spans="1:35" ht="15" customHeight="1" x14ac:dyDescent="0.25">
      <c r="A1600" s="3"/>
      <c r="B1600" s="42" t="str">
        <f>"0x"&amp;DEC2HEX(Sheet3!$I$4,8)</f>
        <v>0x00400320</v>
      </c>
      <c r="C1600" s="42"/>
      <c r="D1600" s="42"/>
      <c r="E1600" s="12"/>
      <c r="F1600" s="319" t="str">
        <f>"0x"&amp;BIN2HEX(CONCATENATE(C1593,D1593,E1593,F1593,G1593,H1593,I1593,J1593),2)&amp;BIN2HEX(CONCATENATE(K1593,L1593,M1593,N1593,O1593,P1593,Q1593,R1593),2)&amp;BIN2HEX(CONCATENATE(S1593,T1593,U1593,V1593,W1593,X1593,Y1593,Z1593),2)&amp;BIN2HEX(CONCATENATE(AA1593,AB1593,AC1593,AD1593,AE1593,AF1593,AG1593,AH1593),2)</f>
        <v>0x00000000</v>
      </c>
      <c r="G1600" s="319"/>
      <c r="H1600" s="319"/>
      <c r="I1600" s="12"/>
      <c r="J1600" s="319" t="str">
        <f>"0b"&amp;C1597&amp;D1597&amp;E1597&amp;F1597&amp;G1597&amp;H1597&amp;I1597&amp;J1597&amp;K1597&amp;L1597&amp;M1597&amp;N1597&amp;O1597&amp;P1597&amp;Q1597</f>
        <v>0b000000000000100</v>
      </c>
      <c r="K1600" s="319"/>
      <c r="L1600" s="319"/>
      <c r="M1600" s="319"/>
      <c r="N1600" s="12"/>
      <c r="O1600" s="319" t="str">
        <f>"0b"&amp;DEC2BIN(((AF1597+AE1597*2+AD1597*4+AC1597*8+AB1597*16+AA1597*32+Z1597*64+Y1597*128+X1597*256+W1597*512+V1597*1024+U1597*2048+T1597*4096+S1597*2^13+R1597*2^14)/512),6)&amp;DEC2BIN(MOD((AF1597+AE1597*2+AD1597*4+AC1597*8+AB1597*16+AA1597*32+Z1597*64+Y1597*128+X1597*256+W1597*512+V1597*1024+U1597*2048+T1597*4096+S1597*2^13+R1597*2^14),512),9)</f>
        <v>0b000000110101011</v>
      </c>
      <c r="P1600" s="319"/>
      <c r="Q1600" s="319"/>
      <c r="R1600" s="319"/>
      <c r="S1600" s="12"/>
      <c r="T1600" s="13">
        <v>0</v>
      </c>
      <c r="U1600" s="13">
        <f>AH1597</f>
        <v>0</v>
      </c>
      <c r="V1600" s="5"/>
      <c r="W1600" s="14"/>
      <c r="X1600" s="14"/>
      <c r="Y1600" s="14"/>
      <c r="Z1600" s="14"/>
      <c r="AA1600" s="14"/>
      <c r="AB1600" s="14"/>
      <c r="AC1600" s="14"/>
      <c r="AD1600" s="14"/>
      <c r="AE1600" s="14"/>
      <c r="AF1600" s="14"/>
      <c r="AG1600" s="14"/>
      <c r="AH1600" s="14"/>
      <c r="AI1600" s="6"/>
    </row>
    <row r="1601" spans="1:35" x14ac:dyDescent="0.25">
      <c r="A1601" s="3"/>
      <c r="B1601" s="42"/>
      <c r="C1601" s="42"/>
      <c r="D1601" s="42"/>
      <c r="E1601" s="15"/>
      <c r="F1601" s="43"/>
      <c r="G1601" s="43"/>
      <c r="H1601" s="43"/>
      <c r="I1601" s="15"/>
      <c r="J1601" s="42"/>
      <c r="K1601" s="42"/>
      <c r="L1601" s="42"/>
      <c r="M1601" s="42"/>
      <c r="N1601" s="15"/>
      <c r="O1601" s="42"/>
      <c r="P1601" s="42"/>
      <c r="Q1601" s="42"/>
      <c r="R1601" s="42"/>
      <c r="S1601" s="15"/>
      <c r="T1601" s="13"/>
      <c r="U1601" s="15"/>
      <c r="V1601" s="5"/>
      <c r="W1601" s="16"/>
      <c r="X1601" s="16"/>
      <c r="Y1601" s="16"/>
      <c r="Z1601" s="16"/>
      <c r="AA1601" s="16"/>
      <c r="AB1601" s="16"/>
      <c r="AC1601" s="16"/>
      <c r="AD1601" s="16"/>
      <c r="AE1601" s="16"/>
      <c r="AF1601" s="16"/>
      <c r="AG1601" s="16"/>
      <c r="AH1601" s="16"/>
      <c r="AI1601" s="6"/>
    </row>
    <row r="1602" spans="1:35" x14ac:dyDescent="0.25">
      <c r="A1602" s="3"/>
      <c r="B1602" s="42"/>
      <c r="C1602" s="42"/>
      <c r="D1602" s="42"/>
      <c r="E1602" s="15"/>
      <c r="F1602" s="43"/>
      <c r="G1602" s="43"/>
      <c r="H1602" s="43"/>
      <c r="I1602" s="15"/>
      <c r="J1602" s="42"/>
      <c r="K1602" s="42"/>
      <c r="L1602" s="42"/>
      <c r="M1602" s="42"/>
      <c r="N1602" s="15"/>
      <c r="O1602" s="42"/>
      <c r="P1602" s="42"/>
      <c r="Q1602" s="42"/>
      <c r="R1602" s="42"/>
      <c r="S1602" s="15"/>
      <c r="T1602" s="13"/>
      <c r="U1602" s="15"/>
      <c r="V1602" s="5"/>
      <c r="W1602" s="16"/>
      <c r="X1602" s="16"/>
      <c r="Y1602" s="16"/>
      <c r="Z1602" s="16"/>
      <c r="AA1602" s="16"/>
      <c r="AB1602" s="16"/>
      <c r="AC1602" s="16"/>
      <c r="AD1602" s="16"/>
      <c r="AE1602" s="16"/>
      <c r="AF1602" s="16"/>
      <c r="AG1602" s="16"/>
      <c r="AH1602" s="16"/>
      <c r="AI1602" s="6"/>
    </row>
    <row r="1603" spans="1:35" x14ac:dyDescent="0.25">
      <c r="A1603" s="3"/>
      <c r="B1603" s="5"/>
      <c r="C1603" s="5"/>
      <c r="D1603" s="5"/>
      <c r="E1603" s="5"/>
      <c r="F1603" s="17"/>
      <c r="G1603" s="17"/>
      <c r="H1603" s="17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5"/>
      <c r="AH1603" s="5"/>
      <c r="AI1603" s="6"/>
    </row>
    <row r="1604" spans="1:35" x14ac:dyDescent="0.25">
      <c r="A1604" s="3"/>
      <c r="B1604" s="5" t="s">
        <v>47</v>
      </c>
      <c r="C1604" s="18"/>
      <c r="D1604" s="18"/>
      <c r="E1604" s="18"/>
      <c r="F1604" s="5"/>
      <c r="G1604" s="5"/>
      <c r="H1604" s="5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  <c r="AB1604" s="18"/>
      <c r="AC1604" s="18"/>
      <c r="AD1604" s="18"/>
      <c r="AE1604" s="18"/>
      <c r="AF1604" s="18"/>
      <c r="AG1604" s="18"/>
      <c r="AH1604" s="18"/>
      <c r="AI1604" s="6"/>
    </row>
    <row r="1605" spans="1:35" ht="15" customHeight="1" x14ac:dyDescent="0.25">
      <c r="A1605" s="3"/>
      <c r="B1605" s="42" t="str">
        <f>"0x"&amp;DEC2HEX(Sheet3!$I$4,8)</f>
        <v>0x00400320</v>
      </c>
      <c r="C1605" s="42"/>
      <c r="D1605" s="42"/>
      <c r="E1605" s="16"/>
      <c r="F1605" s="322" t="str">
        <f>F1600&amp;BIN2HEX(MID(J1600,3,8),2)&amp;BIN2HEX(RIGHT(J1600,7)&amp;MID(O1600,3,1),2)&amp;BIN2HEX(MID(O1600,4,8),2)&amp;BIN2HEX(RIGHT(O1600,6)&amp;T1600&amp;U1600,2)</f>
        <v>0x00000000000806AC</v>
      </c>
      <c r="G1605" s="322"/>
      <c r="H1605" s="322"/>
      <c r="I1605" s="322"/>
      <c r="J1605" s="5"/>
      <c r="K1605" s="5"/>
      <c r="L1605" s="5"/>
      <c r="M1605" s="5"/>
      <c r="N1605" s="5"/>
      <c r="O1605" s="5"/>
      <c r="P1605" s="16"/>
      <c r="Q1605" s="16"/>
      <c r="R1605" s="19"/>
      <c r="S1605" s="19"/>
      <c r="T1605" s="19"/>
      <c r="U1605" s="19"/>
      <c r="V1605" s="19"/>
      <c r="W1605" s="19"/>
      <c r="X1605" s="19"/>
      <c r="Y1605" s="19"/>
      <c r="Z1605" s="19"/>
      <c r="AA1605" s="19"/>
      <c r="AB1605" s="19"/>
      <c r="AC1605" s="19"/>
      <c r="AD1605" s="19"/>
      <c r="AE1605" s="19"/>
      <c r="AF1605" s="19"/>
      <c r="AG1605" s="5"/>
      <c r="AH1605" s="5"/>
      <c r="AI1605" s="6"/>
    </row>
    <row r="1606" spans="1:35" x14ac:dyDescent="0.25">
      <c r="A1606" s="3"/>
      <c r="B1606" s="37"/>
      <c r="C1606" s="37"/>
      <c r="D1606" s="37"/>
      <c r="E1606" s="5"/>
      <c r="F1606" s="38"/>
      <c r="G1606" s="38"/>
      <c r="H1606" s="38"/>
      <c r="I1606" s="38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5"/>
      <c r="AH1606" s="5"/>
      <c r="AI1606" s="6"/>
    </row>
    <row r="1607" spans="1:35" x14ac:dyDescent="0.25">
      <c r="A1607" s="3"/>
      <c r="B1607" s="37"/>
      <c r="C1607" s="37"/>
      <c r="D1607" s="37"/>
      <c r="E1607" s="5"/>
      <c r="F1607" s="38"/>
      <c r="G1607" s="38"/>
      <c r="H1607" s="38"/>
      <c r="I1607" s="38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5"/>
      <c r="AH1607" s="5"/>
      <c r="AI1607" s="6"/>
    </row>
    <row r="1608" spans="1:35" x14ac:dyDescent="0.25">
      <c r="A1608" s="20"/>
      <c r="B1608" s="21"/>
      <c r="C1608" s="21"/>
      <c r="D1608" s="21"/>
      <c r="E1608" s="21"/>
      <c r="F1608" s="21"/>
      <c r="G1608" s="21"/>
      <c r="H1608" s="21"/>
      <c r="I1608" s="21"/>
      <c r="J1608" s="21"/>
      <c r="K1608" s="21"/>
      <c r="L1608" s="21"/>
      <c r="M1608" s="21"/>
      <c r="N1608" s="21"/>
      <c r="O1608" s="22"/>
      <c r="P1608" s="21"/>
      <c r="Q1608" s="21"/>
      <c r="R1608" s="21"/>
      <c r="S1608" s="21"/>
      <c r="T1608" s="21"/>
      <c r="U1608" s="21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  <c r="AF1608" s="21"/>
      <c r="AG1608" s="21"/>
      <c r="AH1608" s="21"/>
      <c r="AI1608" s="23"/>
    </row>
    <row r="1609" spans="1:35" x14ac:dyDescent="0.25">
      <c r="A1609" s="24"/>
      <c r="B1609" s="28"/>
      <c r="C1609" s="25"/>
      <c r="D1609" s="25"/>
      <c r="E1609" s="25"/>
      <c r="F1609" s="25"/>
      <c r="G1609" s="25"/>
      <c r="H1609" s="25"/>
      <c r="I1609" s="25"/>
      <c r="J1609" s="25"/>
      <c r="K1609" s="25"/>
      <c r="L1609" s="25"/>
      <c r="M1609" s="25"/>
      <c r="N1609" s="25"/>
      <c r="O1609" s="25"/>
      <c r="P1609" s="25"/>
      <c r="Q1609" s="25"/>
      <c r="R1609" s="25"/>
      <c r="S1609" s="25"/>
      <c r="T1609" s="25"/>
      <c r="U1609" s="25"/>
      <c r="V1609" s="25"/>
      <c r="W1609" s="25"/>
      <c r="X1609" s="25"/>
      <c r="Y1609" s="25"/>
      <c r="Z1609" s="25"/>
      <c r="AA1609" s="25"/>
      <c r="AB1609" s="25"/>
      <c r="AC1609" s="25"/>
      <c r="AD1609" s="25"/>
      <c r="AE1609" s="25"/>
      <c r="AF1609" s="25"/>
      <c r="AG1609" s="25"/>
      <c r="AH1609" s="25"/>
      <c r="AI1609" s="26"/>
    </row>
    <row r="1610" spans="1:35" x14ac:dyDescent="0.25">
      <c r="A1610" s="3"/>
      <c r="B1610" s="4" t="s">
        <v>205</v>
      </c>
      <c r="C1610" s="5"/>
      <c r="D1610" s="5"/>
      <c r="E1610" s="5"/>
      <c r="F1610" s="5"/>
      <c r="G1610" s="5"/>
      <c r="H1610" s="5"/>
      <c r="I1610" s="5" t="str">
        <f>"0x"&amp;BIN2HEX(CONCATENATE(C1615,D1615,E1615,F1615,G1615,H1615,I1615,J1615),2)&amp;BIN2HEX(CONCATENATE(K1615,L1615,M1615,N1615,O1615,P1615,Q1615,R1615),2)&amp;BIN2HEX(CONCATENATE(S1615,T1615,U1615,V1615,W1615,X1615,Y1615,Z1615),2)&amp;BIN2HEX(CONCATENATE(AA1615,AB1615,AC1615,AD1615,AE1615,AF1615,AG1615,AH1615),2)&amp;"_"&amp;BIN2HEX(CONCATENATE(C1619,D1619,E1619,F1619,G1619,H1619,I1619,J1619),2)&amp;BIN2HEX(CONCATENATE(K1619,L1619,M1619,N1619,O1619,P1619,Q1619,R1619),2)&amp;BIN2HEX(CONCATENATE(S1619,T1619,U1619,V1619,W1619,X1619,Y1619,Z1619),2)&amp;BIN2HEX(CONCATENATE(AA1619,AB1619,AC1619,AD1619,AE1619,AF1619,AG1619,AH1619),2)</f>
        <v>0x00000000_000806B0</v>
      </c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5"/>
      <c r="AH1610" s="5"/>
      <c r="AI1610" s="6"/>
    </row>
    <row r="1611" spans="1:35" ht="15.75" thickBot="1" x14ac:dyDescent="0.3">
      <c r="A1611" s="3"/>
      <c r="B1611" s="5"/>
      <c r="C1611" s="7">
        <v>0</v>
      </c>
      <c r="D1611" s="7">
        <v>1</v>
      </c>
      <c r="E1611" s="7">
        <v>2</v>
      </c>
      <c r="F1611" s="7">
        <v>3</v>
      </c>
      <c r="G1611" s="7">
        <v>4</v>
      </c>
      <c r="H1611" s="7">
        <v>5</v>
      </c>
      <c r="I1611" s="7">
        <v>6</v>
      </c>
      <c r="J1611" s="7">
        <v>7</v>
      </c>
      <c r="K1611" s="7">
        <v>8</v>
      </c>
      <c r="L1611" s="7">
        <v>9</v>
      </c>
      <c r="M1611" s="7">
        <v>10</v>
      </c>
      <c r="N1611" s="7">
        <v>11</v>
      </c>
      <c r="O1611" s="7">
        <v>12</v>
      </c>
      <c r="P1611" s="7">
        <v>13</v>
      </c>
      <c r="Q1611" s="7">
        <v>14</v>
      </c>
      <c r="R1611" s="7">
        <v>15</v>
      </c>
      <c r="S1611" s="7">
        <v>16</v>
      </c>
      <c r="T1611" s="7">
        <v>17</v>
      </c>
      <c r="U1611" s="7">
        <v>18</v>
      </c>
      <c r="V1611" s="7">
        <v>19</v>
      </c>
      <c r="W1611" s="7">
        <v>20</v>
      </c>
      <c r="X1611" s="7">
        <v>21</v>
      </c>
      <c r="Y1611" s="7">
        <v>22</v>
      </c>
      <c r="Z1611" s="7">
        <v>23</v>
      </c>
      <c r="AA1611" s="7">
        <v>24</v>
      </c>
      <c r="AB1611" s="7">
        <v>25</v>
      </c>
      <c r="AC1611" s="7">
        <v>26</v>
      </c>
      <c r="AD1611" s="7">
        <v>27</v>
      </c>
      <c r="AE1611" s="7">
        <v>28</v>
      </c>
      <c r="AF1611" s="7">
        <v>29</v>
      </c>
      <c r="AG1611" s="7">
        <v>30</v>
      </c>
      <c r="AH1611" s="7">
        <v>31</v>
      </c>
      <c r="AI1611" s="6"/>
    </row>
    <row r="1612" spans="1:35" x14ac:dyDescent="0.25">
      <c r="A1612" s="3"/>
      <c r="B1612" s="5" t="s">
        <v>31</v>
      </c>
      <c r="C1612" s="328" t="s">
        <v>161</v>
      </c>
      <c r="D1612" s="330" t="s">
        <v>63</v>
      </c>
      <c r="E1612" s="331"/>
      <c r="F1612" s="331"/>
      <c r="G1612" s="331"/>
      <c r="H1612" s="331"/>
      <c r="I1612" s="331"/>
      <c r="J1612" s="332"/>
      <c r="K1612" s="336">
        <v>0</v>
      </c>
      <c r="L1612" s="337"/>
      <c r="M1612" s="337"/>
      <c r="N1612" s="337"/>
      <c r="O1612" s="337"/>
      <c r="P1612" s="337"/>
      <c r="Q1612" s="337"/>
      <c r="R1612" s="337"/>
      <c r="S1612" s="337"/>
      <c r="T1612" s="337"/>
      <c r="U1612" s="337"/>
      <c r="V1612" s="337"/>
      <c r="W1612" s="337"/>
      <c r="X1612" s="337"/>
      <c r="Y1612" s="337"/>
      <c r="Z1612" s="337"/>
      <c r="AA1612" s="337"/>
      <c r="AB1612" s="337"/>
      <c r="AC1612" s="337"/>
      <c r="AD1612" s="337"/>
      <c r="AE1612" s="337"/>
      <c r="AF1612" s="337"/>
      <c r="AG1612" s="337"/>
      <c r="AH1612" s="338"/>
      <c r="AI1612" s="6"/>
    </row>
    <row r="1613" spans="1:35" x14ac:dyDescent="0.25">
      <c r="A1613" s="3"/>
      <c r="B1613" s="5" t="s">
        <v>32</v>
      </c>
      <c r="C1613" s="329"/>
      <c r="D1613" s="333"/>
      <c r="E1613" s="334"/>
      <c r="F1613" s="334"/>
      <c r="G1613" s="334"/>
      <c r="H1613" s="334"/>
      <c r="I1613" s="334"/>
      <c r="J1613" s="335"/>
      <c r="K1613" s="339"/>
      <c r="L1613" s="340"/>
      <c r="M1613" s="340"/>
      <c r="N1613" s="340"/>
      <c r="O1613" s="340"/>
      <c r="P1613" s="340"/>
      <c r="Q1613" s="340"/>
      <c r="R1613" s="340"/>
      <c r="S1613" s="340"/>
      <c r="T1613" s="340"/>
      <c r="U1613" s="340"/>
      <c r="V1613" s="340"/>
      <c r="W1613" s="340"/>
      <c r="X1613" s="340"/>
      <c r="Y1613" s="340"/>
      <c r="Z1613" s="340"/>
      <c r="AA1613" s="340"/>
      <c r="AB1613" s="340"/>
      <c r="AC1613" s="340"/>
      <c r="AD1613" s="340"/>
      <c r="AE1613" s="340"/>
      <c r="AF1613" s="340"/>
      <c r="AG1613" s="340"/>
      <c r="AH1613" s="341"/>
      <c r="AI1613" s="6"/>
    </row>
    <row r="1614" spans="1:35" x14ac:dyDescent="0.25">
      <c r="A1614" s="3"/>
      <c r="B1614" s="5" t="s">
        <v>11</v>
      </c>
      <c r="C1614" s="56">
        <v>0</v>
      </c>
      <c r="D1614" s="57">
        <v>0</v>
      </c>
      <c r="E1614" s="57">
        <v>0</v>
      </c>
      <c r="F1614" s="57">
        <v>0</v>
      </c>
      <c r="G1614" s="57">
        <v>0</v>
      </c>
      <c r="H1614" s="57">
        <v>0</v>
      </c>
      <c r="I1614" s="57">
        <v>0</v>
      </c>
      <c r="J1614" s="57">
        <v>0</v>
      </c>
      <c r="K1614" s="57">
        <v>0</v>
      </c>
      <c r="L1614" s="57">
        <v>0</v>
      </c>
      <c r="M1614" s="57">
        <v>0</v>
      </c>
      <c r="N1614" s="57">
        <v>0</v>
      </c>
      <c r="O1614" s="57">
        <v>0</v>
      </c>
      <c r="P1614" s="57">
        <v>0</v>
      </c>
      <c r="Q1614" s="57">
        <v>0</v>
      </c>
      <c r="R1614" s="57">
        <v>0</v>
      </c>
      <c r="S1614" s="57">
        <v>0</v>
      </c>
      <c r="T1614" s="57">
        <v>0</v>
      </c>
      <c r="U1614" s="57">
        <v>0</v>
      </c>
      <c r="V1614" s="57">
        <v>0</v>
      </c>
      <c r="W1614" s="57">
        <v>0</v>
      </c>
      <c r="X1614" s="57">
        <v>0</v>
      </c>
      <c r="Y1614" s="57">
        <v>0</v>
      </c>
      <c r="Z1614" s="57">
        <v>0</v>
      </c>
      <c r="AA1614" s="57">
        <v>0</v>
      </c>
      <c r="AB1614" s="57">
        <v>0</v>
      </c>
      <c r="AC1614" s="57">
        <v>0</v>
      </c>
      <c r="AD1614" s="57">
        <v>0</v>
      </c>
      <c r="AE1614" s="57">
        <v>0</v>
      </c>
      <c r="AF1614" s="57">
        <v>0</v>
      </c>
      <c r="AG1614" s="57">
        <v>0</v>
      </c>
      <c r="AH1614" s="58">
        <v>0</v>
      </c>
      <c r="AI1614" s="6"/>
    </row>
    <row r="1615" spans="1:35" ht="15.75" thickBot="1" x14ac:dyDescent="0.3">
      <c r="A1615" s="3"/>
      <c r="B1615" s="5" t="s">
        <v>12</v>
      </c>
      <c r="C1615" s="145">
        <v>0</v>
      </c>
      <c r="D1615" s="88">
        <v>0</v>
      </c>
      <c r="E1615" s="88">
        <v>0</v>
      </c>
      <c r="F1615" s="88">
        <v>0</v>
      </c>
      <c r="G1615" s="88">
        <v>0</v>
      </c>
      <c r="H1615" s="88">
        <v>0</v>
      </c>
      <c r="I1615" s="88">
        <v>0</v>
      </c>
      <c r="J1615" s="88">
        <v>0</v>
      </c>
      <c r="K1615" s="62">
        <v>0</v>
      </c>
      <c r="L1615" s="62">
        <v>0</v>
      </c>
      <c r="M1615" s="62">
        <v>0</v>
      </c>
      <c r="N1615" s="62">
        <v>0</v>
      </c>
      <c r="O1615" s="62">
        <v>0</v>
      </c>
      <c r="P1615" s="62">
        <v>0</v>
      </c>
      <c r="Q1615" s="62">
        <v>0</v>
      </c>
      <c r="R1615" s="62">
        <v>0</v>
      </c>
      <c r="S1615" s="62">
        <v>0</v>
      </c>
      <c r="T1615" s="62">
        <v>0</v>
      </c>
      <c r="U1615" s="62">
        <v>0</v>
      </c>
      <c r="V1615" s="62">
        <v>0</v>
      </c>
      <c r="W1615" s="62">
        <v>0</v>
      </c>
      <c r="X1615" s="62">
        <v>0</v>
      </c>
      <c r="Y1615" s="62">
        <v>0</v>
      </c>
      <c r="Z1615" s="62">
        <v>0</v>
      </c>
      <c r="AA1615" s="62">
        <v>0</v>
      </c>
      <c r="AB1615" s="62">
        <v>0</v>
      </c>
      <c r="AC1615" s="62">
        <v>0</v>
      </c>
      <c r="AD1615" s="62">
        <v>0</v>
      </c>
      <c r="AE1615" s="62">
        <v>0</v>
      </c>
      <c r="AF1615" s="62">
        <v>0</v>
      </c>
      <c r="AG1615" s="62">
        <v>0</v>
      </c>
      <c r="AH1615" s="146">
        <v>0</v>
      </c>
      <c r="AI1615" s="6"/>
    </row>
    <row r="1616" spans="1:35" x14ac:dyDescent="0.25">
      <c r="A1616" s="3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5"/>
      <c r="AH1616" s="5"/>
      <c r="AI1616" s="6"/>
    </row>
    <row r="1617" spans="1:35" ht="15.75" thickBot="1" x14ac:dyDescent="0.3">
      <c r="A1617" s="3"/>
      <c r="B1617" s="5"/>
      <c r="C1617" s="7">
        <v>32</v>
      </c>
      <c r="D1617" s="7">
        <v>33</v>
      </c>
      <c r="E1617" s="7">
        <v>34</v>
      </c>
      <c r="F1617" s="7">
        <v>35</v>
      </c>
      <c r="G1617" s="7">
        <v>36</v>
      </c>
      <c r="H1617" s="7">
        <v>37</v>
      </c>
      <c r="I1617" s="7">
        <v>38</v>
      </c>
      <c r="J1617" s="7">
        <v>39</v>
      </c>
      <c r="K1617" s="7">
        <v>40</v>
      </c>
      <c r="L1617" s="7">
        <v>41</v>
      </c>
      <c r="M1617" s="7">
        <v>42</v>
      </c>
      <c r="N1617" s="7">
        <v>43</v>
      </c>
      <c r="O1617" s="7">
        <v>44</v>
      </c>
      <c r="P1617" s="7">
        <v>45</v>
      </c>
      <c r="Q1617" s="7">
        <v>46</v>
      </c>
      <c r="R1617" s="7">
        <v>47</v>
      </c>
      <c r="S1617" s="7">
        <v>48</v>
      </c>
      <c r="T1617" s="7">
        <v>49</v>
      </c>
      <c r="U1617" s="7">
        <v>50</v>
      </c>
      <c r="V1617" s="7">
        <v>51</v>
      </c>
      <c r="W1617" s="7">
        <v>52</v>
      </c>
      <c r="X1617" s="7">
        <v>53</v>
      </c>
      <c r="Y1617" s="7">
        <v>54</v>
      </c>
      <c r="Z1617" s="7">
        <v>55</v>
      </c>
      <c r="AA1617" s="7">
        <v>56</v>
      </c>
      <c r="AB1617" s="7">
        <v>57</v>
      </c>
      <c r="AC1617" s="7">
        <v>58</v>
      </c>
      <c r="AD1617" s="7">
        <v>59</v>
      </c>
      <c r="AE1617" s="7">
        <v>60</v>
      </c>
      <c r="AF1617" s="7">
        <v>61</v>
      </c>
      <c r="AG1617" s="7">
        <v>62</v>
      </c>
      <c r="AH1617" s="7">
        <v>63</v>
      </c>
      <c r="AI1617" s="6"/>
    </row>
    <row r="1618" spans="1:35" ht="15.75" thickBot="1" x14ac:dyDescent="0.3">
      <c r="A1618" s="3"/>
      <c r="B1618" s="5"/>
      <c r="C1618" s="147" t="s">
        <v>13</v>
      </c>
      <c r="D1618" s="148" t="s">
        <v>14</v>
      </c>
      <c r="E1618" s="148" t="s">
        <v>15</v>
      </c>
      <c r="F1618" s="148" t="s">
        <v>16</v>
      </c>
      <c r="G1618" s="148" t="s">
        <v>17</v>
      </c>
      <c r="H1618" s="148" t="s">
        <v>18</v>
      </c>
      <c r="I1618" s="148" t="s">
        <v>19</v>
      </c>
      <c r="J1618" s="148" t="s">
        <v>20</v>
      </c>
      <c r="K1618" s="148" t="s">
        <v>21</v>
      </c>
      <c r="L1618" s="148" t="s">
        <v>22</v>
      </c>
      <c r="M1618" s="148" t="s">
        <v>23</v>
      </c>
      <c r="N1618" s="148" t="s">
        <v>24</v>
      </c>
      <c r="O1618" s="148" t="s">
        <v>25</v>
      </c>
      <c r="P1618" s="148" t="s">
        <v>26</v>
      </c>
      <c r="Q1618" s="148" t="s">
        <v>27</v>
      </c>
      <c r="R1618" s="342" t="s">
        <v>30</v>
      </c>
      <c r="S1618" s="343"/>
      <c r="T1618" s="343"/>
      <c r="U1618" s="343"/>
      <c r="V1618" s="343"/>
      <c r="W1618" s="343"/>
      <c r="X1618" s="343"/>
      <c r="Y1618" s="343"/>
      <c r="Z1618" s="343"/>
      <c r="AA1618" s="343"/>
      <c r="AB1618" s="343"/>
      <c r="AC1618" s="343"/>
      <c r="AD1618" s="343"/>
      <c r="AE1618" s="343"/>
      <c r="AF1618" s="344"/>
      <c r="AG1618" s="67" t="s">
        <v>28</v>
      </c>
      <c r="AH1618" s="149" t="s">
        <v>29</v>
      </c>
      <c r="AI1618" s="6"/>
    </row>
    <row r="1619" spans="1:35" ht="15.75" thickBot="1" x14ac:dyDescent="0.3">
      <c r="A1619" s="3"/>
      <c r="B1619" s="5"/>
      <c r="C1619" s="150">
        <v>0</v>
      </c>
      <c r="D1619" s="151">
        <v>0</v>
      </c>
      <c r="E1619" s="151">
        <v>0</v>
      </c>
      <c r="F1619" s="151">
        <v>0</v>
      </c>
      <c r="G1619" s="151">
        <v>0</v>
      </c>
      <c r="H1619" s="151">
        <v>0</v>
      </c>
      <c r="I1619" s="151">
        <v>0</v>
      </c>
      <c r="J1619" s="151">
        <v>0</v>
      </c>
      <c r="K1619" s="151">
        <v>0</v>
      </c>
      <c r="L1619" s="151">
        <v>0</v>
      </c>
      <c r="M1619" s="151">
        <v>0</v>
      </c>
      <c r="N1619" s="151">
        <v>0</v>
      </c>
      <c r="O1619" s="151">
        <v>1</v>
      </c>
      <c r="P1619" s="151">
        <v>0</v>
      </c>
      <c r="Q1619" s="151">
        <v>0</v>
      </c>
      <c r="R1619" s="151">
        <v>0</v>
      </c>
      <c r="S1619" s="151">
        <v>0</v>
      </c>
      <c r="T1619" s="151">
        <v>0</v>
      </c>
      <c r="U1619" s="151">
        <v>0</v>
      </c>
      <c r="V1619" s="151">
        <v>0</v>
      </c>
      <c r="W1619" s="151">
        <v>0</v>
      </c>
      <c r="X1619" s="151">
        <v>1</v>
      </c>
      <c r="Y1619" s="151">
        <v>1</v>
      </c>
      <c r="Z1619" s="151">
        <v>0</v>
      </c>
      <c r="AA1619" s="151">
        <v>1</v>
      </c>
      <c r="AB1619" s="151">
        <v>0</v>
      </c>
      <c r="AC1619" s="151">
        <v>1</v>
      </c>
      <c r="AD1619" s="151">
        <v>1</v>
      </c>
      <c r="AE1619" s="151">
        <v>0</v>
      </c>
      <c r="AF1619" s="151">
        <v>0</v>
      </c>
      <c r="AG1619" s="151">
        <v>0</v>
      </c>
      <c r="AH1619" s="152">
        <v>0</v>
      </c>
      <c r="AI1619" s="6"/>
    </row>
    <row r="1620" spans="1:35" x14ac:dyDescent="0.25">
      <c r="A1620" s="3"/>
      <c r="B1620" s="4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5"/>
      <c r="AH1620" s="5"/>
      <c r="AI1620" s="6"/>
    </row>
    <row r="1621" spans="1:35" x14ac:dyDescent="0.25">
      <c r="A1621" s="3"/>
      <c r="B1621" s="8" t="s">
        <v>43</v>
      </c>
      <c r="C1621" s="9"/>
      <c r="D1621" s="9"/>
      <c r="E1621" s="9"/>
      <c r="F1621" s="44" t="s">
        <v>44</v>
      </c>
      <c r="G1621" s="44"/>
      <c r="H1621" s="44"/>
      <c r="I1621" s="9"/>
      <c r="J1621" s="45" t="s">
        <v>45</v>
      </c>
      <c r="K1621" s="45"/>
      <c r="L1621" s="45"/>
      <c r="M1621" s="45"/>
      <c r="N1621" s="9"/>
      <c r="O1621" s="46" t="s">
        <v>46</v>
      </c>
      <c r="P1621" s="46"/>
      <c r="Q1621" s="46"/>
      <c r="R1621" s="46"/>
      <c r="S1621" s="9"/>
      <c r="T1621" s="1" t="s">
        <v>49</v>
      </c>
      <c r="U1621" s="10" t="s">
        <v>48</v>
      </c>
      <c r="V1621" s="5"/>
      <c r="W1621" s="9"/>
      <c r="X1621" s="9"/>
      <c r="Y1621" s="9"/>
      <c r="Z1621" s="9"/>
      <c r="AA1621" s="9"/>
      <c r="AB1621" s="9"/>
      <c r="AC1621" s="9"/>
      <c r="AD1621" s="9"/>
      <c r="AE1621" s="9"/>
      <c r="AF1621" s="9"/>
      <c r="AG1621" s="9"/>
      <c r="AH1621" s="9"/>
      <c r="AI1621" s="6"/>
    </row>
    <row r="1622" spans="1:35" ht="15" customHeight="1" x14ac:dyDescent="0.25">
      <c r="A1622" s="3"/>
      <c r="B1622" s="42" t="str">
        <f>"0x"&amp;DEC2HEX(Sheet3!$I$4,8)</f>
        <v>0x00400320</v>
      </c>
      <c r="C1622" s="42"/>
      <c r="D1622" s="42"/>
      <c r="E1622" s="12"/>
      <c r="F1622" s="319" t="str">
        <f>"0x"&amp;BIN2HEX(CONCATENATE(C1615,D1615,E1615,F1615,G1615,H1615,I1615,J1615),2)&amp;BIN2HEX(CONCATENATE(K1615,L1615,M1615,N1615,O1615,P1615,Q1615,R1615),2)&amp;BIN2HEX(CONCATENATE(S1615,T1615,U1615,V1615,W1615,X1615,Y1615,Z1615),2)&amp;BIN2HEX(CONCATENATE(AA1615,AB1615,AC1615,AD1615,AE1615,AF1615,AG1615,AH1615),2)</f>
        <v>0x00000000</v>
      </c>
      <c r="G1622" s="319"/>
      <c r="H1622" s="319"/>
      <c r="I1622" s="12"/>
      <c r="J1622" s="319" t="str">
        <f>"0b"&amp;C1619&amp;D1619&amp;E1619&amp;F1619&amp;G1619&amp;H1619&amp;I1619&amp;J1619&amp;K1619&amp;L1619&amp;M1619&amp;N1619&amp;O1619&amp;P1619&amp;Q1619</f>
        <v>0b000000000000100</v>
      </c>
      <c r="K1622" s="319"/>
      <c r="L1622" s="319"/>
      <c r="M1622" s="319"/>
      <c r="N1622" s="12"/>
      <c r="O1622" s="319" t="str">
        <f>"0b"&amp;DEC2BIN(((AF1619+AE1619*2+AD1619*4+AC1619*8+AB1619*16+AA1619*32+Z1619*64+Y1619*128+X1619*256+W1619*512+V1619*1024+U1619*2048+T1619*4096+S1619*2^13+R1619*2^14)/512),6)&amp;DEC2BIN(MOD((AF1619+AE1619*2+AD1619*4+AC1619*8+AB1619*16+AA1619*32+Z1619*64+Y1619*128+X1619*256+W1619*512+V1619*1024+U1619*2048+T1619*4096+S1619*2^13+R1619*2^14),512),9)</f>
        <v>0b000000110101100</v>
      </c>
      <c r="P1622" s="319"/>
      <c r="Q1622" s="319"/>
      <c r="R1622" s="319"/>
      <c r="S1622" s="12"/>
      <c r="T1622" s="13">
        <v>0</v>
      </c>
      <c r="U1622" s="13">
        <f>AH1619</f>
        <v>0</v>
      </c>
      <c r="V1622" s="5"/>
      <c r="W1622" s="14"/>
      <c r="X1622" s="14"/>
      <c r="Y1622" s="14"/>
      <c r="Z1622" s="14"/>
      <c r="AA1622" s="14"/>
      <c r="AB1622" s="14"/>
      <c r="AC1622" s="14"/>
      <c r="AD1622" s="14"/>
      <c r="AE1622" s="14"/>
      <c r="AF1622" s="14"/>
      <c r="AG1622" s="14"/>
      <c r="AH1622" s="14"/>
      <c r="AI1622" s="6"/>
    </row>
    <row r="1623" spans="1:35" x14ac:dyDescent="0.25">
      <c r="A1623" s="3"/>
      <c r="B1623" s="42"/>
      <c r="C1623" s="42"/>
      <c r="D1623" s="42"/>
      <c r="E1623" s="15"/>
      <c r="F1623" s="43"/>
      <c r="G1623" s="43"/>
      <c r="H1623" s="43"/>
      <c r="I1623" s="15"/>
      <c r="J1623" s="42"/>
      <c r="K1623" s="42"/>
      <c r="L1623" s="42"/>
      <c r="M1623" s="42"/>
      <c r="N1623" s="15"/>
      <c r="O1623" s="42"/>
      <c r="P1623" s="42"/>
      <c r="Q1623" s="42"/>
      <c r="R1623" s="42"/>
      <c r="S1623" s="15"/>
      <c r="T1623" s="13"/>
      <c r="U1623" s="15"/>
      <c r="V1623" s="5"/>
      <c r="W1623" s="16"/>
      <c r="X1623" s="16"/>
      <c r="Y1623" s="16"/>
      <c r="Z1623" s="16"/>
      <c r="AA1623" s="16"/>
      <c r="AB1623" s="16"/>
      <c r="AC1623" s="16"/>
      <c r="AD1623" s="16"/>
      <c r="AE1623" s="16"/>
      <c r="AF1623" s="16"/>
      <c r="AG1623" s="16"/>
      <c r="AH1623" s="16"/>
      <c r="AI1623" s="6"/>
    </row>
    <row r="1624" spans="1:35" x14ac:dyDescent="0.25">
      <c r="A1624" s="3"/>
      <c r="B1624" s="42"/>
      <c r="C1624" s="42"/>
      <c r="D1624" s="42"/>
      <c r="E1624" s="15"/>
      <c r="F1624" s="43"/>
      <c r="G1624" s="43"/>
      <c r="H1624" s="43"/>
      <c r="I1624" s="15"/>
      <c r="J1624" s="42"/>
      <c r="K1624" s="42"/>
      <c r="L1624" s="42"/>
      <c r="M1624" s="42"/>
      <c r="N1624" s="15"/>
      <c r="O1624" s="42"/>
      <c r="P1624" s="42"/>
      <c r="Q1624" s="42"/>
      <c r="R1624" s="42"/>
      <c r="S1624" s="15"/>
      <c r="T1624" s="13"/>
      <c r="U1624" s="15"/>
      <c r="V1624" s="5"/>
      <c r="W1624" s="16"/>
      <c r="X1624" s="16"/>
      <c r="Y1624" s="16"/>
      <c r="Z1624" s="16"/>
      <c r="AA1624" s="16"/>
      <c r="AB1624" s="16"/>
      <c r="AC1624" s="16"/>
      <c r="AD1624" s="16"/>
      <c r="AE1624" s="16"/>
      <c r="AF1624" s="16"/>
      <c r="AG1624" s="16"/>
      <c r="AH1624" s="16"/>
      <c r="AI1624" s="6"/>
    </row>
    <row r="1625" spans="1:35" x14ac:dyDescent="0.25">
      <c r="A1625" s="3"/>
      <c r="B1625" s="5"/>
      <c r="C1625" s="5"/>
      <c r="D1625" s="5"/>
      <c r="E1625" s="5"/>
      <c r="F1625" s="17"/>
      <c r="G1625" s="17"/>
      <c r="H1625" s="17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5"/>
      <c r="AH1625" s="5"/>
      <c r="AI1625" s="6"/>
    </row>
    <row r="1626" spans="1:35" x14ac:dyDescent="0.25">
      <c r="A1626" s="3"/>
      <c r="B1626" s="5" t="s">
        <v>47</v>
      </c>
      <c r="C1626" s="18"/>
      <c r="D1626" s="18"/>
      <c r="E1626" s="18"/>
      <c r="F1626" s="5"/>
      <c r="G1626" s="5"/>
      <c r="H1626" s="5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  <c r="AB1626" s="18"/>
      <c r="AC1626" s="18"/>
      <c r="AD1626" s="18"/>
      <c r="AE1626" s="18"/>
      <c r="AF1626" s="18"/>
      <c r="AG1626" s="18"/>
      <c r="AH1626" s="18"/>
      <c r="AI1626" s="6"/>
    </row>
    <row r="1627" spans="1:35" ht="15" customHeight="1" x14ac:dyDescent="0.25">
      <c r="A1627" s="3"/>
      <c r="B1627" s="42" t="str">
        <f>"0x"&amp;DEC2HEX(Sheet3!$I$4,8)</f>
        <v>0x00400320</v>
      </c>
      <c r="C1627" s="42"/>
      <c r="D1627" s="42"/>
      <c r="E1627" s="16"/>
      <c r="F1627" s="322" t="str">
        <f>F1622&amp;BIN2HEX(MID(J1622,3,8),2)&amp;BIN2HEX(RIGHT(J1622,7)&amp;MID(O1622,3,1),2)&amp;BIN2HEX(MID(O1622,4,8),2)&amp;BIN2HEX(RIGHT(O1622,6)&amp;T1622&amp;U1622,2)</f>
        <v>0x00000000000806B0</v>
      </c>
      <c r="G1627" s="322"/>
      <c r="H1627" s="322"/>
      <c r="I1627" s="322"/>
      <c r="J1627" s="5"/>
      <c r="K1627" s="5"/>
      <c r="L1627" s="5"/>
      <c r="M1627" s="5"/>
      <c r="N1627" s="5"/>
      <c r="O1627" s="5"/>
      <c r="P1627" s="16"/>
      <c r="Q1627" s="16"/>
      <c r="R1627" s="19"/>
      <c r="S1627" s="19"/>
      <c r="T1627" s="19"/>
      <c r="U1627" s="19"/>
      <c r="V1627" s="19"/>
      <c r="W1627" s="19"/>
      <c r="X1627" s="19"/>
      <c r="Y1627" s="19"/>
      <c r="Z1627" s="19"/>
      <c r="AA1627" s="19"/>
      <c r="AB1627" s="19"/>
      <c r="AC1627" s="19"/>
      <c r="AD1627" s="19"/>
      <c r="AE1627" s="19"/>
      <c r="AF1627" s="19"/>
      <c r="AG1627" s="5"/>
      <c r="AH1627" s="5"/>
      <c r="AI1627" s="6"/>
    </row>
    <row r="1628" spans="1:35" x14ac:dyDescent="0.25">
      <c r="A1628" s="3"/>
      <c r="B1628" s="37"/>
      <c r="C1628" s="37"/>
      <c r="D1628" s="37"/>
      <c r="E1628" s="5"/>
      <c r="F1628" s="38"/>
      <c r="G1628" s="38"/>
      <c r="H1628" s="38"/>
      <c r="I1628" s="38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5"/>
      <c r="AH1628" s="5"/>
      <c r="AI1628" s="6"/>
    </row>
    <row r="1629" spans="1:35" x14ac:dyDescent="0.25">
      <c r="A1629" s="3"/>
      <c r="B1629" s="37"/>
      <c r="C1629" s="37"/>
      <c r="D1629" s="37"/>
      <c r="E1629" s="5"/>
      <c r="F1629" s="38"/>
      <c r="G1629" s="38"/>
      <c r="H1629" s="38"/>
      <c r="I1629" s="38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5"/>
      <c r="AH1629" s="5"/>
      <c r="AI1629" s="6"/>
    </row>
    <row r="1630" spans="1:35" x14ac:dyDescent="0.25">
      <c r="A1630" s="20"/>
      <c r="B1630" s="21"/>
      <c r="C1630" s="21"/>
      <c r="D1630" s="21"/>
      <c r="E1630" s="21"/>
      <c r="F1630" s="21"/>
      <c r="G1630" s="21"/>
      <c r="H1630" s="21"/>
      <c r="I1630" s="21"/>
      <c r="J1630" s="21"/>
      <c r="K1630" s="21"/>
      <c r="L1630" s="21"/>
      <c r="M1630" s="21"/>
      <c r="N1630" s="21"/>
      <c r="O1630" s="22"/>
      <c r="P1630" s="21"/>
      <c r="Q1630" s="21"/>
      <c r="R1630" s="21"/>
      <c r="S1630" s="21"/>
      <c r="T1630" s="21"/>
      <c r="U1630" s="21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  <c r="AF1630" s="21"/>
      <c r="AG1630" s="21"/>
      <c r="AH1630" s="21"/>
      <c r="AI1630" s="23"/>
    </row>
    <row r="1631" spans="1:35" x14ac:dyDescent="0.25">
      <c r="A1631" s="24"/>
      <c r="B1631" s="28"/>
      <c r="C1631" s="25"/>
      <c r="D1631" s="25"/>
      <c r="E1631" s="25"/>
      <c r="F1631" s="25"/>
      <c r="G1631" s="25"/>
      <c r="H1631" s="25"/>
      <c r="I1631" s="25"/>
      <c r="J1631" s="25"/>
      <c r="K1631" s="25"/>
      <c r="L1631" s="25"/>
      <c r="M1631" s="25"/>
      <c r="N1631" s="25"/>
      <c r="O1631" s="25"/>
      <c r="P1631" s="25"/>
      <c r="Q1631" s="25"/>
      <c r="R1631" s="25"/>
      <c r="S1631" s="25"/>
      <c r="T1631" s="25"/>
      <c r="U1631" s="25"/>
      <c r="V1631" s="25"/>
      <c r="W1631" s="25"/>
      <c r="X1631" s="25"/>
      <c r="Y1631" s="25"/>
      <c r="Z1631" s="25"/>
      <c r="AA1631" s="25"/>
      <c r="AB1631" s="25"/>
      <c r="AC1631" s="25"/>
      <c r="AD1631" s="25"/>
      <c r="AE1631" s="25"/>
      <c r="AF1631" s="25"/>
      <c r="AG1631" s="25"/>
      <c r="AH1631" s="25"/>
      <c r="AI1631" s="26"/>
    </row>
    <row r="1632" spans="1:35" x14ac:dyDescent="0.25">
      <c r="A1632" s="3"/>
      <c r="B1632" s="4" t="s">
        <v>206</v>
      </c>
      <c r="C1632" s="5"/>
      <c r="D1632" s="5"/>
      <c r="E1632" s="5"/>
      <c r="F1632" s="5"/>
      <c r="G1632" s="5"/>
      <c r="H1632" s="5"/>
      <c r="I1632" s="5" t="str">
        <f>"0x"&amp;BIN2HEX(CONCATENATE(C1637,D1637,E1637,F1637,G1637,H1637,I1637,J1637),2)&amp;BIN2HEX(CONCATENATE(K1637,L1637,M1637,N1637,O1637,P1637,Q1637,R1637),2)&amp;BIN2HEX(CONCATENATE(S1637,T1637,U1637,V1637,W1637,X1637,Y1637,Z1637),2)&amp;BIN2HEX(CONCATENATE(AA1637,AB1637,AC1637,AD1637,AE1637,AF1637,AG1637,AH1637),2)&amp;"_"&amp;BIN2HEX(CONCATENATE(C1641,D1641,E1641,F1641,G1641,H1641,I1641,J1641),2)&amp;BIN2HEX(CONCATENATE(K1641,L1641,M1641,N1641,O1641,P1641,Q1641,R1641),2)&amp;BIN2HEX(CONCATENATE(S1641,T1641,U1641,V1641,W1641,X1641,Y1641,Z1641),2)&amp;BIN2HEX(CONCATENATE(AA1641,AB1641,AC1641,AD1641,AE1641,AF1641,AG1641,AH1641),2)</f>
        <v>0x00000000_000806B4</v>
      </c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5"/>
      <c r="AH1632" s="5"/>
      <c r="AI1632" s="6"/>
    </row>
    <row r="1633" spans="1:35" ht="15.75" thickBot="1" x14ac:dyDescent="0.3">
      <c r="A1633" s="3"/>
      <c r="B1633" s="5"/>
      <c r="C1633" s="7">
        <v>0</v>
      </c>
      <c r="D1633" s="7">
        <v>1</v>
      </c>
      <c r="E1633" s="7">
        <v>2</v>
      </c>
      <c r="F1633" s="7">
        <v>3</v>
      </c>
      <c r="G1633" s="7">
        <v>4</v>
      </c>
      <c r="H1633" s="7">
        <v>5</v>
      </c>
      <c r="I1633" s="7">
        <v>6</v>
      </c>
      <c r="J1633" s="7">
        <v>7</v>
      </c>
      <c r="K1633" s="7">
        <v>8</v>
      </c>
      <c r="L1633" s="7">
        <v>9</v>
      </c>
      <c r="M1633" s="7">
        <v>10</v>
      </c>
      <c r="N1633" s="7">
        <v>11</v>
      </c>
      <c r="O1633" s="7">
        <v>12</v>
      </c>
      <c r="P1633" s="7">
        <v>13</v>
      </c>
      <c r="Q1633" s="7">
        <v>14</v>
      </c>
      <c r="R1633" s="7">
        <v>15</v>
      </c>
      <c r="S1633" s="7">
        <v>16</v>
      </c>
      <c r="T1633" s="7">
        <v>17</v>
      </c>
      <c r="U1633" s="7">
        <v>18</v>
      </c>
      <c r="V1633" s="7">
        <v>19</v>
      </c>
      <c r="W1633" s="7">
        <v>20</v>
      </c>
      <c r="X1633" s="7">
        <v>21</v>
      </c>
      <c r="Y1633" s="7">
        <v>22</v>
      </c>
      <c r="Z1633" s="7">
        <v>23</v>
      </c>
      <c r="AA1633" s="7">
        <v>24</v>
      </c>
      <c r="AB1633" s="7">
        <v>25</v>
      </c>
      <c r="AC1633" s="7">
        <v>26</v>
      </c>
      <c r="AD1633" s="7">
        <v>27</v>
      </c>
      <c r="AE1633" s="7">
        <v>28</v>
      </c>
      <c r="AF1633" s="7">
        <v>29</v>
      </c>
      <c r="AG1633" s="7">
        <v>30</v>
      </c>
      <c r="AH1633" s="7">
        <v>31</v>
      </c>
      <c r="AI1633" s="6"/>
    </row>
    <row r="1634" spans="1:35" x14ac:dyDescent="0.25">
      <c r="A1634" s="3"/>
      <c r="B1634" s="5" t="s">
        <v>31</v>
      </c>
      <c r="C1634" s="328" t="s">
        <v>161</v>
      </c>
      <c r="D1634" s="330" t="s">
        <v>63</v>
      </c>
      <c r="E1634" s="331"/>
      <c r="F1634" s="331"/>
      <c r="G1634" s="331"/>
      <c r="H1634" s="331"/>
      <c r="I1634" s="331"/>
      <c r="J1634" s="332"/>
      <c r="K1634" s="336">
        <v>0</v>
      </c>
      <c r="L1634" s="337"/>
      <c r="M1634" s="337"/>
      <c r="N1634" s="337"/>
      <c r="O1634" s="337"/>
      <c r="P1634" s="337"/>
      <c r="Q1634" s="337"/>
      <c r="R1634" s="337"/>
      <c r="S1634" s="337"/>
      <c r="T1634" s="337"/>
      <c r="U1634" s="337"/>
      <c r="V1634" s="337"/>
      <c r="W1634" s="337"/>
      <c r="X1634" s="337"/>
      <c r="Y1634" s="337"/>
      <c r="Z1634" s="337"/>
      <c r="AA1634" s="337"/>
      <c r="AB1634" s="337"/>
      <c r="AC1634" s="337"/>
      <c r="AD1634" s="337"/>
      <c r="AE1634" s="337"/>
      <c r="AF1634" s="337"/>
      <c r="AG1634" s="337"/>
      <c r="AH1634" s="338"/>
      <c r="AI1634" s="6"/>
    </row>
    <row r="1635" spans="1:35" x14ac:dyDescent="0.25">
      <c r="A1635" s="3"/>
      <c r="B1635" s="5" t="s">
        <v>32</v>
      </c>
      <c r="C1635" s="329"/>
      <c r="D1635" s="333"/>
      <c r="E1635" s="334"/>
      <c r="F1635" s="334"/>
      <c r="G1635" s="334"/>
      <c r="H1635" s="334"/>
      <c r="I1635" s="334"/>
      <c r="J1635" s="335"/>
      <c r="K1635" s="339"/>
      <c r="L1635" s="340"/>
      <c r="M1635" s="340"/>
      <c r="N1635" s="340"/>
      <c r="O1635" s="340"/>
      <c r="P1635" s="340"/>
      <c r="Q1635" s="340"/>
      <c r="R1635" s="340"/>
      <c r="S1635" s="340"/>
      <c r="T1635" s="340"/>
      <c r="U1635" s="340"/>
      <c r="V1635" s="340"/>
      <c r="W1635" s="340"/>
      <c r="X1635" s="340"/>
      <c r="Y1635" s="340"/>
      <c r="Z1635" s="340"/>
      <c r="AA1635" s="340"/>
      <c r="AB1635" s="340"/>
      <c r="AC1635" s="340"/>
      <c r="AD1635" s="340"/>
      <c r="AE1635" s="340"/>
      <c r="AF1635" s="340"/>
      <c r="AG1635" s="340"/>
      <c r="AH1635" s="341"/>
      <c r="AI1635" s="6"/>
    </row>
    <row r="1636" spans="1:35" x14ac:dyDescent="0.25">
      <c r="A1636" s="3"/>
      <c r="B1636" s="5" t="s">
        <v>11</v>
      </c>
      <c r="C1636" s="56">
        <v>0</v>
      </c>
      <c r="D1636" s="57">
        <v>0</v>
      </c>
      <c r="E1636" s="57">
        <v>0</v>
      </c>
      <c r="F1636" s="57">
        <v>0</v>
      </c>
      <c r="G1636" s="57">
        <v>0</v>
      </c>
      <c r="H1636" s="57">
        <v>0</v>
      </c>
      <c r="I1636" s="57">
        <v>0</v>
      </c>
      <c r="J1636" s="57">
        <v>0</v>
      </c>
      <c r="K1636" s="57">
        <v>0</v>
      </c>
      <c r="L1636" s="57">
        <v>0</v>
      </c>
      <c r="M1636" s="57">
        <v>0</v>
      </c>
      <c r="N1636" s="57">
        <v>0</v>
      </c>
      <c r="O1636" s="57">
        <v>0</v>
      </c>
      <c r="P1636" s="57">
        <v>0</v>
      </c>
      <c r="Q1636" s="57">
        <v>0</v>
      </c>
      <c r="R1636" s="57">
        <v>0</v>
      </c>
      <c r="S1636" s="57">
        <v>0</v>
      </c>
      <c r="T1636" s="57">
        <v>0</v>
      </c>
      <c r="U1636" s="57">
        <v>0</v>
      </c>
      <c r="V1636" s="57">
        <v>0</v>
      </c>
      <c r="W1636" s="57">
        <v>0</v>
      </c>
      <c r="X1636" s="57">
        <v>0</v>
      </c>
      <c r="Y1636" s="57">
        <v>0</v>
      </c>
      <c r="Z1636" s="57">
        <v>0</v>
      </c>
      <c r="AA1636" s="57">
        <v>0</v>
      </c>
      <c r="AB1636" s="57">
        <v>0</v>
      </c>
      <c r="AC1636" s="57">
        <v>0</v>
      </c>
      <c r="AD1636" s="57">
        <v>0</v>
      </c>
      <c r="AE1636" s="57">
        <v>0</v>
      </c>
      <c r="AF1636" s="57">
        <v>0</v>
      </c>
      <c r="AG1636" s="57">
        <v>0</v>
      </c>
      <c r="AH1636" s="58">
        <v>0</v>
      </c>
      <c r="AI1636" s="6"/>
    </row>
    <row r="1637" spans="1:35" ht="15.75" thickBot="1" x14ac:dyDescent="0.3">
      <c r="A1637" s="3"/>
      <c r="B1637" s="5" t="s">
        <v>12</v>
      </c>
      <c r="C1637" s="145">
        <v>0</v>
      </c>
      <c r="D1637" s="88">
        <v>0</v>
      </c>
      <c r="E1637" s="88">
        <v>0</v>
      </c>
      <c r="F1637" s="88">
        <v>0</v>
      </c>
      <c r="G1637" s="88">
        <v>0</v>
      </c>
      <c r="H1637" s="88">
        <v>0</v>
      </c>
      <c r="I1637" s="88">
        <v>0</v>
      </c>
      <c r="J1637" s="88">
        <v>0</v>
      </c>
      <c r="K1637" s="62">
        <v>0</v>
      </c>
      <c r="L1637" s="62">
        <v>0</v>
      </c>
      <c r="M1637" s="62">
        <v>0</v>
      </c>
      <c r="N1637" s="62">
        <v>0</v>
      </c>
      <c r="O1637" s="62">
        <v>0</v>
      </c>
      <c r="P1637" s="62">
        <v>0</v>
      </c>
      <c r="Q1637" s="62">
        <v>0</v>
      </c>
      <c r="R1637" s="62">
        <v>0</v>
      </c>
      <c r="S1637" s="62">
        <v>0</v>
      </c>
      <c r="T1637" s="62">
        <v>0</v>
      </c>
      <c r="U1637" s="62">
        <v>0</v>
      </c>
      <c r="V1637" s="62">
        <v>0</v>
      </c>
      <c r="W1637" s="62">
        <v>0</v>
      </c>
      <c r="X1637" s="62">
        <v>0</v>
      </c>
      <c r="Y1637" s="62">
        <v>0</v>
      </c>
      <c r="Z1637" s="62">
        <v>0</v>
      </c>
      <c r="AA1637" s="62">
        <v>0</v>
      </c>
      <c r="AB1637" s="62">
        <v>0</v>
      </c>
      <c r="AC1637" s="62">
        <v>0</v>
      </c>
      <c r="AD1637" s="62">
        <v>0</v>
      </c>
      <c r="AE1637" s="62">
        <v>0</v>
      </c>
      <c r="AF1637" s="62">
        <v>0</v>
      </c>
      <c r="AG1637" s="62">
        <v>0</v>
      </c>
      <c r="AH1637" s="146">
        <v>0</v>
      </c>
      <c r="AI1637" s="6"/>
    </row>
    <row r="1638" spans="1:35" x14ac:dyDescent="0.25">
      <c r="A1638" s="3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5"/>
      <c r="AH1638" s="5"/>
      <c r="AI1638" s="6"/>
    </row>
    <row r="1639" spans="1:35" ht="15.75" thickBot="1" x14ac:dyDescent="0.3">
      <c r="A1639" s="3"/>
      <c r="B1639" s="5"/>
      <c r="C1639" s="7">
        <v>32</v>
      </c>
      <c r="D1639" s="7">
        <v>33</v>
      </c>
      <c r="E1639" s="7">
        <v>34</v>
      </c>
      <c r="F1639" s="7">
        <v>35</v>
      </c>
      <c r="G1639" s="7">
        <v>36</v>
      </c>
      <c r="H1639" s="7">
        <v>37</v>
      </c>
      <c r="I1639" s="7">
        <v>38</v>
      </c>
      <c r="J1639" s="7">
        <v>39</v>
      </c>
      <c r="K1639" s="7">
        <v>40</v>
      </c>
      <c r="L1639" s="7">
        <v>41</v>
      </c>
      <c r="M1639" s="7">
        <v>42</v>
      </c>
      <c r="N1639" s="7">
        <v>43</v>
      </c>
      <c r="O1639" s="7">
        <v>44</v>
      </c>
      <c r="P1639" s="7">
        <v>45</v>
      </c>
      <c r="Q1639" s="7">
        <v>46</v>
      </c>
      <c r="R1639" s="7">
        <v>47</v>
      </c>
      <c r="S1639" s="7">
        <v>48</v>
      </c>
      <c r="T1639" s="7">
        <v>49</v>
      </c>
      <c r="U1639" s="7">
        <v>50</v>
      </c>
      <c r="V1639" s="7">
        <v>51</v>
      </c>
      <c r="W1639" s="7">
        <v>52</v>
      </c>
      <c r="X1639" s="7">
        <v>53</v>
      </c>
      <c r="Y1639" s="7">
        <v>54</v>
      </c>
      <c r="Z1639" s="7">
        <v>55</v>
      </c>
      <c r="AA1639" s="7">
        <v>56</v>
      </c>
      <c r="AB1639" s="7">
        <v>57</v>
      </c>
      <c r="AC1639" s="7">
        <v>58</v>
      </c>
      <c r="AD1639" s="7">
        <v>59</v>
      </c>
      <c r="AE1639" s="7">
        <v>60</v>
      </c>
      <c r="AF1639" s="7">
        <v>61</v>
      </c>
      <c r="AG1639" s="7">
        <v>62</v>
      </c>
      <c r="AH1639" s="7">
        <v>63</v>
      </c>
      <c r="AI1639" s="6"/>
    </row>
    <row r="1640" spans="1:35" ht="15.75" thickBot="1" x14ac:dyDescent="0.3">
      <c r="A1640" s="3"/>
      <c r="B1640" s="5"/>
      <c r="C1640" s="147" t="s">
        <v>13</v>
      </c>
      <c r="D1640" s="148" t="s">
        <v>14</v>
      </c>
      <c r="E1640" s="148" t="s">
        <v>15</v>
      </c>
      <c r="F1640" s="148" t="s">
        <v>16</v>
      </c>
      <c r="G1640" s="148" t="s">
        <v>17</v>
      </c>
      <c r="H1640" s="148" t="s">
        <v>18</v>
      </c>
      <c r="I1640" s="148" t="s">
        <v>19</v>
      </c>
      <c r="J1640" s="148" t="s">
        <v>20</v>
      </c>
      <c r="K1640" s="148" t="s">
        <v>21</v>
      </c>
      <c r="L1640" s="148" t="s">
        <v>22</v>
      </c>
      <c r="M1640" s="148" t="s">
        <v>23</v>
      </c>
      <c r="N1640" s="148" t="s">
        <v>24</v>
      </c>
      <c r="O1640" s="148" t="s">
        <v>25</v>
      </c>
      <c r="P1640" s="148" t="s">
        <v>26</v>
      </c>
      <c r="Q1640" s="148" t="s">
        <v>27</v>
      </c>
      <c r="R1640" s="342" t="s">
        <v>30</v>
      </c>
      <c r="S1640" s="343"/>
      <c r="T1640" s="343"/>
      <c r="U1640" s="343"/>
      <c r="V1640" s="343"/>
      <c r="W1640" s="343"/>
      <c r="X1640" s="343"/>
      <c r="Y1640" s="343"/>
      <c r="Z1640" s="343"/>
      <c r="AA1640" s="343"/>
      <c r="AB1640" s="343"/>
      <c r="AC1640" s="343"/>
      <c r="AD1640" s="343"/>
      <c r="AE1640" s="343"/>
      <c r="AF1640" s="344"/>
      <c r="AG1640" s="67" t="s">
        <v>28</v>
      </c>
      <c r="AH1640" s="149" t="s">
        <v>29</v>
      </c>
      <c r="AI1640" s="6"/>
    </row>
    <row r="1641" spans="1:35" ht="15.75" thickBot="1" x14ac:dyDescent="0.3">
      <c r="A1641" s="3"/>
      <c r="B1641" s="5"/>
      <c r="C1641" s="150">
        <v>0</v>
      </c>
      <c r="D1641" s="151">
        <v>0</v>
      </c>
      <c r="E1641" s="151">
        <v>0</v>
      </c>
      <c r="F1641" s="151">
        <v>0</v>
      </c>
      <c r="G1641" s="151">
        <v>0</v>
      </c>
      <c r="H1641" s="151">
        <v>0</v>
      </c>
      <c r="I1641" s="151">
        <v>0</v>
      </c>
      <c r="J1641" s="151">
        <v>0</v>
      </c>
      <c r="K1641" s="151">
        <v>0</v>
      </c>
      <c r="L1641" s="151">
        <v>0</v>
      </c>
      <c r="M1641" s="151">
        <v>0</v>
      </c>
      <c r="N1641" s="151">
        <v>0</v>
      </c>
      <c r="O1641" s="151">
        <v>1</v>
      </c>
      <c r="P1641" s="151">
        <v>0</v>
      </c>
      <c r="Q1641" s="151">
        <v>0</v>
      </c>
      <c r="R1641" s="151">
        <v>0</v>
      </c>
      <c r="S1641" s="151">
        <v>0</v>
      </c>
      <c r="T1641" s="151">
        <v>0</v>
      </c>
      <c r="U1641" s="151">
        <v>0</v>
      </c>
      <c r="V1641" s="151">
        <v>0</v>
      </c>
      <c r="W1641" s="151">
        <v>0</v>
      </c>
      <c r="X1641" s="151">
        <v>1</v>
      </c>
      <c r="Y1641" s="151">
        <v>1</v>
      </c>
      <c r="Z1641" s="151">
        <v>0</v>
      </c>
      <c r="AA1641" s="151">
        <v>1</v>
      </c>
      <c r="AB1641" s="151">
        <v>0</v>
      </c>
      <c r="AC1641" s="151">
        <v>1</v>
      </c>
      <c r="AD1641" s="151">
        <v>1</v>
      </c>
      <c r="AE1641" s="151">
        <v>0</v>
      </c>
      <c r="AF1641" s="151">
        <v>1</v>
      </c>
      <c r="AG1641" s="151">
        <v>0</v>
      </c>
      <c r="AH1641" s="152">
        <v>0</v>
      </c>
      <c r="AI1641" s="6"/>
    </row>
    <row r="1642" spans="1:35" x14ac:dyDescent="0.25">
      <c r="A1642" s="3"/>
      <c r="B1642" s="4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5"/>
      <c r="AI1642" s="6"/>
    </row>
    <row r="1643" spans="1:35" x14ac:dyDescent="0.25">
      <c r="A1643" s="3"/>
      <c r="B1643" s="8" t="s">
        <v>43</v>
      </c>
      <c r="C1643" s="9"/>
      <c r="D1643" s="9"/>
      <c r="E1643" s="9"/>
      <c r="F1643" s="44" t="s">
        <v>44</v>
      </c>
      <c r="G1643" s="44"/>
      <c r="H1643" s="44"/>
      <c r="I1643" s="9"/>
      <c r="J1643" s="45" t="s">
        <v>45</v>
      </c>
      <c r="K1643" s="45"/>
      <c r="L1643" s="45"/>
      <c r="M1643" s="45"/>
      <c r="N1643" s="9"/>
      <c r="O1643" s="46" t="s">
        <v>46</v>
      </c>
      <c r="P1643" s="46"/>
      <c r="Q1643" s="46"/>
      <c r="R1643" s="46"/>
      <c r="S1643" s="9"/>
      <c r="T1643" s="1" t="s">
        <v>49</v>
      </c>
      <c r="U1643" s="10" t="s">
        <v>48</v>
      </c>
      <c r="V1643" s="5"/>
      <c r="W1643" s="9"/>
      <c r="X1643" s="9"/>
      <c r="Y1643" s="9"/>
      <c r="Z1643" s="9"/>
      <c r="AA1643" s="9"/>
      <c r="AB1643" s="9"/>
      <c r="AC1643" s="9"/>
      <c r="AD1643" s="9"/>
      <c r="AE1643" s="9"/>
      <c r="AF1643" s="9"/>
      <c r="AG1643" s="9"/>
      <c r="AH1643" s="9"/>
      <c r="AI1643" s="6"/>
    </row>
    <row r="1644" spans="1:35" ht="15" customHeight="1" x14ac:dyDescent="0.25">
      <c r="A1644" s="3"/>
      <c r="B1644" s="42" t="str">
        <f>"0x"&amp;DEC2HEX(Sheet3!$I$4,8)</f>
        <v>0x00400320</v>
      </c>
      <c r="C1644" s="42"/>
      <c r="D1644" s="42"/>
      <c r="E1644" s="12"/>
      <c r="F1644" s="319" t="str">
        <f>"0x"&amp;BIN2HEX(CONCATENATE(C1637,D1637,E1637,F1637,G1637,H1637,I1637,J1637),2)&amp;BIN2HEX(CONCATENATE(K1637,L1637,M1637,N1637,O1637,P1637,Q1637,R1637),2)&amp;BIN2HEX(CONCATENATE(S1637,T1637,U1637,V1637,W1637,X1637,Y1637,Z1637),2)&amp;BIN2HEX(CONCATENATE(AA1637,AB1637,AC1637,AD1637,AE1637,AF1637,AG1637,AH1637),2)</f>
        <v>0x00000000</v>
      </c>
      <c r="G1644" s="319"/>
      <c r="H1644" s="319"/>
      <c r="I1644" s="12"/>
      <c r="J1644" s="319" t="str">
        <f>"0b"&amp;C1641&amp;D1641&amp;E1641&amp;F1641&amp;G1641&amp;H1641&amp;I1641&amp;J1641&amp;K1641&amp;L1641&amp;M1641&amp;N1641&amp;O1641&amp;P1641&amp;Q1641</f>
        <v>0b000000000000100</v>
      </c>
      <c r="K1644" s="319"/>
      <c r="L1644" s="319"/>
      <c r="M1644" s="319"/>
      <c r="N1644" s="12"/>
      <c r="O1644" s="319" t="str">
        <f>"0b"&amp;DEC2BIN(((AF1641+AE1641*2+AD1641*4+AC1641*8+AB1641*16+AA1641*32+Z1641*64+Y1641*128+X1641*256+W1641*512+V1641*1024+U1641*2048+T1641*4096+S1641*2^13+R1641*2^14)/512),6)&amp;DEC2BIN(MOD((AF1641+AE1641*2+AD1641*4+AC1641*8+AB1641*16+AA1641*32+Z1641*64+Y1641*128+X1641*256+W1641*512+V1641*1024+U1641*2048+T1641*4096+S1641*2^13+R1641*2^14),512),9)</f>
        <v>0b000000110101101</v>
      </c>
      <c r="P1644" s="319"/>
      <c r="Q1644" s="319"/>
      <c r="R1644" s="319"/>
      <c r="S1644" s="12"/>
      <c r="T1644" s="13">
        <v>0</v>
      </c>
      <c r="U1644" s="13">
        <f>AH1641</f>
        <v>0</v>
      </c>
      <c r="V1644" s="5"/>
      <c r="W1644" s="14"/>
      <c r="X1644" s="14"/>
      <c r="Y1644" s="14"/>
      <c r="Z1644" s="14"/>
      <c r="AA1644" s="14"/>
      <c r="AB1644" s="14"/>
      <c r="AC1644" s="14"/>
      <c r="AD1644" s="14"/>
      <c r="AE1644" s="14"/>
      <c r="AF1644" s="14"/>
      <c r="AG1644" s="14"/>
      <c r="AH1644" s="14"/>
      <c r="AI1644" s="6"/>
    </row>
    <row r="1645" spans="1:35" x14ac:dyDescent="0.25">
      <c r="A1645" s="3"/>
      <c r="B1645" s="42"/>
      <c r="C1645" s="42"/>
      <c r="D1645" s="42"/>
      <c r="E1645" s="15"/>
      <c r="F1645" s="43"/>
      <c r="G1645" s="43"/>
      <c r="H1645" s="43"/>
      <c r="I1645" s="15"/>
      <c r="J1645" s="42"/>
      <c r="K1645" s="42"/>
      <c r="L1645" s="42"/>
      <c r="M1645" s="42"/>
      <c r="N1645" s="15"/>
      <c r="O1645" s="42"/>
      <c r="P1645" s="42"/>
      <c r="Q1645" s="42"/>
      <c r="R1645" s="42"/>
      <c r="S1645" s="15"/>
      <c r="T1645" s="13"/>
      <c r="U1645" s="15"/>
      <c r="V1645" s="5"/>
      <c r="W1645" s="16"/>
      <c r="X1645" s="16"/>
      <c r="Y1645" s="16"/>
      <c r="Z1645" s="16"/>
      <c r="AA1645" s="16"/>
      <c r="AB1645" s="16"/>
      <c r="AC1645" s="16"/>
      <c r="AD1645" s="16"/>
      <c r="AE1645" s="16"/>
      <c r="AF1645" s="16"/>
      <c r="AG1645" s="16"/>
      <c r="AH1645" s="16"/>
      <c r="AI1645" s="6"/>
    </row>
    <row r="1646" spans="1:35" x14ac:dyDescent="0.25">
      <c r="A1646" s="3"/>
      <c r="B1646" s="42"/>
      <c r="C1646" s="42"/>
      <c r="D1646" s="42"/>
      <c r="E1646" s="15"/>
      <c r="F1646" s="43"/>
      <c r="G1646" s="43"/>
      <c r="H1646" s="43"/>
      <c r="I1646" s="15"/>
      <c r="J1646" s="42"/>
      <c r="K1646" s="42"/>
      <c r="L1646" s="42"/>
      <c r="M1646" s="42"/>
      <c r="N1646" s="15"/>
      <c r="O1646" s="42"/>
      <c r="P1646" s="42"/>
      <c r="Q1646" s="42"/>
      <c r="R1646" s="42"/>
      <c r="S1646" s="15"/>
      <c r="T1646" s="13"/>
      <c r="U1646" s="15"/>
      <c r="V1646" s="5"/>
      <c r="W1646" s="16"/>
      <c r="X1646" s="16"/>
      <c r="Y1646" s="16"/>
      <c r="Z1646" s="16"/>
      <c r="AA1646" s="16"/>
      <c r="AB1646" s="16"/>
      <c r="AC1646" s="16"/>
      <c r="AD1646" s="16"/>
      <c r="AE1646" s="16"/>
      <c r="AF1646" s="16"/>
      <c r="AG1646" s="16"/>
      <c r="AH1646" s="16"/>
      <c r="AI1646" s="6"/>
    </row>
    <row r="1647" spans="1:35" x14ac:dyDescent="0.25">
      <c r="A1647" s="3"/>
      <c r="B1647" s="5"/>
      <c r="C1647" s="5"/>
      <c r="D1647" s="5"/>
      <c r="E1647" s="5"/>
      <c r="F1647" s="17"/>
      <c r="G1647" s="17"/>
      <c r="H1647" s="17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5"/>
      <c r="AH1647" s="5"/>
      <c r="AI1647" s="6"/>
    </row>
    <row r="1648" spans="1:35" x14ac:dyDescent="0.25">
      <c r="A1648" s="3"/>
      <c r="B1648" s="5" t="s">
        <v>47</v>
      </c>
      <c r="C1648" s="18"/>
      <c r="D1648" s="18"/>
      <c r="E1648" s="18"/>
      <c r="F1648" s="5"/>
      <c r="G1648" s="5"/>
      <c r="H1648" s="5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  <c r="AB1648" s="18"/>
      <c r="AC1648" s="18"/>
      <c r="AD1648" s="18"/>
      <c r="AE1648" s="18"/>
      <c r="AF1648" s="18"/>
      <c r="AG1648" s="18"/>
      <c r="AH1648" s="18"/>
      <c r="AI1648" s="6"/>
    </row>
    <row r="1649" spans="1:35" ht="15" customHeight="1" x14ac:dyDescent="0.25">
      <c r="A1649" s="3"/>
      <c r="B1649" s="42" t="str">
        <f>"0x"&amp;DEC2HEX(Sheet3!$I$4,8)</f>
        <v>0x00400320</v>
      </c>
      <c r="C1649" s="42"/>
      <c r="D1649" s="42"/>
      <c r="E1649" s="16"/>
      <c r="F1649" s="322" t="str">
        <f>F1644&amp;BIN2HEX(MID(J1644,3,8),2)&amp;BIN2HEX(RIGHT(J1644,7)&amp;MID(O1644,3,1),2)&amp;BIN2HEX(MID(O1644,4,8),2)&amp;BIN2HEX(RIGHT(O1644,6)&amp;T1644&amp;U1644,2)</f>
        <v>0x00000000000806B4</v>
      </c>
      <c r="G1649" s="322"/>
      <c r="H1649" s="322"/>
      <c r="I1649" s="322"/>
      <c r="J1649" s="5"/>
      <c r="K1649" s="5"/>
      <c r="L1649" s="5"/>
      <c r="M1649" s="5"/>
      <c r="N1649" s="5"/>
      <c r="O1649" s="5"/>
      <c r="P1649" s="16"/>
      <c r="Q1649" s="16"/>
      <c r="R1649" s="19"/>
      <c r="S1649" s="19"/>
      <c r="T1649" s="19"/>
      <c r="U1649" s="19"/>
      <c r="V1649" s="19"/>
      <c r="W1649" s="19"/>
      <c r="X1649" s="19"/>
      <c r="Y1649" s="19"/>
      <c r="Z1649" s="19"/>
      <c r="AA1649" s="19"/>
      <c r="AB1649" s="19"/>
      <c r="AC1649" s="19"/>
      <c r="AD1649" s="19"/>
      <c r="AE1649" s="19"/>
      <c r="AF1649" s="19"/>
      <c r="AG1649" s="5"/>
      <c r="AH1649" s="5"/>
      <c r="AI1649" s="6"/>
    </row>
    <row r="1650" spans="1:35" x14ac:dyDescent="0.25">
      <c r="A1650" s="3"/>
      <c r="B1650" s="37"/>
      <c r="C1650" s="37"/>
      <c r="D1650" s="37"/>
      <c r="E1650" s="5"/>
      <c r="F1650" s="38"/>
      <c r="G1650" s="38"/>
      <c r="H1650" s="38"/>
      <c r="I1650" s="38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5"/>
      <c r="AH1650" s="5"/>
      <c r="AI1650" s="6"/>
    </row>
    <row r="1651" spans="1:35" x14ac:dyDescent="0.25">
      <c r="A1651" s="3"/>
      <c r="B1651" s="37"/>
      <c r="C1651" s="37"/>
      <c r="D1651" s="37"/>
      <c r="E1651" s="5"/>
      <c r="F1651" s="38"/>
      <c r="G1651" s="38"/>
      <c r="H1651" s="38"/>
      <c r="I1651" s="38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5"/>
      <c r="AH1651" s="5"/>
      <c r="AI1651" s="6"/>
    </row>
    <row r="1652" spans="1:35" x14ac:dyDescent="0.25">
      <c r="A1652" s="20"/>
      <c r="B1652" s="21"/>
      <c r="C1652" s="21"/>
      <c r="D1652" s="21"/>
      <c r="E1652" s="21"/>
      <c r="F1652" s="21"/>
      <c r="G1652" s="21"/>
      <c r="H1652" s="21"/>
      <c r="I1652" s="21"/>
      <c r="J1652" s="21"/>
      <c r="K1652" s="21"/>
      <c r="L1652" s="21"/>
      <c r="M1652" s="21"/>
      <c r="N1652" s="21"/>
      <c r="O1652" s="22"/>
      <c r="P1652" s="21"/>
      <c r="Q1652" s="21"/>
      <c r="R1652" s="21"/>
      <c r="S1652" s="21"/>
      <c r="T1652" s="21"/>
      <c r="U1652" s="21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  <c r="AF1652" s="21"/>
      <c r="AG1652" s="21"/>
      <c r="AH1652" s="21"/>
      <c r="AI1652" s="23"/>
    </row>
    <row r="1653" spans="1:35" x14ac:dyDescent="0.25">
      <c r="A1653" s="24"/>
      <c r="B1653" s="28"/>
      <c r="C1653" s="25"/>
      <c r="D1653" s="25"/>
      <c r="E1653" s="25"/>
      <c r="F1653" s="25"/>
      <c r="G1653" s="25"/>
      <c r="H1653" s="25"/>
      <c r="I1653" s="25"/>
      <c r="J1653" s="25"/>
      <c r="K1653" s="25"/>
      <c r="L1653" s="25"/>
      <c r="M1653" s="25"/>
      <c r="N1653" s="25"/>
      <c r="O1653" s="25"/>
      <c r="P1653" s="25"/>
      <c r="Q1653" s="25"/>
      <c r="R1653" s="25"/>
      <c r="S1653" s="25"/>
      <c r="T1653" s="25"/>
      <c r="U1653" s="25"/>
      <c r="V1653" s="25"/>
      <c r="W1653" s="25"/>
      <c r="X1653" s="25"/>
      <c r="Y1653" s="25"/>
      <c r="Z1653" s="25"/>
      <c r="AA1653" s="25"/>
      <c r="AB1653" s="25"/>
      <c r="AC1653" s="25"/>
      <c r="AD1653" s="25"/>
      <c r="AE1653" s="25"/>
      <c r="AF1653" s="25"/>
      <c r="AG1653" s="25"/>
      <c r="AH1653" s="25"/>
      <c r="AI1653" s="26"/>
    </row>
    <row r="1654" spans="1:35" x14ac:dyDescent="0.25">
      <c r="A1654" s="3"/>
      <c r="B1654" s="4" t="s">
        <v>207</v>
      </c>
      <c r="C1654" s="5"/>
      <c r="D1654" s="5"/>
      <c r="E1654" s="5"/>
      <c r="F1654" s="5"/>
      <c r="G1654" s="5"/>
      <c r="H1654" s="5"/>
      <c r="I1654" s="5" t="str">
        <f>"0x"&amp;BIN2HEX(CONCATENATE(C1659,D1659,E1659,F1659,G1659,H1659,I1659,J1659),2)&amp;BIN2HEX(CONCATENATE(K1659,L1659,M1659,N1659,O1659,P1659,Q1659,R1659),2)&amp;BIN2HEX(CONCATENATE(S1659,T1659,U1659,V1659,W1659,X1659,Y1659,Z1659),2)&amp;BIN2HEX(CONCATENATE(AA1659,AB1659,AC1659,AD1659,AE1659,AF1659,AG1659,AH1659),2)&amp;"_"&amp;BIN2HEX(CONCATENATE(C1663,D1663,E1663,F1663,G1663,H1663,I1663,J1663),2)&amp;BIN2HEX(CONCATENATE(K1663,L1663,M1663,N1663,O1663,P1663,Q1663,R1663),2)&amp;BIN2HEX(CONCATENATE(S1663,T1663,U1663,V1663,W1663,X1663,Y1663,Z1663),2)&amp;BIN2HEX(CONCATENATE(AA1663,AB1663,AC1663,AD1663,AE1663,AF1663,AG1663,AH1663),2)</f>
        <v>0x00000000_000806B8</v>
      </c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5"/>
      <c r="AH1654" s="5"/>
      <c r="AI1654" s="6"/>
    </row>
    <row r="1655" spans="1:35" ht="15.75" thickBot="1" x14ac:dyDescent="0.3">
      <c r="A1655" s="3"/>
      <c r="B1655" s="5"/>
      <c r="C1655" s="7">
        <v>0</v>
      </c>
      <c r="D1655" s="7">
        <v>1</v>
      </c>
      <c r="E1655" s="7">
        <v>2</v>
      </c>
      <c r="F1655" s="7">
        <v>3</v>
      </c>
      <c r="G1655" s="7">
        <v>4</v>
      </c>
      <c r="H1655" s="7">
        <v>5</v>
      </c>
      <c r="I1655" s="7">
        <v>6</v>
      </c>
      <c r="J1655" s="7">
        <v>7</v>
      </c>
      <c r="K1655" s="7">
        <v>8</v>
      </c>
      <c r="L1655" s="7">
        <v>9</v>
      </c>
      <c r="M1655" s="7">
        <v>10</v>
      </c>
      <c r="N1655" s="7">
        <v>11</v>
      </c>
      <c r="O1655" s="7">
        <v>12</v>
      </c>
      <c r="P1655" s="7">
        <v>13</v>
      </c>
      <c r="Q1655" s="7">
        <v>14</v>
      </c>
      <c r="R1655" s="7">
        <v>15</v>
      </c>
      <c r="S1655" s="7">
        <v>16</v>
      </c>
      <c r="T1655" s="7">
        <v>17</v>
      </c>
      <c r="U1655" s="7">
        <v>18</v>
      </c>
      <c r="V1655" s="7">
        <v>19</v>
      </c>
      <c r="W1655" s="7">
        <v>20</v>
      </c>
      <c r="X1655" s="7">
        <v>21</v>
      </c>
      <c r="Y1655" s="7">
        <v>22</v>
      </c>
      <c r="Z1655" s="7">
        <v>23</v>
      </c>
      <c r="AA1655" s="7">
        <v>24</v>
      </c>
      <c r="AB1655" s="7">
        <v>25</v>
      </c>
      <c r="AC1655" s="7">
        <v>26</v>
      </c>
      <c r="AD1655" s="7">
        <v>27</v>
      </c>
      <c r="AE1655" s="7">
        <v>28</v>
      </c>
      <c r="AF1655" s="7">
        <v>29</v>
      </c>
      <c r="AG1655" s="7">
        <v>30</v>
      </c>
      <c r="AH1655" s="7">
        <v>31</v>
      </c>
      <c r="AI1655" s="6"/>
    </row>
    <row r="1656" spans="1:35" x14ac:dyDescent="0.25">
      <c r="A1656" s="3"/>
      <c r="B1656" s="5" t="s">
        <v>31</v>
      </c>
      <c r="C1656" s="328" t="s">
        <v>161</v>
      </c>
      <c r="D1656" s="330" t="s">
        <v>63</v>
      </c>
      <c r="E1656" s="331"/>
      <c r="F1656" s="331"/>
      <c r="G1656" s="331"/>
      <c r="H1656" s="331"/>
      <c r="I1656" s="331"/>
      <c r="J1656" s="332"/>
      <c r="K1656" s="336">
        <v>0</v>
      </c>
      <c r="L1656" s="337"/>
      <c r="M1656" s="337"/>
      <c r="N1656" s="337"/>
      <c r="O1656" s="337"/>
      <c r="P1656" s="337"/>
      <c r="Q1656" s="337"/>
      <c r="R1656" s="337"/>
      <c r="S1656" s="337"/>
      <c r="T1656" s="337"/>
      <c r="U1656" s="337"/>
      <c r="V1656" s="337"/>
      <c r="W1656" s="337"/>
      <c r="X1656" s="337"/>
      <c r="Y1656" s="337"/>
      <c r="Z1656" s="337"/>
      <c r="AA1656" s="337"/>
      <c r="AB1656" s="337"/>
      <c r="AC1656" s="337"/>
      <c r="AD1656" s="337"/>
      <c r="AE1656" s="337"/>
      <c r="AF1656" s="337"/>
      <c r="AG1656" s="337"/>
      <c r="AH1656" s="338"/>
      <c r="AI1656" s="6"/>
    </row>
    <row r="1657" spans="1:35" x14ac:dyDescent="0.25">
      <c r="A1657" s="3"/>
      <c r="B1657" s="5" t="s">
        <v>32</v>
      </c>
      <c r="C1657" s="329"/>
      <c r="D1657" s="333"/>
      <c r="E1657" s="334"/>
      <c r="F1657" s="334"/>
      <c r="G1657" s="334"/>
      <c r="H1657" s="334"/>
      <c r="I1657" s="334"/>
      <c r="J1657" s="335"/>
      <c r="K1657" s="339"/>
      <c r="L1657" s="340"/>
      <c r="M1657" s="340"/>
      <c r="N1657" s="340"/>
      <c r="O1657" s="340"/>
      <c r="P1657" s="340"/>
      <c r="Q1657" s="340"/>
      <c r="R1657" s="340"/>
      <c r="S1657" s="340"/>
      <c r="T1657" s="340"/>
      <c r="U1657" s="340"/>
      <c r="V1657" s="340"/>
      <c r="W1657" s="340"/>
      <c r="X1657" s="340"/>
      <c r="Y1657" s="340"/>
      <c r="Z1657" s="340"/>
      <c r="AA1657" s="340"/>
      <c r="AB1657" s="340"/>
      <c r="AC1657" s="340"/>
      <c r="AD1657" s="340"/>
      <c r="AE1657" s="340"/>
      <c r="AF1657" s="340"/>
      <c r="AG1657" s="340"/>
      <c r="AH1657" s="341"/>
      <c r="AI1657" s="6"/>
    </row>
    <row r="1658" spans="1:35" x14ac:dyDescent="0.25">
      <c r="A1658" s="3"/>
      <c r="B1658" s="5" t="s">
        <v>11</v>
      </c>
      <c r="C1658" s="56">
        <v>0</v>
      </c>
      <c r="D1658" s="57">
        <v>0</v>
      </c>
      <c r="E1658" s="57">
        <v>0</v>
      </c>
      <c r="F1658" s="57">
        <v>0</v>
      </c>
      <c r="G1658" s="57">
        <v>0</v>
      </c>
      <c r="H1658" s="57">
        <v>0</v>
      </c>
      <c r="I1658" s="57">
        <v>0</v>
      </c>
      <c r="J1658" s="57">
        <v>0</v>
      </c>
      <c r="K1658" s="57">
        <v>0</v>
      </c>
      <c r="L1658" s="57">
        <v>0</v>
      </c>
      <c r="M1658" s="57">
        <v>0</v>
      </c>
      <c r="N1658" s="57">
        <v>0</v>
      </c>
      <c r="O1658" s="57">
        <v>0</v>
      </c>
      <c r="P1658" s="57">
        <v>0</v>
      </c>
      <c r="Q1658" s="57">
        <v>0</v>
      </c>
      <c r="R1658" s="57">
        <v>0</v>
      </c>
      <c r="S1658" s="57">
        <v>0</v>
      </c>
      <c r="T1658" s="57">
        <v>0</v>
      </c>
      <c r="U1658" s="57">
        <v>0</v>
      </c>
      <c r="V1658" s="57">
        <v>0</v>
      </c>
      <c r="W1658" s="57">
        <v>0</v>
      </c>
      <c r="X1658" s="57">
        <v>0</v>
      </c>
      <c r="Y1658" s="57">
        <v>0</v>
      </c>
      <c r="Z1658" s="57">
        <v>0</v>
      </c>
      <c r="AA1658" s="57">
        <v>0</v>
      </c>
      <c r="AB1658" s="57">
        <v>0</v>
      </c>
      <c r="AC1658" s="57">
        <v>0</v>
      </c>
      <c r="AD1658" s="57">
        <v>0</v>
      </c>
      <c r="AE1658" s="57">
        <v>0</v>
      </c>
      <c r="AF1658" s="57">
        <v>0</v>
      </c>
      <c r="AG1658" s="57">
        <v>0</v>
      </c>
      <c r="AH1658" s="58">
        <v>0</v>
      </c>
      <c r="AI1658" s="6"/>
    </row>
    <row r="1659" spans="1:35" ht="15.75" thickBot="1" x14ac:dyDescent="0.3">
      <c r="A1659" s="3"/>
      <c r="B1659" s="5" t="s">
        <v>12</v>
      </c>
      <c r="C1659" s="145">
        <v>0</v>
      </c>
      <c r="D1659" s="88">
        <v>0</v>
      </c>
      <c r="E1659" s="88">
        <v>0</v>
      </c>
      <c r="F1659" s="88">
        <v>0</v>
      </c>
      <c r="G1659" s="88">
        <v>0</v>
      </c>
      <c r="H1659" s="88">
        <v>0</v>
      </c>
      <c r="I1659" s="88">
        <v>0</v>
      </c>
      <c r="J1659" s="88">
        <v>0</v>
      </c>
      <c r="K1659" s="62">
        <v>0</v>
      </c>
      <c r="L1659" s="62">
        <v>0</v>
      </c>
      <c r="M1659" s="62">
        <v>0</v>
      </c>
      <c r="N1659" s="62">
        <v>0</v>
      </c>
      <c r="O1659" s="62">
        <v>0</v>
      </c>
      <c r="P1659" s="62">
        <v>0</v>
      </c>
      <c r="Q1659" s="62">
        <v>0</v>
      </c>
      <c r="R1659" s="62">
        <v>0</v>
      </c>
      <c r="S1659" s="62">
        <v>0</v>
      </c>
      <c r="T1659" s="62">
        <v>0</v>
      </c>
      <c r="U1659" s="62">
        <v>0</v>
      </c>
      <c r="V1659" s="62">
        <v>0</v>
      </c>
      <c r="W1659" s="62">
        <v>0</v>
      </c>
      <c r="X1659" s="62">
        <v>0</v>
      </c>
      <c r="Y1659" s="62">
        <v>0</v>
      </c>
      <c r="Z1659" s="62">
        <v>0</v>
      </c>
      <c r="AA1659" s="62">
        <v>0</v>
      </c>
      <c r="AB1659" s="62">
        <v>0</v>
      </c>
      <c r="AC1659" s="62">
        <v>0</v>
      </c>
      <c r="AD1659" s="62">
        <v>0</v>
      </c>
      <c r="AE1659" s="62">
        <v>0</v>
      </c>
      <c r="AF1659" s="62">
        <v>0</v>
      </c>
      <c r="AG1659" s="62">
        <v>0</v>
      </c>
      <c r="AH1659" s="146">
        <v>0</v>
      </c>
      <c r="AI1659" s="6"/>
    </row>
    <row r="1660" spans="1:35" x14ac:dyDescent="0.25">
      <c r="A1660" s="3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5"/>
      <c r="AH1660" s="5"/>
      <c r="AI1660" s="6"/>
    </row>
    <row r="1661" spans="1:35" ht="15.75" thickBot="1" x14ac:dyDescent="0.3">
      <c r="A1661" s="3"/>
      <c r="B1661" s="5"/>
      <c r="C1661" s="7">
        <v>32</v>
      </c>
      <c r="D1661" s="7">
        <v>33</v>
      </c>
      <c r="E1661" s="7">
        <v>34</v>
      </c>
      <c r="F1661" s="7">
        <v>35</v>
      </c>
      <c r="G1661" s="7">
        <v>36</v>
      </c>
      <c r="H1661" s="7">
        <v>37</v>
      </c>
      <c r="I1661" s="7">
        <v>38</v>
      </c>
      <c r="J1661" s="7">
        <v>39</v>
      </c>
      <c r="K1661" s="7">
        <v>40</v>
      </c>
      <c r="L1661" s="7">
        <v>41</v>
      </c>
      <c r="M1661" s="7">
        <v>42</v>
      </c>
      <c r="N1661" s="7">
        <v>43</v>
      </c>
      <c r="O1661" s="7">
        <v>44</v>
      </c>
      <c r="P1661" s="7">
        <v>45</v>
      </c>
      <c r="Q1661" s="7">
        <v>46</v>
      </c>
      <c r="R1661" s="7">
        <v>47</v>
      </c>
      <c r="S1661" s="7">
        <v>48</v>
      </c>
      <c r="T1661" s="7">
        <v>49</v>
      </c>
      <c r="U1661" s="7">
        <v>50</v>
      </c>
      <c r="V1661" s="7">
        <v>51</v>
      </c>
      <c r="W1661" s="7">
        <v>52</v>
      </c>
      <c r="X1661" s="7">
        <v>53</v>
      </c>
      <c r="Y1661" s="7">
        <v>54</v>
      </c>
      <c r="Z1661" s="7">
        <v>55</v>
      </c>
      <c r="AA1661" s="7">
        <v>56</v>
      </c>
      <c r="AB1661" s="7">
        <v>57</v>
      </c>
      <c r="AC1661" s="7">
        <v>58</v>
      </c>
      <c r="AD1661" s="7">
        <v>59</v>
      </c>
      <c r="AE1661" s="7">
        <v>60</v>
      </c>
      <c r="AF1661" s="7">
        <v>61</v>
      </c>
      <c r="AG1661" s="7">
        <v>62</v>
      </c>
      <c r="AH1661" s="7">
        <v>63</v>
      </c>
      <c r="AI1661" s="6"/>
    </row>
    <row r="1662" spans="1:35" ht="15.75" thickBot="1" x14ac:dyDescent="0.3">
      <c r="A1662" s="3"/>
      <c r="B1662" s="5"/>
      <c r="C1662" s="147" t="s">
        <v>13</v>
      </c>
      <c r="D1662" s="148" t="s">
        <v>14</v>
      </c>
      <c r="E1662" s="148" t="s">
        <v>15</v>
      </c>
      <c r="F1662" s="148" t="s">
        <v>16</v>
      </c>
      <c r="G1662" s="148" t="s">
        <v>17</v>
      </c>
      <c r="H1662" s="148" t="s">
        <v>18</v>
      </c>
      <c r="I1662" s="148" t="s">
        <v>19</v>
      </c>
      <c r="J1662" s="148" t="s">
        <v>20</v>
      </c>
      <c r="K1662" s="148" t="s">
        <v>21</v>
      </c>
      <c r="L1662" s="148" t="s">
        <v>22</v>
      </c>
      <c r="M1662" s="148" t="s">
        <v>23</v>
      </c>
      <c r="N1662" s="148" t="s">
        <v>24</v>
      </c>
      <c r="O1662" s="148" t="s">
        <v>25</v>
      </c>
      <c r="P1662" s="148" t="s">
        <v>26</v>
      </c>
      <c r="Q1662" s="148" t="s">
        <v>27</v>
      </c>
      <c r="R1662" s="342" t="s">
        <v>30</v>
      </c>
      <c r="S1662" s="343"/>
      <c r="T1662" s="343"/>
      <c r="U1662" s="343"/>
      <c r="V1662" s="343"/>
      <c r="W1662" s="343"/>
      <c r="X1662" s="343"/>
      <c r="Y1662" s="343"/>
      <c r="Z1662" s="343"/>
      <c r="AA1662" s="343"/>
      <c r="AB1662" s="343"/>
      <c r="AC1662" s="343"/>
      <c r="AD1662" s="343"/>
      <c r="AE1662" s="343"/>
      <c r="AF1662" s="344"/>
      <c r="AG1662" s="67" t="s">
        <v>28</v>
      </c>
      <c r="AH1662" s="149" t="s">
        <v>29</v>
      </c>
      <c r="AI1662" s="6"/>
    </row>
    <row r="1663" spans="1:35" ht="15.75" thickBot="1" x14ac:dyDescent="0.3">
      <c r="A1663" s="3"/>
      <c r="B1663" s="5"/>
      <c r="C1663" s="150">
        <v>0</v>
      </c>
      <c r="D1663" s="151">
        <v>0</v>
      </c>
      <c r="E1663" s="151">
        <v>0</v>
      </c>
      <c r="F1663" s="151">
        <v>0</v>
      </c>
      <c r="G1663" s="151">
        <v>0</v>
      </c>
      <c r="H1663" s="151">
        <v>0</v>
      </c>
      <c r="I1663" s="151">
        <v>0</v>
      </c>
      <c r="J1663" s="151">
        <v>0</v>
      </c>
      <c r="K1663" s="151">
        <v>0</v>
      </c>
      <c r="L1663" s="151">
        <v>0</v>
      </c>
      <c r="M1663" s="151">
        <v>0</v>
      </c>
      <c r="N1663" s="151">
        <v>0</v>
      </c>
      <c r="O1663" s="151">
        <v>1</v>
      </c>
      <c r="P1663" s="151">
        <v>0</v>
      </c>
      <c r="Q1663" s="151">
        <v>0</v>
      </c>
      <c r="R1663" s="151">
        <v>0</v>
      </c>
      <c r="S1663" s="151">
        <v>0</v>
      </c>
      <c r="T1663" s="151">
        <v>0</v>
      </c>
      <c r="U1663" s="151">
        <v>0</v>
      </c>
      <c r="V1663" s="151">
        <v>0</v>
      </c>
      <c r="W1663" s="151">
        <v>0</v>
      </c>
      <c r="X1663" s="151">
        <v>1</v>
      </c>
      <c r="Y1663" s="151">
        <v>1</v>
      </c>
      <c r="Z1663" s="151">
        <v>0</v>
      </c>
      <c r="AA1663" s="151">
        <v>1</v>
      </c>
      <c r="AB1663" s="151">
        <v>0</v>
      </c>
      <c r="AC1663" s="151">
        <v>1</v>
      </c>
      <c r="AD1663" s="151">
        <v>1</v>
      </c>
      <c r="AE1663" s="151">
        <v>1</v>
      </c>
      <c r="AF1663" s="151">
        <v>0</v>
      </c>
      <c r="AG1663" s="151">
        <v>0</v>
      </c>
      <c r="AH1663" s="152">
        <v>0</v>
      </c>
      <c r="AI1663" s="6"/>
    </row>
    <row r="1664" spans="1:35" x14ac:dyDescent="0.25">
      <c r="A1664" s="3"/>
      <c r="B1664" s="4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5"/>
      <c r="AH1664" s="5"/>
      <c r="AI1664" s="6"/>
    </row>
    <row r="1665" spans="1:35" x14ac:dyDescent="0.25">
      <c r="A1665" s="3"/>
      <c r="B1665" s="8" t="s">
        <v>43</v>
      </c>
      <c r="C1665" s="9"/>
      <c r="D1665" s="9"/>
      <c r="E1665" s="9"/>
      <c r="F1665" s="44" t="s">
        <v>44</v>
      </c>
      <c r="G1665" s="44"/>
      <c r="H1665" s="44"/>
      <c r="I1665" s="9"/>
      <c r="J1665" s="45" t="s">
        <v>45</v>
      </c>
      <c r="K1665" s="45"/>
      <c r="L1665" s="45"/>
      <c r="M1665" s="45"/>
      <c r="N1665" s="9"/>
      <c r="O1665" s="46" t="s">
        <v>46</v>
      </c>
      <c r="P1665" s="46"/>
      <c r="Q1665" s="46"/>
      <c r="R1665" s="46"/>
      <c r="S1665" s="9"/>
      <c r="T1665" s="1" t="s">
        <v>49</v>
      </c>
      <c r="U1665" s="10" t="s">
        <v>48</v>
      </c>
      <c r="V1665" s="5"/>
      <c r="W1665" s="9"/>
      <c r="X1665" s="9"/>
      <c r="Y1665" s="9"/>
      <c r="Z1665" s="9"/>
      <c r="AA1665" s="9"/>
      <c r="AB1665" s="9"/>
      <c r="AC1665" s="9"/>
      <c r="AD1665" s="9"/>
      <c r="AE1665" s="9"/>
      <c r="AF1665" s="9"/>
      <c r="AG1665" s="9"/>
      <c r="AH1665" s="9"/>
      <c r="AI1665" s="6"/>
    </row>
    <row r="1666" spans="1:35" ht="15" customHeight="1" x14ac:dyDescent="0.25">
      <c r="A1666" s="3"/>
      <c r="B1666" s="42" t="str">
        <f>"0x"&amp;DEC2HEX(Sheet3!$I$4,8)</f>
        <v>0x00400320</v>
      </c>
      <c r="C1666" s="42"/>
      <c r="D1666" s="42"/>
      <c r="E1666" s="12"/>
      <c r="F1666" s="319" t="str">
        <f>"0x"&amp;BIN2HEX(CONCATENATE(C1659,D1659,E1659,F1659,G1659,H1659,I1659,J1659),2)&amp;BIN2HEX(CONCATENATE(K1659,L1659,M1659,N1659,O1659,P1659,Q1659,R1659),2)&amp;BIN2HEX(CONCATENATE(S1659,T1659,U1659,V1659,W1659,X1659,Y1659,Z1659),2)&amp;BIN2HEX(CONCATENATE(AA1659,AB1659,AC1659,AD1659,AE1659,AF1659,AG1659,AH1659),2)</f>
        <v>0x00000000</v>
      </c>
      <c r="G1666" s="319"/>
      <c r="H1666" s="319"/>
      <c r="I1666" s="12"/>
      <c r="J1666" s="319" t="str">
        <f>"0b"&amp;C1663&amp;D1663&amp;E1663&amp;F1663&amp;G1663&amp;H1663&amp;I1663&amp;J1663&amp;K1663&amp;L1663&amp;M1663&amp;N1663&amp;O1663&amp;P1663&amp;Q1663</f>
        <v>0b000000000000100</v>
      </c>
      <c r="K1666" s="319"/>
      <c r="L1666" s="319"/>
      <c r="M1666" s="319"/>
      <c r="N1666" s="12"/>
      <c r="O1666" s="319" t="str">
        <f>"0b"&amp;DEC2BIN(((AF1663+AE1663*2+AD1663*4+AC1663*8+AB1663*16+AA1663*32+Z1663*64+Y1663*128+X1663*256+W1663*512+V1663*1024+U1663*2048+T1663*4096+S1663*2^13+R1663*2^14)/512),6)&amp;DEC2BIN(MOD((AF1663+AE1663*2+AD1663*4+AC1663*8+AB1663*16+AA1663*32+Z1663*64+Y1663*128+X1663*256+W1663*512+V1663*1024+U1663*2048+T1663*4096+S1663*2^13+R1663*2^14),512),9)</f>
        <v>0b000000110101110</v>
      </c>
      <c r="P1666" s="319"/>
      <c r="Q1666" s="319"/>
      <c r="R1666" s="319"/>
      <c r="S1666" s="12"/>
      <c r="T1666" s="13">
        <v>0</v>
      </c>
      <c r="U1666" s="13">
        <f>AH1663</f>
        <v>0</v>
      </c>
      <c r="V1666" s="5"/>
      <c r="W1666" s="14"/>
      <c r="X1666" s="14"/>
      <c r="Y1666" s="14"/>
      <c r="Z1666" s="14"/>
      <c r="AA1666" s="14"/>
      <c r="AB1666" s="14"/>
      <c r="AC1666" s="14"/>
      <c r="AD1666" s="14"/>
      <c r="AE1666" s="14"/>
      <c r="AF1666" s="14"/>
      <c r="AG1666" s="14"/>
      <c r="AH1666" s="14"/>
      <c r="AI1666" s="6"/>
    </row>
    <row r="1667" spans="1:35" x14ac:dyDescent="0.25">
      <c r="A1667" s="3"/>
      <c r="B1667" s="42"/>
      <c r="C1667" s="42"/>
      <c r="D1667" s="42"/>
      <c r="E1667" s="15"/>
      <c r="F1667" s="43"/>
      <c r="G1667" s="43"/>
      <c r="H1667" s="43"/>
      <c r="I1667" s="15"/>
      <c r="J1667" s="42"/>
      <c r="K1667" s="42"/>
      <c r="L1667" s="42"/>
      <c r="M1667" s="42"/>
      <c r="N1667" s="15"/>
      <c r="O1667" s="42"/>
      <c r="P1667" s="42"/>
      <c r="Q1667" s="42"/>
      <c r="R1667" s="42"/>
      <c r="S1667" s="15"/>
      <c r="T1667" s="13"/>
      <c r="U1667" s="15"/>
      <c r="V1667" s="5"/>
      <c r="W1667" s="16"/>
      <c r="X1667" s="16"/>
      <c r="Y1667" s="16"/>
      <c r="Z1667" s="16"/>
      <c r="AA1667" s="16"/>
      <c r="AB1667" s="16"/>
      <c r="AC1667" s="16"/>
      <c r="AD1667" s="16"/>
      <c r="AE1667" s="16"/>
      <c r="AF1667" s="16"/>
      <c r="AG1667" s="16"/>
      <c r="AH1667" s="16"/>
      <c r="AI1667" s="6"/>
    </row>
    <row r="1668" spans="1:35" x14ac:dyDescent="0.25">
      <c r="A1668" s="3"/>
      <c r="B1668" s="42"/>
      <c r="C1668" s="42"/>
      <c r="D1668" s="42"/>
      <c r="E1668" s="15"/>
      <c r="F1668" s="43"/>
      <c r="G1668" s="43"/>
      <c r="H1668" s="43"/>
      <c r="I1668" s="15"/>
      <c r="J1668" s="42"/>
      <c r="K1668" s="42"/>
      <c r="L1668" s="42"/>
      <c r="M1668" s="42"/>
      <c r="N1668" s="15"/>
      <c r="O1668" s="42"/>
      <c r="P1668" s="42"/>
      <c r="Q1668" s="42"/>
      <c r="R1668" s="42"/>
      <c r="S1668" s="15"/>
      <c r="T1668" s="13"/>
      <c r="U1668" s="15"/>
      <c r="V1668" s="5"/>
      <c r="W1668" s="16"/>
      <c r="X1668" s="16"/>
      <c r="Y1668" s="16"/>
      <c r="Z1668" s="16"/>
      <c r="AA1668" s="16"/>
      <c r="AB1668" s="16"/>
      <c r="AC1668" s="16"/>
      <c r="AD1668" s="16"/>
      <c r="AE1668" s="16"/>
      <c r="AF1668" s="16"/>
      <c r="AG1668" s="16"/>
      <c r="AH1668" s="16"/>
      <c r="AI1668" s="6"/>
    </row>
    <row r="1669" spans="1:35" x14ac:dyDescent="0.25">
      <c r="A1669" s="3"/>
      <c r="B1669" s="5"/>
      <c r="C1669" s="5"/>
      <c r="D1669" s="5"/>
      <c r="E1669" s="5"/>
      <c r="F1669" s="17"/>
      <c r="G1669" s="17"/>
      <c r="H1669" s="17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5"/>
      <c r="AH1669" s="5"/>
      <c r="AI1669" s="6"/>
    </row>
    <row r="1670" spans="1:35" x14ac:dyDescent="0.25">
      <c r="A1670" s="3"/>
      <c r="B1670" s="5" t="s">
        <v>47</v>
      </c>
      <c r="C1670" s="18"/>
      <c r="D1670" s="18"/>
      <c r="E1670" s="18"/>
      <c r="F1670" s="5"/>
      <c r="G1670" s="5"/>
      <c r="H1670" s="5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  <c r="AB1670" s="18"/>
      <c r="AC1670" s="18"/>
      <c r="AD1670" s="18"/>
      <c r="AE1670" s="18"/>
      <c r="AF1670" s="18"/>
      <c r="AG1670" s="18"/>
      <c r="AH1670" s="18"/>
      <c r="AI1670" s="6"/>
    </row>
    <row r="1671" spans="1:35" ht="15" customHeight="1" x14ac:dyDescent="0.25">
      <c r="A1671" s="3"/>
      <c r="B1671" s="42" t="str">
        <f>"0x"&amp;DEC2HEX(Sheet3!$I$4,8)</f>
        <v>0x00400320</v>
      </c>
      <c r="C1671" s="42"/>
      <c r="D1671" s="42"/>
      <c r="E1671" s="16"/>
      <c r="F1671" s="322" t="str">
        <f>F1666&amp;BIN2HEX(MID(J1666,3,8),2)&amp;BIN2HEX(RIGHT(J1666,7)&amp;MID(O1666,3,1),2)&amp;BIN2HEX(MID(O1666,4,8),2)&amp;BIN2HEX(RIGHT(O1666,6)&amp;T1666&amp;U1666,2)</f>
        <v>0x00000000000806B8</v>
      </c>
      <c r="G1671" s="322"/>
      <c r="H1671" s="322"/>
      <c r="I1671" s="322"/>
      <c r="J1671" s="5"/>
      <c r="K1671" s="5"/>
      <c r="L1671" s="5"/>
      <c r="M1671" s="5"/>
      <c r="N1671" s="5"/>
      <c r="O1671" s="5"/>
      <c r="P1671" s="16"/>
      <c r="Q1671" s="16"/>
      <c r="R1671" s="19"/>
      <c r="S1671" s="19"/>
      <c r="T1671" s="19"/>
      <c r="U1671" s="19"/>
      <c r="V1671" s="19"/>
      <c r="W1671" s="19"/>
      <c r="X1671" s="19"/>
      <c r="Y1671" s="19"/>
      <c r="Z1671" s="19"/>
      <c r="AA1671" s="19"/>
      <c r="AB1671" s="19"/>
      <c r="AC1671" s="19"/>
      <c r="AD1671" s="19"/>
      <c r="AE1671" s="19"/>
      <c r="AF1671" s="19"/>
      <c r="AG1671" s="5"/>
      <c r="AH1671" s="5"/>
      <c r="AI1671" s="6"/>
    </row>
    <row r="1672" spans="1:35" x14ac:dyDescent="0.25">
      <c r="A1672" s="3"/>
      <c r="B1672" s="37"/>
      <c r="C1672" s="37"/>
      <c r="D1672" s="37"/>
      <c r="E1672" s="5"/>
      <c r="F1672" s="38"/>
      <c r="G1672" s="38"/>
      <c r="H1672" s="38"/>
      <c r="I1672" s="38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5"/>
      <c r="AH1672" s="5"/>
      <c r="AI1672" s="6"/>
    </row>
    <row r="1673" spans="1:35" x14ac:dyDescent="0.25">
      <c r="A1673" s="3"/>
      <c r="B1673" s="37"/>
      <c r="C1673" s="37"/>
      <c r="D1673" s="37"/>
      <c r="E1673" s="5"/>
      <c r="F1673" s="38"/>
      <c r="G1673" s="38"/>
      <c r="H1673" s="38"/>
      <c r="I1673" s="38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5"/>
      <c r="AH1673" s="5"/>
      <c r="AI1673" s="6"/>
    </row>
    <row r="1674" spans="1:35" x14ac:dyDescent="0.25">
      <c r="A1674" s="20"/>
      <c r="B1674" s="21"/>
      <c r="C1674" s="21"/>
      <c r="D1674" s="21"/>
      <c r="E1674" s="21"/>
      <c r="F1674" s="21"/>
      <c r="G1674" s="21"/>
      <c r="H1674" s="21"/>
      <c r="I1674" s="21"/>
      <c r="J1674" s="21"/>
      <c r="K1674" s="21"/>
      <c r="L1674" s="21"/>
      <c r="M1674" s="21"/>
      <c r="N1674" s="21"/>
      <c r="O1674" s="22"/>
      <c r="P1674" s="21"/>
      <c r="Q1674" s="21"/>
      <c r="R1674" s="21"/>
      <c r="S1674" s="21"/>
      <c r="T1674" s="21"/>
      <c r="U1674" s="21"/>
      <c r="V1674" s="21"/>
      <c r="W1674" s="21"/>
      <c r="X1674" s="21"/>
      <c r="Y1674" s="21"/>
      <c r="Z1674" s="21"/>
      <c r="AA1674" s="21"/>
      <c r="AB1674" s="21"/>
      <c r="AC1674" s="21"/>
      <c r="AD1674" s="21"/>
      <c r="AE1674" s="21"/>
      <c r="AF1674" s="21"/>
      <c r="AG1674" s="21"/>
      <c r="AH1674" s="21"/>
      <c r="AI1674" s="23"/>
    </row>
    <row r="1675" spans="1:35" x14ac:dyDescent="0.25">
      <c r="A1675" s="24"/>
      <c r="B1675" s="28"/>
      <c r="C1675" s="25"/>
      <c r="D1675" s="25"/>
      <c r="E1675" s="25"/>
      <c r="F1675" s="25"/>
      <c r="G1675" s="25"/>
      <c r="H1675" s="25"/>
      <c r="I1675" s="25"/>
      <c r="J1675" s="25"/>
      <c r="K1675" s="25"/>
      <c r="L1675" s="25"/>
      <c r="M1675" s="25"/>
      <c r="N1675" s="25"/>
      <c r="O1675" s="25"/>
      <c r="P1675" s="25"/>
      <c r="Q1675" s="25"/>
      <c r="R1675" s="25"/>
      <c r="S1675" s="25"/>
      <c r="T1675" s="25"/>
      <c r="U1675" s="25"/>
      <c r="V1675" s="25"/>
      <c r="W1675" s="25"/>
      <c r="X1675" s="25"/>
      <c r="Y1675" s="25"/>
      <c r="Z1675" s="25"/>
      <c r="AA1675" s="25"/>
      <c r="AB1675" s="25"/>
      <c r="AC1675" s="25"/>
      <c r="AD1675" s="25"/>
      <c r="AE1675" s="25"/>
      <c r="AF1675" s="25"/>
      <c r="AG1675" s="25"/>
      <c r="AH1675" s="25"/>
      <c r="AI1675" s="26"/>
    </row>
    <row r="1676" spans="1:35" x14ac:dyDescent="0.25">
      <c r="A1676" s="3"/>
      <c r="B1676" s="4" t="s">
        <v>342</v>
      </c>
      <c r="C1676" s="5"/>
      <c r="D1676" s="5"/>
      <c r="E1676" s="5"/>
      <c r="F1676" s="5"/>
      <c r="G1676" s="5"/>
      <c r="H1676" s="5"/>
      <c r="I1676" s="5" t="str">
        <f>"0x"&amp;BIN2HEX(CONCATENATE(C1681,D1681,E1681,F1681,G1681,H1681,I1681,J1681),2)&amp;BIN2HEX(CONCATENATE(K1681,L1681,M1681,N1681,O1681,P1681,Q1681,R1681),2)&amp;BIN2HEX(CONCATENATE(S1681,T1681,U1681,V1681,W1681,X1681,Y1681,Z1681),2)&amp;BIN2HEX(CONCATENATE(AA1681,AB1681,AC1681,AD1681,AE1681,AF1681,AG1681,AH1681),2)&amp;"_"&amp;BIN2HEX(CONCATENATE(C1685,D1685,E1685,F1685,G1685,H1685,I1685,J1685),2)&amp;BIN2HEX(CONCATENATE(K1685,L1685,M1685,N1685,O1685,P1685,Q1685,R1685),2)&amp;BIN2HEX(CONCATENATE(S1685,T1685,U1685,V1685,W1685,X1685,Y1685,Z1685),2)&amp;BIN2HEX(CONCATENATE(AA1685,AB1685,AC1685,AD1685,AE1685,AF1685,AG1685,AH1685),2)</f>
        <v>0x00000000_000806BC</v>
      </c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5"/>
      <c r="AH1676" s="5"/>
      <c r="AI1676" s="6"/>
    </row>
    <row r="1677" spans="1:35" ht="15.75" thickBot="1" x14ac:dyDescent="0.3">
      <c r="A1677" s="3"/>
      <c r="B1677" s="5"/>
      <c r="C1677" s="7">
        <v>0</v>
      </c>
      <c r="D1677" s="7">
        <v>1</v>
      </c>
      <c r="E1677" s="7">
        <v>2</v>
      </c>
      <c r="F1677" s="7">
        <v>3</v>
      </c>
      <c r="G1677" s="7">
        <v>4</v>
      </c>
      <c r="H1677" s="7">
        <v>5</v>
      </c>
      <c r="I1677" s="7">
        <v>6</v>
      </c>
      <c r="J1677" s="7">
        <v>7</v>
      </c>
      <c r="K1677" s="7">
        <v>8</v>
      </c>
      <c r="L1677" s="7">
        <v>9</v>
      </c>
      <c r="M1677" s="7">
        <v>10</v>
      </c>
      <c r="N1677" s="7">
        <v>11</v>
      </c>
      <c r="O1677" s="7">
        <v>12</v>
      </c>
      <c r="P1677" s="7">
        <v>13</v>
      </c>
      <c r="Q1677" s="7">
        <v>14</v>
      </c>
      <c r="R1677" s="7">
        <v>15</v>
      </c>
      <c r="S1677" s="7">
        <v>16</v>
      </c>
      <c r="T1677" s="7">
        <v>17</v>
      </c>
      <c r="U1677" s="7">
        <v>18</v>
      </c>
      <c r="V1677" s="7">
        <v>19</v>
      </c>
      <c r="W1677" s="7">
        <v>20</v>
      </c>
      <c r="X1677" s="7">
        <v>21</v>
      </c>
      <c r="Y1677" s="7">
        <v>22</v>
      </c>
      <c r="Z1677" s="7">
        <v>23</v>
      </c>
      <c r="AA1677" s="7">
        <v>24</v>
      </c>
      <c r="AB1677" s="7">
        <v>25</v>
      </c>
      <c r="AC1677" s="7">
        <v>26</v>
      </c>
      <c r="AD1677" s="7">
        <v>27</v>
      </c>
      <c r="AE1677" s="7">
        <v>28</v>
      </c>
      <c r="AF1677" s="7">
        <v>29</v>
      </c>
      <c r="AG1677" s="7">
        <v>30</v>
      </c>
      <c r="AH1677" s="7">
        <v>31</v>
      </c>
      <c r="AI1677" s="6"/>
    </row>
    <row r="1678" spans="1:35" x14ac:dyDescent="0.25">
      <c r="A1678" s="3"/>
      <c r="B1678" s="5" t="s">
        <v>31</v>
      </c>
      <c r="C1678" s="328" t="s">
        <v>161</v>
      </c>
      <c r="D1678" s="330" t="s">
        <v>63</v>
      </c>
      <c r="E1678" s="331"/>
      <c r="F1678" s="331"/>
      <c r="G1678" s="331"/>
      <c r="H1678" s="331"/>
      <c r="I1678" s="331"/>
      <c r="J1678" s="332"/>
      <c r="K1678" s="336">
        <v>0</v>
      </c>
      <c r="L1678" s="337"/>
      <c r="M1678" s="337"/>
      <c r="N1678" s="337"/>
      <c r="O1678" s="337"/>
      <c r="P1678" s="337"/>
      <c r="Q1678" s="337"/>
      <c r="R1678" s="337"/>
      <c r="S1678" s="337"/>
      <c r="T1678" s="337"/>
      <c r="U1678" s="337"/>
      <c r="V1678" s="337"/>
      <c r="W1678" s="337"/>
      <c r="X1678" s="337"/>
      <c r="Y1678" s="337"/>
      <c r="Z1678" s="337"/>
      <c r="AA1678" s="337"/>
      <c r="AB1678" s="337"/>
      <c r="AC1678" s="337"/>
      <c r="AD1678" s="337"/>
      <c r="AE1678" s="337"/>
      <c r="AF1678" s="337"/>
      <c r="AG1678" s="337"/>
      <c r="AH1678" s="338"/>
      <c r="AI1678" s="6"/>
    </row>
    <row r="1679" spans="1:35" x14ac:dyDescent="0.25">
      <c r="A1679" s="3"/>
      <c r="B1679" s="5" t="s">
        <v>32</v>
      </c>
      <c r="C1679" s="329"/>
      <c r="D1679" s="333"/>
      <c r="E1679" s="334"/>
      <c r="F1679" s="334"/>
      <c r="G1679" s="334"/>
      <c r="H1679" s="334"/>
      <c r="I1679" s="334"/>
      <c r="J1679" s="335"/>
      <c r="K1679" s="339"/>
      <c r="L1679" s="340"/>
      <c r="M1679" s="340"/>
      <c r="N1679" s="340"/>
      <c r="O1679" s="340"/>
      <c r="P1679" s="340"/>
      <c r="Q1679" s="340"/>
      <c r="R1679" s="340"/>
      <c r="S1679" s="340"/>
      <c r="T1679" s="340"/>
      <c r="U1679" s="340"/>
      <c r="V1679" s="340"/>
      <c r="W1679" s="340"/>
      <c r="X1679" s="340"/>
      <c r="Y1679" s="340"/>
      <c r="Z1679" s="340"/>
      <c r="AA1679" s="340"/>
      <c r="AB1679" s="340"/>
      <c r="AC1679" s="340"/>
      <c r="AD1679" s="340"/>
      <c r="AE1679" s="340"/>
      <c r="AF1679" s="340"/>
      <c r="AG1679" s="340"/>
      <c r="AH1679" s="341"/>
      <c r="AI1679" s="6"/>
    </row>
    <row r="1680" spans="1:35" x14ac:dyDescent="0.25">
      <c r="A1680" s="3"/>
      <c r="B1680" s="5" t="s">
        <v>11</v>
      </c>
      <c r="C1680" s="56">
        <v>0</v>
      </c>
      <c r="D1680" s="57">
        <v>0</v>
      </c>
      <c r="E1680" s="57">
        <v>0</v>
      </c>
      <c r="F1680" s="57">
        <v>0</v>
      </c>
      <c r="G1680" s="57">
        <v>0</v>
      </c>
      <c r="H1680" s="57">
        <v>0</v>
      </c>
      <c r="I1680" s="57">
        <v>0</v>
      </c>
      <c r="J1680" s="57">
        <v>0</v>
      </c>
      <c r="K1680" s="57">
        <v>0</v>
      </c>
      <c r="L1680" s="57">
        <v>0</v>
      </c>
      <c r="M1680" s="57">
        <v>0</v>
      </c>
      <c r="N1680" s="57">
        <v>0</v>
      </c>
      <c r="O1680" s="57">
        <v>0</v>
      </c>
      <c r="P1680" s="57">
        <v>0</v>
      </c>
      <c r="Q1680" s="57">
        <v>0</v>
      </c>
      <c r="R1680" s="57">
        <v>0</v>
      </c>
      <c r="S1680" s="57">
        <v>0</v>
      </c>
      <c r="T1680" s="57">
        <v>0</v>
      </c>
      <c r="U1680" s="57">
        <v>0</v>
      </c>
      <c r="V1680" s="57">
        <v>0</v>
      </c>
      <c r="W1680" s="57">
        <v>0</v>
      </c>
      <c r="X1680" s="57">
        <v>0</v>
      </c>
      <c r="Y1680" s="57">
        <v>0</v>
      </c>
      <c r="Z1680" s="57">
        <v>0</v>
      </c>
      <c r="AA1680" s="57">
        <v>0</v>
      </c>
      <c r="AB1680" s="57">
        <v>0</v>
      </c>
      <c r="AC1680" s="57">
        <v>0</v>
      </c>
      <c r="AD1680" s="57">
        <v>0</v>
      </c>
      <c r="AE1680" s="57">
        <v>0</v>
      </c>
      <c r="AF1680" s="57">
        <v>0</v>
      </c>
      <c r="AG1680" s="57">
        <v>0</v>
      </c>
      <c r="AH1680" s="58">
        <v>0</v>
      </c>
      <c r="AI1680" s="6"/>
    </row>
    <row r="1681" spans="1:35" ht="15.75" thickBot="1" x14ac:dyDescent="0.3">
      <c r="A1681" s="3"/>
      <c r="B1681" s="5" t="s">
        <v>12</v>
      </c>
      <c r="C1681" s="145">
        <v>0</v>
      </c>
      <c r="D1681" s="88">
        <v>0</v>
      </c>
      <c r="E1681" s="88">
        <v>0</v>
      </c>
      <c r="F1681" s="88">
        <v>0</v>
      </c>
      <c r="G1681" s="88">
        <v>0</v>
      </c>
      <c r="H1681" s="88">
        <v>0</v>
      </c>
      <c r="I1681" s="88">
        <v>0</v>
      </c>
      <c r="J1681" s="88">
        <v>0</v>
      </c>
      <c r="K1681" s="62">
        <v>0</v>
      </c>
      <c r="L1681" s="62">
        <v>0</v>
      </c>
      <c r="M1681" s="62">
        <v>0</v>
      </c>
      <c r="N1681" s="62">
        <v>0</v>
      </c>
      <c r="O1681" s="62">
        <v>0</v>
      </c>
      <c r="P1681" s="62">
        <v>0</v>
      </c>
      <c r="Q1681" s="62">
        <v>0</v>
      </c>
      <c r="R1681" s="62">
        <v>0</v>
      </c>
      <c r="S1681" s="62">
        <v>0</v>
      </c>
      <c r="T1681" s="62">
        <v>0</v>
      </c>
      <c r="U1681" s="62">
        <v>0</v>
      </c>
      <c r="V1681" s="62">
        <v>0</v>
      </c>
      <c r="W1681" s="62">
        <v>0</v>
      </c>
      <c r="X1681" s="62">
        <v>0</v>
      </c>
      <c r="Y1681" s="62">
        <v>0</v>
      </c>
      <c r="Z1681" s="62">
        <v>0</v>
      </c>
      <c r="AA1681" s="62">
        <v>0</v>
      </c>
      <c r="AB1681" s="62">
        <v>0</v>
      </c>
      <c r="AC1681" s="62">
        <v>0</v>
      </c>
      <c r="AD1681" s="62">
        <v>0</v>
      </c>
      <c r="AE1681" s="62">
        <v>0</v>
      </c>
      <c r="AF1681" s="62">
        <v>0</v>
      </c>
      <c r="AG1681" s="62">
        <v>0</v>
      </c>
      <c r="AH1681" s="146">
        <v>0</v>
      </c>
      <c r="AI1681" s="6"/>
    </row>
    <row r="1682" spans="1:35" x14ac:dyDescent="0.25">
      <c r="A1682" s="3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5"/>
      <c r="AH1682" s="5"/>
      <c r="AI1682" s="6"/>
    </row>
    <row r="1683" spans="1:35" ht="15.75" thickBot="1" x14ac:dyDescent="0.3">
      <c r="A1683" s="3"/>
      <c r="B1683" s="5"/>
      <c r="C1683" s="7">
        <v>32</v>
      </c>
      <c r="D1683" s="7">
        <v>33</v>
      </c>
      <c r="E1683" s="7">
        <v>34</v>
      </c>
      <c r="F1683" s="7">
        <v>35</v>
      </c>
      <c r="G1683" s="7">
        <v>36</v>
      </c>
      <c r="H1683" s="7">
        <v>37</v>
      </c>
      <c r="I1683" s="7">
        <v>38</v>
      </c>
      <c r="J1683" s="7">
        <v>39</v>
      </c>
      <c r="K1683" s="7">
        <v>40</v>
      </c>
      <c r="L1683" s="7">
        <v>41</v>
      </c>
      <c r="M1683" s="7">
        <v>42</v>
      </c>
      <c r="N1683" s="7">
        <v>43</v>
      </c>
      <c r="O1683" s="7">
        <v>44</v>
      </c>
      <c r="P1683" s="7">
        <v>45</v>
      </c>
      <c r="Q1683" s="7">
        <v>46</v>
      </c>
      <c r="R1683" s="7">
        <v>47</v>
      </c>
      <c r="S1683" s="7">
        <v>48</v>
      </c>
      <c r="T1683" s="7">
        <v>49</v>
      </c>
      <c r="U1683" s="7">
        <v>50</v>
      </c>
      <c r="V1683" s="7">
        <v>51</v>
      </c>
      <c r="W1683" s="7">
        <v>52</v>
      </c>
      <c r="X1683" s="7">
        <v>53</v>
      </c>
      <c r="Y1683" s="7">
        <v>54</v>
      </c>
      <c r="Z1683" s="7">
        <v>55</v>
      </c>
      <c r="AA1683" s="7">
        <v>56</v>
      </c>
      <c r="AB1683" s="7">
        <v>57</v>
      </c>
      <c r="AC1683" s="7">
        <v>58</v>
      </c>
      <c r="AD1683" s="7">
        <v>59</v>
      </c>
      <c r="AE1683" s="7">
        <v>60</v>
      </c>
      <c r="AF1683" s="7">
        <v>61</v>
      </c>
      <c r="AG1683" s="7">
        <v>62</v>
      </c>
      <c r="AH1683" s="7">
        <v>63</v>
      </c>
      <c r="AI1683" s="6"/>
    </row>
    <row r="1684" spans="1:35" ht="15.75" thickBot="1" x14ac:dyDescent="0.3">
      <c r="A1684" s="3"/>
      <c r="B1684" s="5"/>
      <c r="C1684" s="147" t="s">
        <v>13</v>
      </c>
      <c r="D1684" s="148" t="s">
        <v>14</v>
      </c>
      <c r="E1684" s="148" t="s">
        <v>15</v>
      </c>
      <c r="F1684" s="148" t="s">
        <v>16</v>
      </c>
      <c r="G1684" s="148" t="s">
        <v>17</v>
      </c>
      <c r="H1684" s="148" t="s">
        <v>18</v>
      </c>
      <c r="I1684" s="148" t="s">
        <v>19</v>
      </c>
      <c r="J1684" s="148" t="s">
        <v>20</v>
      </c>
      <c r="K1684" s="148" t="s">
        <v>21</v>
      </c>
      <c r="L1684" s="148" t="s">
        <v>22</v>
      </c>
      <c r="M1684" s="148" t="s">
        <v>23</v>
      </c>
      <c r="N1684" s="148" t="s">
        <v>24</v>
      </c>
      <c r="O1684" s="148" t="s">
        <v>25</v>
      </c>
      <c r="P1684" s="148" t="s">
        <v>26</v>
      </c>
      <c r="Q1684" s="148" t="s">
        <v>27</v>
      </c>
      <c r="R1684" s="342" t="s">
        <v>30</v>
      </c>
      <c r="S1684" s="343"/>
      <c r="T1684" s="343"/>
      <c r="U1684" s="343"/>
      <c r="V1684" s="343"/>
      <c r="W1684" s="343"/>
      <c r="X1684" s="343"/>
      <c r="Y1684" s="343"/>
      <c r="Z1684" s="343"/>
      <c r="AA1684" s="343"/>
      <c r="AB1684" s="343"/>
      <c r="AC1684" s="343"/>
      <c r="AD1684" s="343"/>
      <c r="AE1684" s="343"/>
      <c r="AF1684" s="344"/>
      <c r="AG1684" s="67" t="s">
        <v>28</v>
      </c>
      <c r="AH1684" s="149" t="s">
        <v>29</v>
      </c>
      <c r="AI1684" s="6"/>
    </row>
    <row r="1685" spans="1:35" ht="15.75" thickBot="1" x14ac:dyDescent="0.3">
      <c r="A1685" s="3"/>
      <c r="B1685" s="5"/>
      <c r="C1685" s="150">
        <v>0</v>
      </c>
      <c r="D1685" s="151">
        <v>0</v>
      </c>
      <c r="E1685" s="151">
        <v>0</v>
      </c>
      <c r="F1685" s="151">
        <v>0</v>
      </c>
      <c r="G1685" s="151">
        <v>0</v>
      </c>
      <c r="H1685" s="151">
        <v>0</v>
      </c>
      <c r="I1685" s="151">
        <v>0</v>
      </c>
      <c r="J1685" s="151">
        <v>0</v>
      </c>
      <c r="K1685" s="151">
        <v>0</v>
      </c>
      <c r="L1685" s="151">
        <v>0</v>
      </c>
      <c r="M1685" s="151">
        <v>0</v>
      </c>
      <c r="N1685" s="151">
        <v>0</v>
      </c>
      <c r="O1685" s="151">
        <v>1</v>
      </c>
      <c r="P1685" s="151">
        <v>0</v>
      </c>
      <c r="Q1685" s="151">
        <v>0</v>
      </c>
      <c r="R1685" s="151">
        <v>0</v>
      </c>
      <c r="S1685" s="151">
        <v>0</v>
      </c>
      <c r="T1685" s="151">
        <v>0</v>
      </c>
      <c r="U1685" s="151">
        <v>0</v>
      </c>
      <c r="V1685" s="151">
        <v>0</v>
      </c>
      <c r="W1685" s="151">
        <v>0</v>
      </c>
      <c r="X1685" s="151">
        <v>1</v>
      </c>
      <c r="Y1685" s="151">
        <v>1</v>
      </c>
      <c r="Z1685" s="151">
        <v>0</v>
      </c>
      <c r="AA1685" s="151">
        <v>1</v>
      </c>
      <c r="AB1685" s="151">
        <v>0</v>
      </c>
      <c r="AC1685" s="151">
        <v>1</v>
      </c>
      <c r="AD1685" s="151">
        <v>1</v>
      </c>
      <c r="AE1685" s="151">
        <v>1</v>
      </c>
      <c r="AF1685" s="151">
        <v>1</v>
      </c>
      <c r="AG1685" s="151">
        <v>0</v>
      </c>
      <c r="AH1685" s="152">
        <v>0</v>
      </c>
      <c r="AI1685" s="6"/>
    </row>
    <row r="1686" spans="1:35" x14ac:dyDescent="0.25">
      <c r="A1686" s="3"/>
      <c r="B1686" s="4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5"/>
      <c r="AH1686" s="5"/>
      <c r="AI1686" s="6"/>
    </row>
    <row r="1687" spans="1:35" x14ac:dyDescent="0.25">
      <c r="A1687" s="3"/>
      <c r="B1687" s="8" t="s">
        <v>43</v>
      </c>
      <c r="C1687" s="9"/>
      <c r="D1687" s="9"/>
      <c r="E1687" s="9"/>
      <c r="F1687" s="225" t="s">
        <v>44</v>
      </c>
      <c r="G1687" s="225"/>
      <c r="H1687" s="225"/>
      <c r="I1687" s="9"/>
      <c r="J1687" s="226" t="s">
        <v>45</v>
      </c>
      <c r="K1687" s="226"/>
      <c r="L1687" s="226"/>
      <c r="M1687" s="226"/>
      <c r="N1687" s="9"/>
      <c r="O1687" s="227" t="s">
        <v>46</v>
      </c>
      <c r="P1687" s="227"/>
      <c r="Q1687" s="227"/>
      <c r="R1687" s="227"/>
      <c r="S1687" s="9"/>
      <c r="T1687" s="1" t="s">
        <v>49</v>
      </c>
      <c r="U1687" s="10" t="s">
        <v>48</v>
      </c>
      <c r="V1687" s="5"/>
      <c r="W1687" s="9"/>
      <c r="X1687" s="9"/>
      <c r="Y1687" s="9"/>
      <c r="Z1687" s="9"/>
      <c r="AA1687" s="9"/>
      <c r="AB1687" s="9"/>
      <c r="AC1687" s="9"/>
      <c r="AD1687" s="9"/>
      <c r="AE1687" s="9"/>
      <c r="AF1687" s="9"/>
      <c r="AG1687" s="9"/>
      <c r="AH1687" s="9"/>
      <c r="AI1687" s="6"/>
    </row>
    <row r="1688" spans="1:35" ht="15" customHeight="1" x14ac:dyDescent="0.25">
      <c r="A1688" s="3"/>
      <c r="B1688" s="221" t="str">
        <f>"0x"&amp;DEC2HEX(Sheet3!$I$4,8)</f>
        <v>0x00400320</v>
      </c>
      <c r="C1688" s="221"/>
      <c r="D1688" s="221"/>
      <c r="E1688" s="12"/>
      <c r="F1688" s="319" t="str">
        <f>"0x"&amp;BIN2HEX(CONCATENATE(C1681,D1681,E1681,F1681,G1681,H1681,I1681,J1681),2)&amp;BIN2HEX(CONCATENATE(K1681,L1681,M1681,N1681,O1681,P1681,Q1681,R1681),2)&amp;BIN2HEX(CONCATENATE(S1681,T1681,U1681,V1681,W1681,X1681,Y1681,Z1681),2)&amp;BIN2HEX(CONCATENATE(AA1681,AB1681,AC1681,AD1681,AE1681,AF1681,AG1681,AH1681),2)</f>
        <v>0x00000000</v>
      </c>
      <c r="G1688" s="319"/>
      <c r="H1688" s="319"/>
      <c r="I1688" s="12"/>
      <c r="J1688" s="319" t="str">
        <f>"0b"&amp;C1685&amp;D1685&amp;E1685&amp;F1685&amp;G1685&amp;H1685&amp;I1685&amp;J1685&amp;K1685&amp;L1685&amp;M1685&amp;N1685&amp;O1685&amp;P1685&amp;Q1685</f>
        <v>0b000000000000100</v>
      </c>
      <c r="K1688" s="319"/>
      <c r="L1688" s="319"/>
      <c r="M1688" s="319"/>
      <c r="N1688" s="12"/>
      <c r="O1688" s="319" t="str">
        <f>"0b"&amp;DEC2BIN(((AF1685+AE1685*2+AD1685*4+AC1685*8+AB1685*16+AA1685*32+Z1685*64+Y1685*128+X1685*256+W1685*512+V1685*1024+U1685*2048+T1685*4096+S1685*2^13+R1685*2^14)/512),6)&amp;DEC2BIN(MOD((AF1685+AE1685*2+AD1685*4+AC1685*8+AB1685*16+AA1685*32+Z1685*64+Y1685*128+X1685*256+W1685*512+V1685*1024+U1685*2048+T1685*4096+S1685*2^13+R1685*2^14),512),9)</f>
        <v>0b000000110101111</v>
      </c>
      <c r="P1688" s="319"/>
      <c r="Q1688" s="319"/>
      <c r="R1688" s="319"/>
      <c r="S1688" s="12"/>
      <c r="T1688" s="224">
        <v>0</v>
      </c>
      <c r="U1688" s="224">
        <f>AH1685</f>
        <v>0</v>
      </c>
      <c r="V1688" s="5"/>
      <c r="W1688" s="14"/>
      <c r="X1688" s="14"/>
      <c r="Y1688" s="14"/>
      <c r="Z1688" s="14"/>
      <c r="AA1688" s="14"/>
      <c r="AB1688" s="14"/>
      <c r="AC1688" s="14"/>
      <c r="AD1688" s="14"/>
      <c r="AE1688" s="14"/>
      <c r="AF1688" s="14"/>
      <c r="AG1688" s="14"/>
      <c r="AH1688" s="14"/>
      <c r="AI1688" s="6"/>
    </row>
    <row r="1689" spans="1:35" x14ac:dyDescent="0.25">
      <c r="A1689" s="3"/>
      <c r="B1689" s="221"/>
      <c r="C1689" s="221"/>
      <c r="D1689" s="221"/>
      <c r="E1689" s="15"/>
      <c r="F1689" s="222"/>
      <c r="G1689" s="222"/>
      <c r="H1689" s="222"/>
      <c r="I1689" s="15"/>
      <c r="J1689" s="221"/>
      <c r="K1689" s="221"/>
      <c r="L1689" s="221"/>
      <c r="M1689" s="221"/>
      <c r="N1689" s="15"/>
      <c r="O1689" s="221"/>
      <c r="P1689" s="221"/>
      <c r="Q1689" s="221"/>
      <c r="R1689" s="221"/>
      <c r="S1689" s="15"/>
      <c r="T1689" s="224"/>
      <c r="U1689" s="15"/>
      <c r="V1689" s="5"/>
      <c r="W1689" s="16"/>
      <c r="X1689" s="16"/>
      <c r="Y1689" s="16"/>
      <c r="Z1689" s="16"/>
      <c r="AA1689" s="16"/>
      <c r="AB1689" s="16"/>
      <c r="AC1689" s="16"/>
      <c r="AD1689" s="16"/>
      <c r="AE1689" s="16"/>
      <c r="AF1689" s="16"/>
      <c r="AG1689" s="16"/>
      <c r="AH1689" s="16"/>
      <c r="AI1689" s="6"/>
    </row>
    <row r="1690" spans="1:35" x14ac:dyDescent="0.25">
      <c r="A1690" s="3"/>
      <c r="B1690" s="221"/>
      <c r="C1690" s="221"/>
      <c r="D1690" s="221"/>
      <c r="E1690" s="15"/>
      <c r="F1690" s="222"/>
      <c r="G1690" s="222"/>
      <c r="H1690" s="222"/>
      <c r="I1690" s="15"/>
      <c r="J1690" s="221"/>
      <c r="K1690" s="221"/>
      <c r="L1690" s="221"/>
      <c r="M1690" s="221"/>
      <c r="N1690" s="15"/>
      <c r="O1690" s="221"/>
      <c r="P1690" s="221"/>
      <c r="Q1690" s="221"/>
      <c r="R1690" s="221"/>
      <c r="S1690" s="15"/>
      <c r="T1690" s="224"/>
      <c r="U1690" s="15"/>
      <c r="V1690" s="5"/>
      <c r="W1690" s="16"/>
      <c r="X1690" s="16"/>
      <c r="Y1690" s="16"/>
      <c r="Z1690" s="16"/>
      <c r="AA1690" s="16"/>
      <c r="AB1690" s="16"/>
      <c r="AC1690" s="16"/>
      <c r="AD1690" s="16"/>
      <c r="AE1690" s="16"/>
      <c r="AF1690" s="16"/>
      <c r="AG1690" s="16"/>
      <c r="AH1690" s="16"/>
      <c r="AI1690" s="6"/>
    </row>
    <row r="1691" spans="1:35" x14ac:dyDescent="0.25">
      <c r="A1691" s="3"/>
      <c r="B1691" s="5"/>
      <c r="C1691" s="5"/>
      <c r="D1691" s="5"/>
      <c r="E1691" s="5"/>
      <c r="F1691" s="17"/>
      <c r="G1691" s="17"/>
      <c r="H1691" s="17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5"/>
      <c r="AH1691" s="5"/>
      <c r="AI1691" s="6"/>
    </row>
    <row r="1692" spans="1:35" x14ac:dyDescent="0.25">
      <c r="A1692" s="3"/>
      <c r="B1692" s="5" t="s">
        <v>47</v>
      </c>
      <c r="C1692" s="18"/>
      <c r="D1692" s="18"/>
      <c r="E1692" s="18"/>
      <c r="F1692" s="5"/>
      <c r="G1692" s="5"/>
      <c r="H1692" s="5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  <c r="AB1692" s="18"/>
      <c r="AC1692" s="18"/>
      <c r="AD1692" s="18"/>
      <c r="AE1692" s="18"/>
      <c r="AF1692" s="18"/>
      <c r="AG1692" s="18"/>
      <c r="AH1692" s="18"/>
      <c r="AI1692" s="6"/>
    </row>
    <row r="1693" spans="1:35" ht="15" customHeight="1" x14ac:dyDescent="0.25">
      <c r="A1693" s="3"/>
      <c r="B1693" s="221" t="str">
        <f>"0x"&amp;DEC2HEX(Sheet3!$I$4,8)</f>
        <v>0x00400320</v>
      </c>
      <c r="C1693" s="221"/>
      <c r="D1693" s="221"/>
      <c r="E1693" s="16"/>
      <c r="F1693" s="322" t="str">
        <f>F1688&amp;BIN2HEX(MID(J1688,3,8),2)&amp;BIN2HEX(RIGHT(J1688,7)&amp;MID(O1688,3,1),2)&amp;BIN2HEX(MID(O1688,4,8),2)&amp;BIN2HEX(RIGHT(O1688,6)&amp;T1688&amp;U1688,2)</f>
        <v>0x00000000000806BC</v>
      </c>
      <c r="G1693" s="322"/>
      <c r="H1693" s="322"/>
      <c r="I1693" s="322"/>
      <c r="J1693" s="5"/>
      <c r="K1693" s="5"/>
      <c r="L1693" s="5"/>
      <c r="M1693" s="5"/>
      <c r="N1693" s="5"/>
      <c r="O1693" s="5"/>
      <c r="P1693" s="16"/>
      <c r="Q1693" s="16"/>
      <c r="R1693" s="19"/>
      <c r="S1693" s="19"/>
      <c r="T1693" s="19"/>
      <c r="U1693" s="19"/>
      <c r="V1693" s="19"/>
      <c r="W1693" s="19"/>
      <c r="X1693" s="19"/>
      <c r="Y1693" s="19"/>
      <c r="Z1693" s="19"/>
      <c r="AA1693" s="19"/>
      <c r="AB1693" s="19"/>
      <c r="AC1693" s="19"/>
      <c r="AD1693" s="19"/>
      <c r="AE1693" s="19"/>
      <c r="AF1693" s="19"/>
      <c r="AG1693" s="5"/>
      <c r="AH1693" s="5"/>
      <c r="AI1693" s="6"/>
    </row>
    <row r="1694" spans="1:35" x14ac:dyDescent="0.25">
      <c r="A1694" s="3"/>
      <c r="B1694" s="221"/>
      <c r="C1694" s="221"/>
      <c r="D1694" s="221"/>
      <c r="E1694" s="5"/>
      <c r="F1694" s="223"/>
      <c r="G1694" s="223"/>
      <c r="H1694" s="223"/>
      <c r="I1694" s="223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5"/>
      <c r="AH1694" s="5"/>
      <c r="AI1694" s="6"/>
    </row>
    <row r="1695" spans="1:35" x14ac:dyDescent="0.25">
      <c r="A1695" s="3"/>
      <c r="B1695" s="221"/>
      <c r="C1695" s="221"/>
      <c r="D1695" s="221"/>
      <c r="E1695" s="5"/>
      <c r="F1695" s="223"/>
      <c r="G1695" s="223"/>
      <c r="H1695" s="223"/>
      <c r="I1695" s="223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5"/>
      <c r="AH1695" s="5"/>
      <c r="AI1695" s="6"/>
    </row>
    <row r="1696" spans="1:35" x14ac:dyDescent="0.25">
      <c r="A1696" s="20"/>
      <c r="B1696" s="21"/>
      <c r="C1696" s="21"/>
      <c r="D1696" s="21"/>
      <c r="E1696" s="21"/>
      <c r="F1696" s="21"/>
      <c r="G1696" s="21"/>
      <c r="H1696" s="21"/>
      <c r="I1696" s="21"/>
      <c r="J1696" s="21"/>
      <c r="K1696" s="21"/>
      <c r="L1696" s="21"/>
      <c r="M1696" s="21"/>
      <c r="N1696" s="21"/>
      <c r="O1696" s="22"/>
      <c r="P1696" s="21"/>
      <c r="Q1696" s="21"/>
      <c r="R1696" s="21"/>
      <c r="S1696" s="21"/>
      <c r="T1696" s="21"/>
      <c r="U1696" s="21"/>
      <c r="V1696" s="21"/>
      <c r="W1696" s="21"/>
      <c r="X1696" s="21"/>
      <c r="Y1696" s="21"/>
      <c r="Z1696" s="21"/>
      <c r="AA1696" s="21"/>
      <c r="AB1696" s="21"/>
      <c r="AC1696" s="21"/>
      <c r="AD1696" s="21"/>
      <c r="AE1696" s="21"/>
      <c r="AF1696" s="21"/>
      <c r="AG1696" s="21"/>
      <c r="AH1696" s="21"/>
      <c r="AI1696" s="23"/>
    </row>
    <row r="1697" spans="1:35" x14ac:dyDescent="0.25">
      <c r="A1697" s="24"/>
      <c r="B1697" s="28"/>
      <c r="C1697" s="25"/>
      <c r="D1697" s="25"/>
      <c r="E1697" s="25"/>
      <c r="F1697" s="25"/>
      <c r="G1697" s="25"/>
      <c r="H1697" s="25"/>
      <c r="I1697" s="25"/>
      <c r="J1697" s="25"/>
      <c r="K1697" s="25"/>
      <c r="L1697" s="25"/>
      <c r="M1697" s="25"/>
      <c r="N1697" s="25"/>
      <c r="O1697" s="25"/>
      <c r="P1697" s="25"/>
      <c r="Q1697" s="25"/>
      <c r="R1697" s="25"/>
      <c r="S1697" s="25"/>
      <c r="T1697" s="25"/>
      <c r="U1697" s="25"/>
      <c r="V1697" s="25"/>
      <c r="W1697" s="25"/>
      <c r="X1697" s="25"/>
      <c r="Y1697" s="25"/>
      <c r="Z1697" s="25"/>
      <c r="AA1697" s="25"/>
      <c r="AB1697" s="25"/>
      <c r="AC1697" s="25"/>
      <c r="AD1697" s="25"/>
      <c r="AE1697" s="25"/>
      <c r="AF1697" s="25"/>
      <c r="AG1697" s="25"/>
      <c r="AH1697" s="25"/>
      <c r="AI1697" s="26"/>
    </row>
    <row r="1698" spans="1:35" x14ac:dyDescent="0.25">
      <c r="A1698" s="3"/>
      <c r="B1698" s="4" t="s">
        <v>343</v>
      </c>
      <c r="C1698" s="5"/>
      <c r="D1698" s="5"/>
      <c r="E1698" s="5"/>
      <c r="F1698" s="5"/>
      <c r="G1698" s="5"/>
      <c r="H1698" s="5"/>
      <c r="I1698" s="5" t="str">
        <f>"0x"&amp;BIN2HEX(CONCATENATE(C1703,D1703,E1703,F1703,G1703,H1703,I1703,J1703),2)&amp;BIN2HEX(CONCATENATE(K1703,L1703,M1703,N1703,O1703,P1703,Q1703,R1703),2)&amp;BIN2HEX(CONCATENATE(S1703,T1703,U1703,V1703,W1703,X1703,Y1703,Z1703),2)&amp;BIN2HEX(CONCATENATE(AA1703,AB1703,AC1703,AD1703,AE1703,AF1703,AG1703,AH1703),2)&amp;"_"&amp;BIN2HEX(CONCATENATE(C1707,D1707,E1707,F1707,G1707,H1707,I1707,J1707),2)&amp;BIN2HEX(CONCATENATE(K1707,L1707,M1707,N1707,O1707,P1707,Q1707,R1707),2)&amp;BIN2HEX(CONCATENATE(S1707,T1707,U1707,V1707,W1707,X1707,Y1707,Z1707),2)&amp;BIN2HEX(CONCATENATE(AA1707,AB1707,AC1707,AD1707,AE1707,AF1707,AG1707,AH1707),2)</f>
        <v>0x00000000_000806C0</v>
      </c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5"/>
      <c r="AH1698" s="5"/>
      <c r="AI1698" s="6"/>
    </row>
    <row r="1699" spans="1:35" ht="15.75" thickBot="1" x14ac:dyDescent="0.3">
      <c r="A1699" s="3"/>
      <c r="B1699" s="5"/>
      <c r="C1699" s="7">
        <v>0</v>
      </c>
      <c r="D1699" s="7">
        <v>1</v>
      </c>
      <c r="E1699" s="7">
        <v>2</v>
      </c>
      <c r="F1699" s="7">
        <v>3</v>
      </c>
      <c r="G1699" s="7">
        <v>4</v>
      </c>
      <c r="H1699" s="7">
        <v>5</v>
      </c>
      <c r="I1699" s="7">
        <v>6</v>
      </c>
      <c r="J1699" s="7">
        <v>7</v>
      </c>
      <c r="K1699" s="7">
        <v>8</v>
      </c>
      <c r="L1699" s="7">
        <v>9</v>
      </c>
      <c r="M1699" s="7">
        <v>10</v>
      </c>
      <c r="N1699" s="7">
        <v>11</v>
      </c>
      <c r="O1699" s="7">
        <v>12</v>
      </c>
      <c r="P1699" s="7">
        <v>13</v>
      </c>
      <c r="Q1699" s="7">
        <v>14</v>
      </c>
      <c r="R1699" s="7">
        <v>15</v>
      </c>
      <c r="S1699" s="7">
        <v>16</v>
      </c>
      <c r="T1699" s="7">
        <v>17</v>
      </c>
      <c r="U1699" s="7">
        <v>18</v>
      </c>
      <c r="V1699" s="7">
        <v>19</v>
      </c>
      <c r="W1699" s="7">
        <v>20</v>
      </c>
      <c r="X1699" s="7">
        <v>21</v>
      </c>
      <c r="Y1699" s="7">
        <v>22</v>
      </c>
      <c r="Z1699" s="7">
        <v>23</v>
      </c>
      <c r="AA1699" s="7">
        <v>24</v>
      </c>
      <c r="AB1699" s="7">
        <v>25</v>
      </c>
      <c r="AC1699" s="7">
        <v>26</v>
      </c>
      <c r="AD1699" s="7">
        <v>27</v>
      </c>
      <c r="AE1699" s="7">
        <v>28</v>
      </c>
      <c r="AF1699" s="7">
        <v>29</v>
      </c>
      <c r="AG1699" s="7">
        <v>30</v>
      </c>
      <c r="AH1699" s="7">
        <v>31</v>
      </c>
      <c r="AI1699" s="6"/>
    </row>
    <row r="1700" spans="1:35" x14ac:dyDescent="0.25">
      <c r="A1700" s="3"/>
      <c r="B1700" s="5" t="s">
        <v>31</v>
      </c>
      <c r="C1700" s="328" t="s">
        <v>161</v>
      </c>
      <c r="D1700" s="330" t="s">
        <v>63</v>
      </c>
      <c r="E1700" s="331"/>
      <c r="F1700" s="331"/>
      <c r="G1700" s="331"/>
      <c r="H1700" s="331"/>
      <c r="I1700" s="331"/>
      <c r="J1700" s="332"/>
      <c r="K1700" s="336">
        <v>0</v>
      </c>
      <c r="L1700" s="337"/>
      <c r="M1700" s="337"/>
      <c r="N1700" s="337"/>
      <c r="O1700" s="337"/>
      <c r="P1700" s="337"/>
      <c r="Q1700" s="337"/>
      <c r="R1700" s="337"/>
      <c r="S1700" s="337"/>
      <c r="T1700" s="337"/>
      <c r="U1700" s="337"/>
      <c r="V1700" s="337"/>
      <c r="W1700" s="337"/>
      <c r="X1700" s="337"/>
      <c r="Y1700" s="337"/>
      <c r="Z1700" s="337"/>
      <c r="AA1700" s="337"/>
      <c r="AB1700" s="337"/>
      <c r="AC1700" s="337"/>
      <c r="AD1700" s="337"/>
      <c r="AE1700" s="337"/>
      <c r="AF1700" s="337"/>
      <c r="AG1700" s="337"/>
      <c r="AH1700" s="338"/>
      <c r="AI1700" s="6"/>
    </row>
    <row r="1701" spans="1:35" x14ac:dyDescent="0.25">
      <c r="A1701" s="3"/>
      <c r="B1701" s="5" t="s">
        <v>32</v>
      </c>
      <c r="C1701" s="329"/>
      <c r="D1701" s="333"/>
      <c r="E1701" s="334"/>
      <c r="F1701" s="334"/>
      <c r="G1701" s="334"/>
      <c r="H1701" s="334"/>
      <c r="I1701" s="334"/>
      <c r="J1701" s="335"/>
      <c r="K1701" s="339"/>
      <c r="L1701" s="340"/>
      <c r="M1701" s="340"/>
      <c r="N1701" s="340"/>
      <c r="O1701" s="340"/>
      <c r="P1701" s="340"/>
      <c r="Q1701" s="340"/>
      <c r="R1701" s="340"/>
      <c r="S1701" s="340"/>
      <c r="T1701" s="340"/>
      <c r="U1701" s="340"/>
      <c r="V1701" s="340"/>
      <c r="W1701" s="340"/>
      <c r="X1701" s="340"/>
      <c r="Y1701" s="340"/>
      <c r="Z1701" s="340"/>
      <c r="AA1701" s="340"/>
      <c r="AB1701" s="340"/>
      <c r="AC1701" s="340"/>
      <c r="AD1701" s="340"/>
      <c r="AE1701" s="340"/>
      <c r="AF1701" s="340"/>
      <c r="AG1701" s="340"/>
      <c r="AH1701" s="341"/>
      <c r="AI1701" s="6"/>
    </row>
    <row r="1702" spans="1:35" x14ac:dyDescent="0.25">
      <c r="A1702" s="3"/>
      <c r="B1702" s="5" t="s">
        <v>11</v>
      </c>
      <c r="C1702" s="56">
        <v>0</v>
      </c>
      <c r="D1702" s="57">
        <v>0</v>
      </c>
      <c r="E1702" s="57">
        <v>0</v>
      </c>
      <c r="F1702" s="57">
        <v>0</v>
      </c>
      <c r="G1702" s="57">
        <v>0</v>
      </c>
      <c r="H1702" s="57">
        <v>0</v>
      </c>
      <c r="I1702" s="57">
        <v>0</v>
      </c>
      <c r="J1702" s="57">
        <v>0</v>
      </c>
      <c r="K1702" s="57">
        <v>0</v>
      </c>
      <c r="L1702" s="57">
        <v>0</v>
      </c>
      <c r="M1702" s="57">
        <v>0</v>
      </c>
      <c r="N1702" s="57">
        <v>0</v>
      </c>
      <c r="O1702" s="57">
        <v>0</v>
      </c>
      <c r="P1702" s="57">
        <v>0</v>
      </c>
      <c r="Q1702" s="57">
        <v>0</v>
      </c>
      <c r="R1702" s="57">
        <v>0</v>
      </c>
      <c r="S1702" s="57">
        <v>0</v>
      </c>
      <c r="T1702" s="57">
        <v>0</v>
      </c>
      <c r="U1702" s="57">
        <v>0</v>
      </c>
      <c r="V1702" s="57">
        <v>0</v>
      </c>
      <c r="W1702" s="57">
        <v>0</v>
      </c>
      <c r="X1702" s="57">
        <v>0</v>
      </c>
      <c r="Y1702" s="57">
        <v>0</v>
      </c>
      <c r="Z1702" s="57">
        <v>0</v>
      </c>
      <c r="AA1702" s="57">
        <v>0</v>
      </c>
      <c r="AB1702" s="57">
        <v>0</v>
      </c>
      <c r="AC1702" s="57">
        <v>0</v>
      </c>
      <c r="AD1702" s="57">
        <v>0</v>
      </c>
      <c r="AE1702" s="57">
        <v>0</v>
      </c>
      <c r="AF1702" s="57">
        <v>0</v>
      </c>
      <c r="AG1702" s="57">
        <v>0</v>
      </c>
      <c r="AH1702" s="58">
        <v>0</v>
      </c>
      <c r="AI1702" s="6"/>
    </row>
    <row r="1703" spans="1:35" ht="15.75" thickBot="1" x14ac:dyDescent="0.3">
      <c r="A1703" s="3"/>
      <c r="B1703" s="5" t="s">
        <v>12</v>
      </c>
      <c r="C1703" s="145">
        <v>0</v>
      </c>
      <c r="D1703" s="88">
        <v>0</v>
      </c>
      <c r="E1703" s="88">
        <v>0</v>
      </c>
      <c r="F1703" s="88">
        <v>0</v>
      </c>
      <c r="G1703" s="88">
        <v>0</v>
      </c>
      <c r="H1703" s="88">
        <v>0</v>
      </c>
      <c r="I1703" s="88">
        <v>0</v>
      </c>
      <c r="J1703" s="88">
        <v>0</v>
      </c>
      <c r="K1703" s="62">
        <v>0</v>
      </c>
      <c r="L1703" s="62">
        <v>0</v>
      </c>
      <c r="M1703" s="62">
        <v>0</v>
      </c>
      <c r="N1703" s="62">
        <v>0</v>
      </c>
      <c r="O1703" s="62">
        <v>0</v>
      </c>
      <c r="P1703" s="62">
        <v>0</v>
      </c>
      <c r="Q1703" s="62">
        <v>0</v>
      </c>
      <c r="R1703" s="62">
        <v>0</v>
      </c>
      <c r="S1703" s="62">
        <v>0</v>
      </c>
      <c r="T1703" s="62">
        <v>0</v>
      </c>
      <c r="U1703" s="62">
        <v>0</v>
      </c>
      <c r="V1703" s="62">
        <v>0</v>
      </c>
      <c r="W1703" s="62">
        <v>0</v>
      </c>
      <c r="X1703" s="62">
        <v>0</v>
      </c>
      <c r="Y1703" s="62">
        <v>0</v>
      </c>
      <c r="Z1703" s="62">
        <v>0</v>
      </c>
      <c r="AA1703" s="62">
        <v>0</v>
      </c>
      <c r="AB1703" s="62">
        <v>0</v>
      </c>
      <c r="AC1703" s="62">
        <v>0</v>
      </c>
      <c r="AD1703" s="62">
        <v>0</v>
      </c>
      <c r="AE1703" s="62">
        <v>0</v>
      </c>
      <c r="AF1703" s="62">
        <v>0</v>
      </c>
      <c r="AG1703" s="62">
        <v>0</v>
      </c>
      <c r="AH1703" s="146">
        <v>0</v>
      </c>
      <c r="AI1703" s="6"/>
    </row>
    <row r="1704" spans="1:35" x14ac:dyDescent="0.25">
      <c r="A1704" s="3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5"/>
      <c r="AH1704" s="5"/>
      <c r="AI1704" s="6"/>
    </row>
    <row r="1705" spans="1:35" ht="15.75" thickBot="1" x14ac:dyDescent="0.3">
      <c r="A1705" s="3"/>
      <c r="B1705" s="5"/>
      <c r="C1705" s="7">
        <v>32</v>
      </c>
      <c r="D1705" s="7">
        <v>33</v>
      </c>
      <c r="E1705" s="7">
        <v>34</v>
      </c>
      <c r="F1705" s="7">
        <v>35</v>
      </c>
      <c r="G1705" s="7">
        <v>36</v>
      </c>
      <c r="H1705" s="7">
        <v>37</v>
      </c>
      <c r="I1705" s="7">
        <v>38</v>
      </c>
      <c r="J1705" s="7">
        <v>39</v>
      </c>
      <c r="K1705" s="7">
        <v>40</v>
      </c>
      <c r="L1705" s="7">
        <v>41</v>
      </c>
      <c r="M1705" s="7">
        <v>42</v>
      </c>
      <c r="N1705" s="7">
        <v>43</v>
      </c>
      <c r="O1705" s="7">
        <v>44</v>
      </c>
      <c r="P1705" s="7">
        <v>45</v>
      </c>
      <c r="Q1705" s="7">
        <v>46</v>
      </c>
      <c r="R1705" s="7">
        <v>47</v>
      </c>
      <c r="S1705" s="7">
        <v>48</v>
      </c>
      <c r="T1705" s="7">
        <v>49</v>
      </c>
      <c r="U1705" s="7">
        <v>50</v>
      </c>
      <c r="V1705" s="7">
        <v>51</v>
      </c>
      <c r="W1705" s="7">
        <v>52</v>
      </c>
      <c r="X1705" s="7">
        <v>53</v>
      </c>
      <c r="Y1705" s="7">
        <v>54</v>
      </c>
      <c r="Z1705" s="7">
        <v>55</v>
      </c>
      <c r="AA1705" s="7">
        <v>56</v>
      </c>
      <c r="AB1705" s="7">
        <v>57</v>
      </c>
      <c r="AC1705" s="7">
        <v>58</v>
      </c>
      <c r="AD1705" s="7">
        <v>59</v>
      </c>
      <c r="AE1705" s="7">
        <v>60</v>
      </c>
      <c r="AF1705" s="7">
        <v>61</v>
      </c>
      <c r="AG1705" s="7">
        <v>62</v>
      </c>
      <c r="AH1705" s="7">
        <v>63</v>
      </c>
      <c r="AI1705" s="6"/>
    </row>
    <row r="1706" spans="1:35" ht="15.75" thickBot="1" x14ac:dyDescent="0.3">
      <c r="A1706" s="3"/>
      <c r="B1706" s="5"/>
      <c r="C1706" s="147" t="s">
        <v>13</v>
      </c>
      <c r="D1706" s="148" t="s">
        <v>14</v>
      </c>
      <c r="E1706" s="148" t="s">
        <v>15</v>
      </c>
      <c r="F1706" s="148" t="s">
        <v>16</v>
      </c>
      <c r="G1706" s="148" t="s">
        <v>17</v>
      </c>
      <c r="H1706" s="148" t="s">
        <v>18</v>
      </c>
      <c r="I1706" s="148" t="s">
        <v>19</v>
      </c>
      <c r="J1706" s="148" t="s">
        <v>20</v>
      </c>
      <c r="K1706" s="148" t="s">
        <v>21</v>
      </c>
      <c r="L1706" s="148" t="s">
        <v>22</v>
      </c>
      <c r="M1706" s="148" t="s">
        <v>23</v>
      </c>
      <c r="N1706" s="148" t="s">
        <v>24</v>
      </c>
      <c r="O1706" s="148" t="s">
        <v>25</v>
      </c>
      <c r="P1706" s="148" t="s">
        <v>26</v>
      </c>
      <c r="Q1706" s="148" t="s">
        <v>27</v>
      </c>
      <c r="R1706" s="342" t="s">
        <v>30</v>
      </c>
      <c r="S1706" s="343"/>
      <c r="T1706" s="343"/>
      <c r="U1706" s="343"/>
      <c r="V1706" s="343"/>
      <c r="W1706" s="343"/>
      <c r="X1706" s="343"/>
      <c r="Y1706" s="343"/>
      <c r="Z1706" s="343"/>
      <c r="AA1706" s="343"/>
      <c r="AB1706" s="343"/>
      <c r="AC1706" s="343"/>
      <c r="AD1706" s="343"/>
      <c r="AE1706" s="343"/>
      <c r="AF1706" s="344"/>
      <c r="AG1706" s="67" t="s">
        <v>28</v>
      </c>
      <c r="AH1706" s="149" t="s">
        <v>29</v>
      </c>
      <c r="AI1706" s="6"/>
    </row>
    <row r="1707" spans="1:35" ht="15.75" thickBot="1" x14ac:dyDescent="0.3">
      <c r="A1707" s="3"/>
      <c r="B1707" s="5"/>
      <c r="C1707" s="150">
        <v>0</v>
      </c>
      <c r="D1707" s="151">
        <v>0</v>
      </c>
      <c r="E1707" s="151">
        <v>0</v>
      </c>
      <c r="F1707" s="151">
        <v>0</v>
      </c>
      <c r="G1707" s="151">
        <v>0</v>
      </c>
      <c r="H1707" s="151">
        <v>0</v>
      </c>
      <c r="I1707" s="151">
        <v>0</v>
      </c>
      <c r="J1707" s="151">
        <v>0</v>
      </c>
      <c r="K1707" s="151">
        <v>0</v>
      </c>
      <c r="L1707" s="151">
        <v>0</v>
      </c>
      <c r="M1707" s="151">
        <v>0</v>
      </c>
      <c r="N1707" s="151">
        <v>0</v>
      </c>
      <c r="O1707" s="151">
        <v>1</v>
      </c>
      <c r="P1707" s="151">
        <v>0</v>
      </c>
      <c r="Q1707" s="151">
        <v>0</v>
      </c>
      <c r="R1707" s="151">
        <v>0</v>
      </c>
      <c r="S1707" s="151">
        <v>0</v>
      </c>
      <c r="T1707" s="151">
        <v>0</v>
      </c>
      <c r="U1707" s="151">
        <v>0</v>
      </c>
      <c r="V1707" s="151">
        <v>0</v>
      </c>
      <c r="W1707" s="151">
        <v>0</v>
      </c>
      <c r="X1707" s="151">
        <v>1</v>
      </c>
      <c r="Y1707" s="151">
        <v>1</v>
      </c>
      <c r="Z1707" s="151">
        <v>0</v>
      </c>
      <c r="AA1707" s="151">
        <v>1</v>
      </c>
      <c r="AB1707" s="151">
        <v>1</v>
      </c>
      <c r="AC1707" s="151">
        <v>0</v>
      </c>
      <c r="AD1707" s="151">
        <v>0</v>
      </c>
      <c r="AE1707" s="151">
        <v>0</v>
      </c>
      <c r="AF1707" s="151">
        <v>0</v>
      </c>
      <c r="AG1707" s="151">
        <v>0</v>
      </c>
      <c r="AH1707" s="152">
        <v>0</v>
      </c>
      <c r="AI1707" s="6"/>
    </row>
    <row r="1708" spans="1:35" x14ac:dyDescent="0.25">
      <c r="A1708" s="3"/>
      <c r="B1708" s="4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5"/>
      <c r="AH1708" s="5"/>
      <c r="AI1708" s="6"/>
    </row>
    <row r="1709" spans="1:35" x14ac:dyDescent="0.25">
      <c r="A1709" s="3"/>
      <c r="B1709" s="8" t="s">
        <v>43</v>
      </c>
      <c r="C1709" s="9"/>
      <c r="D1709" s="9"/>
      <c r="E1709" s="9"/>
      <c r="F1709" s="225" t="s">
        <v>44</v>
      </c>
      <c r="G1709" s="225"/>
      <c r="H1709" s="225"/>
      <c r="I1709" s="9"/>
      <c r="J1709" s="226" t="s">
        <v>45</v>
      </c>
      <c r="K1709" s="226"/>
      <c r="L1709" s="226"/>
      <c r="M1709" s="226"/>
      <c r="N1709" s="9"/>
      <c r="O1709" s="227" t="s">
        <v>46</v>
      </c>
      <c r="P1709" s="227"/>
      <c r="Q1709" s="227"/>
      <c r="R1709" s="227"/>
      <c r="S1709" s="9"/>
      <c r="T1709" s="1" t="s">
        <v>49</v>
      </c>
      <c r="U1709" s="10" t="s">
        <v>48</v>
      </c>
      <c r="V1709" s="5"/>
      <c r="W1709" s="9"/>
      <c r="X1709" s="9"/>
      <c r="Y1709" s="9"/>
      <c r="Z1709" s="9"/>
      <c r="AA1709" s="9"/>
      <c r="AB1709" s="9"/>
      <c r="AC1709" s="9"/>
      <c r="AD1709" s="9"/>
      <c r="AE1709" s="9"/>
      <c r="AF1709" s="9"/>
      <c r="AG1709" s="9"/>
      <c r="AH1709" s="9"/>
      <c r="AI1709" s="6"/>
    </row>
    <row r="1710" spans="1:35" ht="15" customHeight="1" x14ac:dyDescent="0.25">
      <c r="A1710" s="3"/>
      <c r="B1710" s="221" t="str">
        <f>"0x"&amp;DEC2HEX(Sheet3!$I$4,8)</f>
        <v>0x00400320</v>
      </c>
      <c r="C1710" s="221"/>
      <c r="D1710" s="221"/>
      <c r="E1710" s="12"/>
      <c r="F1710" s="319" t="str">
        <f>"0x"&amp;BIN2HEX(CONCATENATE(C1703,D1703,E1703,F1703,G1703,H1703,I1703,J1703),2)&amp;BIN2HEX(CONCATENATE(K1703,L1703,M1703,N1703,O1703,P1703,Q1703,R1703),2)&amp;BIN2HEX(CONCATENATE(S1703,T1703,U1703,V1703,W1703,X1703,Y1703,Z1703),2)&amp;BIN2HEX(CONCATENATE(AA1703,AB1703,AC1703,AD1703,AE1703,AF1703,AG1703,AH1703),2)</f>
        <v>0x00000000</v>
      </c>
      <c r="G1710" s="319"/>
      <c r="H1710" s="319"/>
      <c r="I1710" s="12"/>
      <c r="J1710" s="319" t="str">
        <f>"0b"&amp;C1707&amp;D1707&amp;E1707&amp;F1707&amp;G1707&amp;H1707&amp;I1707&amp;J1707&amp;K1707&amp;L1707&amp;M1707&amp;N1707&amp;O1707&amp;P1707&amp;Q1707</f>
        <v>0b000000000000100</v>
      </c>
      <c r="K1710" s="319"/>
      <c r="L1710" s="319"/>
      <c r="M1710" s="319"/>
      <c r="N1710" s="12"/>
      <c r="O1710" s="319" t="str">
        <f>"0b"&amp;DEC2BIN(((AF1707+AE1707*2+AD1707*4+AC1707*8+AB1707*16+AA1707*32+Z1707*64+Y1707*128+X1707*256+W1707*512+V1707*1024+U1707*2048+T1707*4096+S1707*2^13+R1707*2^14)/512),6)&amp;DEC2BIN(MOD((AF1707+AE1707*2+AD1707*4+AC1707*8+AB1707*16+AA1707*32+Z1707*64+Y1707*128+X1707*256+W1707*512+V1707*1024+U1707*2048+T1707*4096+S1707*2^13+R1707*2^14),512),9)</f>
        <v>0b000000110110000</v>
      </c>
      <c r="P1710" s="319"/>
      <c r="Q1710" s="319"/>
      <c r="R1710" s="319"/>
      <c r="S1710" s="12"/>
      <c r="T1710" s="224">
        <v>0</v>
      </c>
      <c r="U1710" s="224">
        <f>AH1707</f>
        <v>0</v>
      </c>
      <c r="V1710" s="5"/>
      <c r="W1710" s="14"/>
      <c r="X1710" s="14"/>
      <c r="Y1710" s="14"/>
      <c r="Z1710" s="14"/>
      <c r="AA1710" s="14"/>
      <c r="AB1710" s="14"/>
      <c r="AC1710" s="14"/>
      <c r="AD1710" s="14"/>
      <c r="AE1710" s="14"/>
      <c r="AF1710" s="14"/>
      <c r="AG1710" s="14"/>
      <c r="AH1710" s="14"/>
      <c r="AI1710" s="6"/>
    </row>
    <row r="1711" spans="1:35" x14ac:dyDescent="0.25">
      <c r="A1711" s="3"/>
      <c r="B1711" s="221"/>
      <c r="C1711" s="221"/>
      <c r="D1711" s="221"/>
      <c r="E1711" s="15"/>
      <c r="F1711" s="222"/>
      <c r="G1711" s="222"/>
      <c r="H1711" s="222"/>
      <c r="I1711" s="15"/>
      <c r="J1711" s="221"/>
      <c r="K1711" s="221"/>
      <c r="L1711" s="221"/>
      <c r="M1711" s="221"/>
      <c r="N1711" s="15"/>
      <c r="O1711" s="221"/>
      <c r="P1711" s="221"/>
      <c r="Q1711" s="221"/>
      <c r="R1711" s="221"/>
      <c r="S1711" s="15"/>
      <c r="T1711" s="224"/>
      <c r="U1711" s="15"/>
      <c r="V1711" s="5"/>
      <c r="W1711" s="16"/>
      <c r="X1711" s="16"/>
      <c r="Y1711" s="16"/>
      <c r="Z1711" s="16"/>
      <c r="AA1711" s="16"/>
      <c r="AB1711" s="16"/>
      <c r="AC1711" s="16"/>
      <c r="AD1711" s="16"/>
      <c r="AE1711" s="16"/>
      <c r="AF1711" s="16"/>
      <c r="AG1711" s="16"/>
      <c r="AH1711" s="16"/>
      <c r="AI1711" s="6"/>
    </row>
    <row r="1712" spans="1:35" x14ac:dyDescent="0.25">
      <c r="A1712" s="3"/>
      <c r="B1712" s="221"/>
      <c r="C1712" s="221"/>
      <c r="D1712" s="221"/>
      <c r="E1712" s="15"/>
      <c r="F1712" s="222"/>
      <c r="G1712" s="222"/>
      <c r="H1712" s="222"/>
      <c r="I1712" s="15"/>
      <c r="J1712" s="221"/>
      <c r="K1712" s="221"/>
      <c r="L1712" s="221"/>
      <c r="M1712" s="221"/>
      <c r="N1712" s="15"/>
      <c r="O1712" s="221"/>
      <c r="P1712" s="221"/>
      <c r="Q1712" s="221"/>
      <c r="R1712" s="221"/>
      <c r="S1712" s="15"/>
      <c r="T1712" s="224"/>
      <c r="U1712" s="15"/>
      <c r="V1712" s="5"/>
      <c r="W1712" s="16"/>
      <c r="X1712" s="16"/>
      <c r="Y1712" s="16"/>
      <c r="Z1712" s="16"/>
      <c r="AA1712" s="16"/>
      <c r="AB1712" s="16"/>
      <c r="AC1712" s="16"/>
      <c r="AD1712" s="16"/>
      <c r="AE1712" s="16"/>
      <c r="AF1712" s="16"/>
      <c r="AG1712" s="16"/>
      <c r="AH1712" s="16"/>
      <c r="AI1712" s="6"/>
    </row>
    <row r="1713" spans="1:35" x14ac:dyDescent="0.25">
      <c r="A1713" s="3"/>
      <c r="B1713" s="5"/>
      <c r="C1713" s="5"/>
      <c r="D1713" s="5"/>
      <c r="E1713" s="5"/>
      <c r="F1713" s="17"/>
      <c r="G1713" s="17"/>
      <c r="H1713" s="17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5"/>
      <c r="AH1713" s="5"/>
      <c r="AI1713" s="6"/>
    </row>
    <row r="1714" spans="1:35" x14ac:dyDescent="0.25">
      <c r="A1714" s="3"/>
      <c r="B1714" s="5" t="s">
        <v>47</v>
      </c>
      <c r="C1714" s="18"/>
      <c r="D1714" s="18"/>
      <c r="E1714" s="18"/>
      <c r="F1714" s="5"/>
      <c r="G1714" s="5"/>
      <c r="H1714" s="5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  <c r="AB1714" s="18"/>
      <c r="AC1714" s="18"/>
      <c r="AD1714" s="18"/>
      <c r="AE1714" s="18"/>
      <c r="AF1714" s="18"/>
      <c r="AG1714" s="18"/>
      <c r="AH1714" s="18"/>
      <c r="AI1714" s="6"/>
    </row>
    <row r="1715" spans="1:35" ht="15" customHeight="1" x14ac:dyDescent="0.25">
      <c r="A1715" s="3"/>
      <c r="B1715" s="221" t="str">
        <f>"0x"&amp;DEC2HEX(Sheet3!$I$4,8)</f>
        <v>0x00400320</v>
      </c>
      <c r="C1715" s="221"/>
      <c r="D1715" s="221"/>
      <c r="E1715" s="16"/>
      <c r="F1715" s="322" t="str">
        <f>F1710&amp;BIN2HEX(MID(J1710,3,8),2)&amp;BIN2HEX(RIGHT(J1710,7)&amp;MID(O1710,3,1),2)&amp;BIN2HEX(MID(O1710,4,8),2)&amp;BIN2HEX(RIGHT(O1710,6)&amp;T1710&amp;U1710,2)</f>
        <v>0x00000000000806C0</v>
      </c>
      <c r="G1715" s="322"/>
      <c r="H1715" s="322"/>
      <c r="I1715" s="322"/>
      <c r="J1715" s="5"/>
      <c r="K1715" s="5"/>
      <c r="L1715" s="5"/>
      <c r="M1715" s="5"/>
      <c r="N1715" s="5"/>
      <c r="O1715" s="5"/>
      <c r="P1715" s="16"/>
      <c r="Q1715" s="16"/>
      <c r="R1715" s="19"/>
      <c r="S1715" s="19"/>
      <c r="T1715" s="19"/>
      <c r="U1715" s="19"/>
      <c r="V1715" s="19"/>
      <c r="W1715" s="19"/>
      <c r="X1715" s="19"/>
      <c r="Y1715" s="19"/>
      <c r="Z1715" s="19"/>
      <c r="AA1715" s="19"/>
      <c r="AB1715" s="19"/>
      <c r="AC1715" s="19"/>
      <c r="AD1715" s="19"/>
      <c r="AE1715" s="19"/>
      <c r="AF1715" s="19"/>
      <c r="AG1715" s="5"/>
      <c r="AH1715" s="5"/>
      <c r="AI1715" s="6"/>
    </row>
    <row r="1716" spans="1:35" x14ac:dyDescent="0.25">
      <c r="A1716" s="3"/>
      <c r="B1716" s="221"/>
      <c r="C1716" s="221"/>
      <c r="D1716" s="221"/>
      <c r="E1716" s="5"/>
      <c r="F1716" s="223"/>
      <c r="G1716" s="223"/>
      <c r="H1716" s="223"/>
      <c r="I1716" s="223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5"/>
      <c r="AH1716" s="5"/>
      <c r="AI1716" s="6"/>
    </row>
    <row r="1717" spans="1:35" x14ac:dyDescent="0.25">
      <c r="A1717" s="3"/>
      <c r="B1717" s="221"/>
      <c r="C1717" s="221"/>
      <c r="D1717" s="221"/>
      <c r="E1717" s="5"/>
      <c r="F1717" s="223"/>
      <c r="G1717" s="223"/>
      <c r="H1717" s="223"/>
      <c r="I1717" s="223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5"/>
      <c r="AH1717" s="5"/>
      <c r="AI1717" s="6"/>
    </row>
    <row r="1718" spans="1:35" x14ac:dyDescent="0.25">
      <c r="A1718" s="20"/>
      <c r="B1718" s="21"/>
      <c r="C1718" s="21"/>
      <c r="D1718" s="21"/>
      <c r="E1718" s="21"/>
      <c r="F1718" s="21"/>
      <c r="G1718" s="21"/>
      <c r="H1718" s="21"/>
      <c r="I1718" s="21"/>
      <c r="J1718" s="21"/>
      <c r="K1718" s="21"/>
      <c r="L1718" s="21"/>
      <c r="M1718" s="21"/>
      <c r="N1718" s="21"/>
      <c r="O1718" s="22"/>
      <c r="P1718" s="21"/>
      <c r="Q1718" s="21"/>
      <c r="R1718" s="21"/>
      <c r="S1718" s="21"/>
      <c r="T1718" s="21"/>
      <c r="U1718" s="21"/>
      <c r="V1718" s="21"/>
      <c r="W1718" s="21"/>
      <c r="X1718" s="21"/>
      <c r="Y1718" s="21"/>
      <c r="Z1718" s="21"/>
      <c r="AA1718" s="21"/>
      <c r="AB1718" s="21"/>
      <c r="AC1718" s="21"/>
      <c r="AD1718" s="21"/>
      <c r="AE1718" s="21"/>
      <c r="AF1718" s="21"/>
      <c r="AG1718" s="21"/>
      <c r="AH1718" s="21"/>
      <c r="AI1718" s="23"/>
    </row>
    <row r="1719" spans="1:35" x14ac:dyDescent="0.25">
      <c r="A1719" s="24"/>
      <c r="B1719" s="28"/>
      <c r="C1719" s="25"/>
      <c r="D1719" s="25"/>
      <c r="E1719" s="25"/>
      <c r="F1719" s="25"/>
      <c r="G1719" s="25"/>
      <c r="H1719" s="25"/>
      <c r="I1719" s="25"/>
      <c r="J1719" s="25"/>
      <c r="K1719" s="25"/>
      <c r="L1719" s="25"/>
      <c r="M1719" s="25"/>
      <c r="N1719" s="25"/>
      <c r="O1719" s="25"/>
      <c r="P1719" s="25"/>
      <c r="Q1719" s="25"/>
      <c r="R1719" s="25"/>
      <c r="S1719" s="25"/>
      <c r="T1719" s="25"/>
      <c r="U1719" s="25"/>
      <c r="V1719" s="25"/>
      <c r="W1719" s="25"/>
      <c r="X1719" s="25"/>
      <c r="Y1719" s="25"/>
      <c r="Z1719" s="25"/>
      <c r="AA1719" s="25"/>
      <c r="AB1719" s="25"/>
      <c r="AC1719" s="25"/>
      <c r="AD1719" s="25"/>
      <c r="AE1719" s="25"/>
      <c r="AF1719" s="25"/>
      <c r="AG1719" s="25"/>
      <c r="AH1719" s="25"/>
      <c r="AI1719" s="26"/>
    </row>
    <row r="1720" spans="1:35" x14ac:dyDescent="0.25">
      <c r="A1720" s="3"/>
      <c r="B1720" s="4" t="s">
        <v>344</v>
      </c>
      <c r="C1720" s="5"/>
      <c r="D1720" s="5"/>
      <c r="E1720" s="5"/>
      <c r="F1720" s="5"/>
      <c r="G1720" s="5"/>
      <c r="H1720" s="5"/>
      <c r="I1720" s="5" t="str">
        <f>"0x"&amp;BIN2HEX(CONCATENATE(C1725,D1725,E1725,F1725,G1725,H1725,I1725,J1725),2)&amp;BIN2HEX(CONCATENATE(K1725,L1725,M1725,N1725,O1725,P1725,Q1725,R1725),2)&amp;BIN2HEX(CONCATENATE(S1725,T1725,U1725,V1725,W1725,X1725,Y1725,Z1725),2)&amp;BIN2HEX(CONCATENATE(AA1725,AB1725,AC1725,AD1725,AE1725,AF1725,AG1725,AH1725),2)&amp;"_"&amp;BIN2HEX(CONCATENATE(C1729,D1729,E1729,F1729,G1729,H1729,I1729,J1729),2)&amp;BIN2HEX(CONCATENATE(K1729,L1729,M1729,N1729,O1729,P1729,Q1729,R1729),2)&amp;BIN2HEX(CONCATENATE(S1729,T1729,U1729,V1729,W1729,X1729,Y1729,Z1729),2)&amp;BIN2HEX(CONCATENATE(AA1729,AB1729,AC1729,AD1729,AE1729,AF1729,AG1729,AH1729),2)</f>
        <v>0x00000000_000806C4</v>
      </c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5"/>
      <c r="AH1720" s="5"/>
      <c r="AI1720" s="6"/>
    </row>
    <row r="1721" spans="1:35" ht="15.75" thickBot="1" x14ac:dyDescent="0.3">
      <c r="A1721" s="3"/>
      <c r="B1721" s="5"/>
      <c r="C1721" s="7">
        <v>0</v>
      </c>
      <c r="D1721" s="7">
        <v>1</v>
      </c>
      <c r="E1721" s="7">
        <v>2</v>
      </c>
      <c r="F1721" s="7">
        <v>3</v>
      </c>
      <c r="G1721" s="7">
        <v>4</v>
      </c>
      <c r="H1721" s="7">
        <v>5</v>
      </c>
      <c r="I1721" s="7">
        <v>6</v>
      </c>
      <c r="J1721" s="7">
        <v>7</v>
      </c>
      <c r="K1721" s="7">
        <v>8</v>
      </c>
      <c r="L1721" s="7">
        <v>9</v>
      </c>
      <c r="M1721" s="7">
        <v>10</v>
      </c>
      <c r="N1721" s="7">
        <v>11</v>
      </c>
      <c r="O1721" s="7">
        <v>12</v>
      </c>
      <c r="P1721" s="7">
        <v>13</v>
      </c>
      <c r="Q1721" s="7">
        <v>14</v>
      </c>
      <c r="R1721" s="7">
        <v>15</v>
      </c>
      <c r="S1721" s="7">
        <v>16</v>
      </c>
      <c r="T1721" s="7">
        <v>17</v>
      </c>
      <c r="U1721" s="7">
        <v>18</v>
      </c>
      <c r="V1721" s="7">
        <v>19</v>
      </c>
      <c r="W1721" s="7">
        <v>20</v>
      </c>
      <c r="X1721" s="7">
        <v>21</v>
      </c>
      <c r="Y1721" s="7">
        <v>22</v>
      </c>
      <c r="Z1721" s="7">
        <v>23</v>
      </c>
      <c r="AA1721" s="7">
        <v>24</v>
      </c>
      <c r="AB1721" s="7">
        <v>25</v>
      </c>
      <c r="AC1721" s="7">
        <v>26</v>
      </c>
      <c r="AD1721" s="7">
        <v>27</v>
      </c>
      <c r="AE1721" s="7">
        <v>28</v>
      </c>
      <c r="AF1721" s="7">
        <v>29</v>
      </c>
      <c r="AG1721" s="7">
        <v>30</v>
      </c>
      <c r="AH1721" s="7">
        <v>31</v>
      </c>
      <c r="AI1721" s="6"/>
    </row>
    <row r="1722" spans="1:35" x14ac:dyDescent="0.25">
      <c r="A1722" s="3"/>
      <c r="B1722" s="5" t="s">
        <v>31</v>
      </c>
      <c r="C1722" s="328" t="s">
        <v>161</v>
      </c>
      <c r="D1722" s="330" t="s">
        <v>63</v>
      </c>
      <c r="E1722" s="331"/>
      <c r="F1722" s="331"/>
      <c r="G1722" s="331"/>
      <c r="H1722" s="331"/>
      <c r="I1722" s="331"/>
      <c r="J1722" s="332"/>
      <c r="K1722" s="336">
        <v>0</v>
      </c>
      <c r="L1722" s="337"/>
      <c r="M1722" s="337"/>
      <c r="N1722" s="337"/>
      <c r="O1722" s="337"/>
      <c r="P1722" s="337"/>
      <c r="Q1722" s="337"/>
      <c r="R1722" s="337"/>
      <c r="S1722" s="337"/>
      <c r="T1722" s="337"/>
      <c r="U1722" s="337"/>
      <c r="V1722" s="337"/>
      <c r="W1722" s="337"/>
      <c r="X1722" s="337"/>
      <c r="Y1722" s="337"/>
      <c r="Z1722" s="337"/>
      <c r="AA1722" s="337"/>
      <c r="AB1722" s="337"/>
      <c r="AC1722" s="337"/>
      <c r="AD1722" s="337"/>
      <c r="AE1722" s="337"/>
      <c r="AF1722" s="337"/>
      <c r="AG1722" s="337"/>
      <c r="AH1722" s="338"/>
      <c r="AI1722" s="6"/>
    </row>
    <row r="1723" spans="1:35" x14ac:dyDescent="0.25">
      <c r="A1723" s="3"/>
      <c r="B1723" s="5" t="s">
        <v>32</v>
      </c>
      <c r="C1723" s="329"/>
      <c r="D1723" s="333"/>
      <c r="E1723" s="334"/>
      <c r="F1723" s="334"/>
      <c r="G1723" s="334"/>
      <c r="H1723" s="334"/>
      <c r="I1723" s="334"/>
      <c r="J1723" s="335"/>
      <c r="K1723" s="339"/>
      <c r="L1723" s="340"/>
      <c r="M1723" s="340"/>
      <c r="N1723" s="340"/>
      <c r="O1723" s="340"/>
      <c r="P1723" s="340"/>
      <c r="Q1723" s="340"/>
      <c r="R1723" s="340"/>
      <c r="S1723" s="340"/>
      <c r="T1723" s="340"/>
      <c r="U1723" s="340"/>
      <c r="V1723" s="340"/>
      <c r="W1723" s="340"/>
      <c r="X1723" s="340"/>
      <c r="Y1723" s="340"/>
      <c r="Z1723" s="340"/>
      <c r="AA1723" s="340"/>
      <c r="AB1723" s="340"/>
      <c r="AC1723" s="340"/>
      <c r="AD1723" s="340"/>
      <c r="AE1723" s="340"/>
      <c r="AF1723" s="340"/>
      <c r="AG1723" s="340"/>
      <c r="AH1723" s="341"/>
      <c r="AI1723" s="6"/>
    </row>
    <row r="1724" spans="1:35" x14ac:dyDescent="0.25">
      <c r="A1724" s="3"/>
      <c r="B1724" s="5" t="s">
        <v>11</v>
      </c>
      <c r="C1724" s="56">
        <v>0</v>
      </c>
      <c r="D1724" s="57">
        <v>0</v>
      </c>
      <c r="E1724" s="57">
        <v>0</v>
      </c>
      <c r="F1724" s="57">
        <v>0</v>
      </c>
      <c r="G1724" s="57">
        <v>0</v>
      </c>
      <c r="H1724" s="57">
        <v>0</v>
      </c>
      <c r="I1724" s="57">
        <v>0</v>
      </c>
      <c r="J1724" s="57">
        <v>0</v>
      </c>
      <c r="K1724" s="57">
        <v>0</v>
      </c>
      <c r="L1724" s="57">
        <v>0</v>
      </c>
      <c r="M1724" s="57">
        <v>0</v>
      </c>
      <c r="N1724" s="57">
        <v>0</v>
      </c>
      <c r="O1724" s="57">
        <v>0</v>
      </c>
      <c r="P1724" s="57">
        <v>0</v>
      </c>
      <c r="Q1724" s="57">
        <v>0</v>
      </c>
      <c r="R1724" s="57">
        <v>0</v>
      </c>
      <c r="S1724" s="57">
        <v>0</v>
      </c>
      <c r="T1724" s="57">
        <v>0</v>
      </c>
      <c r="U1724" s="57">
        <v>0</v>
      </c>
      <c r="V1724" s="57">
        <v>0</v>
      </c>
      <c r="W1724" s="57">
        <v>0</v>
      </c>
      <c r="X1724" s="57">
        <v>0</v>
      </c>
      <c r="Y1724" s="57">
        <v>0</v>
      </c>
      <c r="Z1724" s="57">
        <v>0</v>
      </c>
      <c r="AA1724" s="57">
        <v>0</v>
      </c>
      <c r="AB1724" s="57">
        <v>0</v>
      </c>
      <c r="AC1724" s="57">
        <v>0</v>
      </c>
      <c r="AD1724" s="57">
        <v>0</v>
      </c>
      <c r="AE1724" s="57">
        <v>0</v>
      </c>
      <c r="AF1724" s="57">
        <v>0</v>
      </c>
      <c r="AG1724" s="57">
        <v>0</v>
      </c>
      <c r="AH1724" s="58">
        <v>0</v>
      </c>
      <c r="AI1724" s="6"/>
    </row>
    <row r="1725" spans="1:35" ht="15.75" thickBot="1" x14ac:dyDescent="0.3">
      <c r="A1725" s="3"/>
      <c r="B1725" s="5" t="s">
        <v>12</v>
      </c>
      <c r="C1725" s="145">
        <v>0</v>
      </c>
      <c r="D1725" s="88">
        <v>0</v>
      </c>
      <c r="E1725" s="88">
        <v>0</v>
      </c>
      <c r="F1725" s="88">
        <v>0</v>
      </c>
      <c r="G1725" s="88">
        <v>0</v>
      </c>
      <c r="H1725" s="88">
        <v>0</v>
      </c>
      <c r="I1725" s="88">
        <v>0</v>
      </c>
      <c r="J1725" s="88">
        <v>0</v>
      </c>
      <c r="K1725" s="62">
        <v>0</v>
      </c>
      <c r="L1725" s="62">
        <v>0</v>
      </c>
      <c r="M1725" s="62">
        <v>0</v>
      </c>
      <c r="N1725" s="62">
        <v>0</v>
      </c>
      <c r="O1725" s="62">
        <v>0</v>
      </c>
      <c r="P1725" s="62">
        <v>0</v>
      </c>
      <c r="Q1725" s="62">
        <v>0</v>
      </c>
      <c r="R1725" s="62">
        <v>0</v>
      </c>
      <c r="S1725" s="62">
        <v>0</v>
      </c>
      <c r="T1725" s="62">
        <v>0</v>
      </c>
      <c r="U1725" s="62">
        <v>0</v>
      </c>
      <c r="V1725" s="62">
        <v>0</v>
      </c>
      <c r="W1725" s="62">
        <v>0</v>
      </c>
      <c r="X1725" s="62">
        <v>0</v>
      </c>
      <c r="Y1725" s="62">
        <v>0</v>
      </c>
      <c r="Z1725" s="62">
        <v>0</v>
      </c>
      <c r="AA1725" s="62">
        <v>0</v>
      </c>
      <c r="AB1725" s="62">
        <v>0</v>
      </c>
      <c r="AC1725" s="62">
        <v>0</v>
      </c>
      <c r="AD1725" s="62">
        <v>0</v>
      </c>
      <c r="AE1725" s="62">
        <v>0</v>
      </c>
      <c r="AF1725" s="62">
        <v>0</v>
      </c>
      <c r="AG1725" s="62">
        <v>0</v>
      </c>
      <c r="AH1725" s="146">
        <v>0</v>
      </c>
      <c r="AI1725" s="6"/>
    </row>
    <row r="1726" spans="1:35" x14ac:dyDescent="0.25">
      <c r="A1726" s="3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5"/>
      <c r="AH1726" s="5"/>
      <c r="AI1726" s="6"/>
    </row>
    <row r="1727" spans="1:35" ht="15.75" thickBot="1" x14ac:dyDescent="0.3">
      <c r="A1727" s="3"/>
      <c r="B1727" s="5"/>
      <c r="C1727" s="7">
        <v>32</v>
      </c>
      <c r="D1727" s="7">
        <v>33</v>
      </c>
      <c r="E1727" s="7">
        <v>34</v>
      </c>
      <c r="F1727" s="7">
        <v>35</v>
      </c>
      <c r="G1727" s="7">
        <v>36</v>
      </c>
      <c r="H1727" s="7">
        <v>37</v>
      </c>
      <c r="I1727" s="7">
        <v>38</v>
      </c>
      <c r="J1727" s="7">
        <v>39</v>
      </c>
      <c r="K1727" s="7">
        <v>40</v>
      </c>
      <c r="L1727" s="7">
        <v>41</v>
      </c>
      <c r="M1727" s="7">
        <v>42</v>
      </c>
      <c r="N1727" s="7">
        <v>43</v>
      </c>
      <c r="O1727" s="7">
        <v>44</v>
      </c>
      <c r="P1727" s="7">
        <v>45</v>
      </c>
      <c r="Q1727" s="7">
        <v>46</v>
      </c>
      <c r="R1727" s="7">
        <v>47</v>
      </c>
      <c r="S1727" s="7">
        <v>48</v>
      </c>
      <c r="T1727" s="7">
        <v>49</v>
      </c>
      <c r="U1727" s="7">
        <v>50</v>
      </c>
      <c r="V1727" s="7">
        <v>51</v>
      </c>
      <c r="W1727" s="7">
        <v>52</v>
      </c>
      <c r="X1727" s="7">
        <v>53</v>
      </c>
      <c r="Y1727" s="7">
        <v>54</v>
      </c>
      <c r="Z1727" s="7">
        <v>55</v>
      </c>
      <c r="AA1727" s="7">
        <v>56</v>
      </c>
      <c r="AB1727" s="7">
        <v>57</v>
      </c>
      <c r="AC1727" s="7">
        <v>58</v>
      </c>
      <c r="AD1727" s="7">
        <v>59</v>
      </c>
      <c r="AE1727" s="7">
        <v>60</v>
      </c>
      <c r="AF1727" s="7">
        <v>61</v>
      </c>
      <c r="AG1727" s="7">
        <v>62</v>
      </c>
      <c r="AH1727" s="7">
        <v>63</v>
      </c>
      <c r="AI1727" s="6"/>
    </row>
    <row r="1728" spans="1:35" ht="15.75" thickBot="1" x14ac:dyDescent="0.3">
      <c r="A1728" s="3"/>
      <c r="B1728" s="5"/>
      <c r="C1728" s="147" t="s">
        <v>13</v>
      </c>
      <c r="D1728" s="148" t="s">
        <v>14</v>
      </c>
      <c r="E1728" s="148" t="s">
        <v>15</v>
      </c>
      <c r="F1728" s="148" t="s">
        <v>16</v>
      </c>
      <c r="G1728" s="148" t="s">
        <v>17</v>
      </c>
      <c r="H1728" s="148" t="s">
        <v>18</v>
      </c>
      <c r="I1728" s="148" t="s">
        <v>19</v>
      </c>
      <c r="J1728" s="148" t="s">
        <v>20</v>
      </c>
      <c r="K1728" s="148" t="s">
        <v>21</v>
      </c>
      <c r="L1728" s="148" t="s">
        <v>22</v>
      </c>
      <c r="M1728" s="148" t="s">
        <v>23</v>
      </c>
      <c r="N1728" s="148" t="s">
        <v>24</v>
      </c>
      <c r="O1728" s="148" t="s">
        <v>25</v>
      </c>
      <c r="P1728" s="148" t="s">
        <v>26</v>
      </c>
      <c r="Q1728" s="148" t="s">
        <v>27</v>
      </c>
      <c r="R1728" s="342" t="s">
        <v>30</v>
      </c>
      <c r="S1728" s="343"/>
      <c r="T1728" s="343"/>
      <c r="U1728" s="343"/>
      <c r="V1728" s="343"/>
      <c r="W1728" s="343"/>
      <c r="X1728" s="343"/>
      <c r="Y1728" s="343"/>
      <c r="Z1728" s="343"/>
      <c r="AA1728" s="343"/>
      <c r="AB1728" s="343"/>
      <c r="AC1728" s="343"/>
      <c r="AD1728" s="343"/>
      <c r="AE1728" s="343"/>
      <c r="AF1728" s="344"/>
      <c r="AG1728" s="67" t="s">
        <v>28</v>
      </c>
      <c r="AH1728" s="149" t="s">
        <v>29</v>
      </c>
      <c r="AI1728" s="6"/>
    </row>
    <row r="1729" spans="1:35" ht="15.75" thickBot="1" x14ac:dyDescent="0.3">
      <c r="A1729" s="3"/>
      <c r="B1729" s="5"/>
      <c r="C1729" s="150">
        <v>0</v>
      </c>
      <c r="D1729" s="151">
        <v>0</v>
      </c>
      <c r="E1729" s="151">
        <v>0</v>
      </c>
      <c r="F1729" s="151">
        <v>0</v>
      </c>
      <c r="G1729" s="151">
        <v>0</v>
      </c>
      <c r="H1729" s="151">
        <v>0</v>
      </c>
      <c r="I1729" s="151">
        <v>0</v>
      </c>
      <c r="J1729" s="151">
        <v>0</v>
      </c>
      <c r="K1729" s="151">
        <v>0</v>
      </c>
      <c r="L1729" s="151">
        <v>0</v>
      </c>
      <c r="M1729" s="151">
        <v>0</v>
      </c>
      <c r="N1729" s="151">
        <v>0</v>
      </c>
      <c r="O1729" s="151">
        <v>1</v>
      </c>
      <c r="P1729" s="151">
        <v>0</v>
      </c>
      <c r="Q1729" s="151">
        <v>0</v>
      </c>
      <c r="R1729" s="151">
        <v>0</v>
      </c>
      <c r="S1729" s="151">
        <v>0</v>
      </c>
      <c r="T1729" s="151">
        <v>0</v>
      </c>
      <c r="U1729" s="151">
        <v>0</v>
      </c>
      <c r="V1729" s="151">
        <v>0</v>
      </c>
      <c r="W1729" s="151">
        <v>0</v>
      </c>
      <c r="X1729" s="151">
        <v>1</v>
      </c>
      <c r="Y1729" s="151">
        <v>1</v>
      </c>
      <c r="Z1729" s="151">
        <v>0</v>
      </c>
      <c r="AA1729" s="151">
        <v>1</v>
      </c>
      <c r="AB1729" s="151">
        <v>1</v>
      </c>
      <c r="AC1729" s="151">
        <v>0</v>
      </c>
      <c r="AD1729" s="151">
        <v>0</v>
      </c>
      <c r="AE1729" s="151">
        <v>0</v>
      </c>
      <c r="AF1729" s="151">
        <v>1</v>
      </c>
      <c r="AG1729" s="151">
        <v>0</v>
      </c>
      <c r="AH1729" s="152">
        <v>0</v>
      </c>
      <c r="AI1729" s="6"/>
    </row>
    <row r="1730" spans="1:35" x14ac:dyDescent="0.25">
      <c r="A1730" s="3"/>
      <c r="B1730" s="4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5"/>
      <c r="AH1730" s="5"/>
      <c r="AI1730" s="6"/>
    </row>
    <row r="1731" spans="1:35" x14ac:dyDescent="0.25">
      <c r="A1731" s="3"/>
      <c r="B1731" s="8" t="s">
        <v>43</v>
      </c>
      <c r="C1731" s="9"/>
      <c r="D1731" s="9"/>
      <c r="E1731" s="9"/>
      <c r="F1731" s="225" t="s">
        <v>44</v>
      </c>
      <c r="G1731" s="225"/>
      <c r="H1731" s="225"/>
      <c r="I1731" s="9"/>
      <c r="J1731" s="226" t="s">
        <v>45</v>
      </c>
      <c r="K1731" s="226"/>
      <c r="L1731" s="226"/>
      <c r="M1731" s="226"/>
      <c r="N1731" s="9"/>
      <c r="O1731" s="227" t="s">
        <v>46</v>
      </c>
      <c r="P1731" s="227"/>
      <c r="Q1731" s="227"/>
      <c r="R1731" s="227"/>
      <c r="S1731" s="9"/>
      <c r="T1731" s="1" t="s">
        <v>49</v>
      </c>
      <c r="U1731" s="10" t="s">
        <v>48</v>
      </c>
      <c r="V1731" s="5"/>
      <c r="W1731" s="9"/>
      <c r="X1731" s="9"/>
      <c r="Y1731" s="9"/>
      <c r="Z1731" s="9"/>
      <c r="AA1731" s="9"/>
      <c r="AB1731" s="9"/>
      <c r="AC1731" s="9"/>
      <c r="AD1731" s="9"/>
      <c r="AE1731" s="9"/>
      <c r="AF1731" s="9"/>
      <c r="AG1731" s="9"/>
      <c r="AH1731" s="9"/>
      <c r="AI1731" s="6"/>
    </row>
    <row r="1732" spans="1:35" ht="15" customHeight="1" x14ac:dyDescent="0.25">
      <c r="A1732" s="3"/>
      <c r="B1732" s="221" t="str">
        <f>"0x"&amp;DEC2HEX(Sheet3!$I$4,8)</f>
        <v>0x00400320</v>
      </c>
      <c r="C1732" s="221"/>
      <c r="D1732" s="221"/>
      <c r="E1732" s="12"/>
      <c r="F1732" s="319" t="str">
        <f>"0x"&amp;BIN2HEX(CONCATENATE(C1725,D1725,E1725,F1725,G1725,H1725,I1725,J1725),2)&amp;BIN2HEX(CONCATENATE(K1725,L1725,M1725,N1725,O1725,P1725,Q1725,R1725),2)&amp;BIN2HEX(CONCATENATE(S1725,T1725,U1725,V1725,W1725,X1725,Y1725,Z1725),2)&amp;BIN2HEX(CONCATENATE(AA1725,AB1725,AC1725,AD1725,AE1725,AF1725,AG1725,AH1725),2)</f>
        <v>0x00000000</v>
      </c>
      <c r="G1732" s="319"/>
      <c r="H1732" s="319"/>
      <c r="I1732" s="12"/>
      <c r="J1732" s="319" t="str">
        <f>"0b"&amp;C1729&amp;D1729&amp;E1729&amp;F1729&amp;G1729&amp;H1729&amp;I1729&amp;J1729&amp;K1729&amp;L1729&amp;M1729&amp;N1729&amp;O1729&amp;P1729&amp;Q1729</f>
        <v>0b000000000000100</v>
      </c>
      <c r="K1732" s="319"/>
      <c r="L1732" s="319"/>
      <c r="M1732" s="319"/>
      <c r="N1732" s="12"/>
      <c r="O1732" s="319" t="str">
        <f>"0b"&amp;DEC2BIN(((AF1729+AE1729*2+AD1729*4+AC1729*8+AB1729*16+AA1729*32+Z1729*64+Y1729*128+X1729*256+W1729*512+V1729*1024+U1729*2048+T1729*4096+S1729*2^13+R1729*2^14)/512),6)&amp;DEC2BIN(MOD((AF1729+AE1729*2+AD1729*4+AC1729*8+AB1729*16+AA1729*32+Z1729*64+Y1729*128+X1729*256+W1729*512+V1729*1024+U1729*2048+T1729*4096+S1729*2^13+R1729*2^14),512),9)</f>
        <v>0b000000110110001</v>
      </c>
      <c r="P1732" s="319"/>
      <c r="Q1732" s="319"/>
      <c r="R1732" s="319"/>
      <c r="S1732" s="12"/>
      <c r="T1732" s="224">
        <v>0</v>
      </c>
      <c r="U1732" s="224">
        <f>AH1729</f>
        <v>0</v>
      </c>
      <c r="V1732" s="5"/>
      <c r="W1732" s="14"/>
      <c r="X1732" s="14"/>
      <c r="Y1732" s="14"/>
      <c r="Z1732" s="14"/>
      <c r="AA1732" s="14"/>
      <c r="AB1732" s="14"/>
      <c r="AC1732" s="14"/>
      <c r="AD1732" s="14"/>
      <c r="AE1732" s="14"/>
      <c r="AF1732" s="14"/>
      <c r="AG1732" s="14"/>
      <c r="AH1732" s="14"/>
      <c r="AI1732" s="6"/>
    </row>
    <row r="1733" spans="1:35" x14ac:dyDescent="0.25">
      <c r="A1733" s="3"/>
      <c r="B1733" s="221"/>
      <c r="C1733" s="221"/>
      <c r="D1733" s="221"/>
      <c r="E1733" s="15"/>
      <c r="F1733" s="222"/>
      <c r="G1733" s="222"/>
      <c r="H1733" s="222"/>
      <c r="I1733" s="15"/>
      <c r="J1733" s="221"/>
      <c r="K1733" s="221"/>
      <c r="L1733" s="221"/>
      <c r="M1733" s="221"/>
      <c r="N1733" s="15"/>
      <c r="O1733" s="221"/>
      <c r="P1733" s="221"/>
      <c r="Q1733" s="221"/>
      <c r="R1733" s="221"/>
      <c r="S1733" s="15"/>
      <c r="T1733" s="224"/>
      <c r="U1733" s="15"/>
      <c r="V1733" s="5"/>
      <c r="W1733" s="16"/>
      <c r="X1733" s="16"/>
      <c r="Y1733" s="16"/>
      <c r="Z1733" s="16"/>
      <c r="AA1733" s="16"/>
      <c r="AB1733" s="16"/>
      <c r="AC1733" s="16"/>
      <c r="AD1733" s="16"/>
      <c r="AE1733" s="16"/>
      <c r="AF1733" s="16"/>
      <c r="AG1733" s="16"/>
      <c r="AH1733" s="16"/>
      <c r="AI1733" s="6"/>
    </row>
    <row r="1734" spans="1:35" x14ac:dyDescent="0.25">
      <c r="A1734" s="3"/>
      <c r="B1734" s="221"/>
      <c r="C1734" s="221"/>
      <c r="D1734" s="221"/>
      <c r="E1734" s="15"/>
      <c r="F1734" s="222"/>
      <c r="G1734" s="222"/>
      <c r="H1734" s="222"/>
      <c r="I1734" s="15"/>
      <c r="J1734" s="221"/>
      <c r="K1734" s="221"/>
      <c r="L1734" s="221"/>
      <c r="M1734" s="221"/>
      <c r="N1734" s="15"/>
      <c r="O1734" s="221"/>
      <c r="P1734" s="221"/>
      <c r="Q1734" s="221"/>
      <c r="R1734" s="221"/>
      <c r="S1734" s="15"/>
      <c r="T1734" s="224"/>
      <c r="U1734" s="15"/>
      <c r="V1734" s="5"/>
      <c r="W1734" s="16"/>
      <c r="X1734" s="16"/>
      <c r="Y1734" s="16"/>
      <c r="Z1734" s="16"/>
      <c r="AA1734" s="16"/>
      <c r="AB1734" s="16"/>
      <c r="AC1734" s="16"/>
      <c r="AD1734" s="16"/>
      <c r="AE1734" s="16"/>
      <c r="AF1734" s="16"/>
      <c r="AG1734" s="16"/>
      <c r="AH1734" s="16"/>
      <c r="AI1734" s="6"/>
    </row>
    <row r="1735" spans="1:35" x14ac:dyDescent="0.25">
      <c r="A1735" s="3"/>
      <c r="B1735" s="5"/>
      <c r="C1735" s="5"/>
      <c r="D1735" s="5"/>
      <c r="E1735" s="5"/>
      <c r="F1735" s="17"/>
      <c r="G1735" s="17"/>
      <c r="H1735" s="17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5"/>
      <c r="AH1735" s="5"/>
      <c r="AI1735" s="6"/>
    </row>
    <row r="1736" spans="1:35" x14ac:dyDescent="0.25">
      <c r="A1736" s="3"/>
      <c r="B1736" s="5" t="s">
        <v>47</v>
      </c>
      <c r="C1736" s="18"/>
      <c r="D1736" s="18"/>
      <c r="E1736" s="18"/>
      <c r="F1736" s="5"/>
      <c r="G1736" s="5"/>
      <c r="H1736" s="5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  <c r="AB1736" s="18"/>
      <c r="AC1736" s="18"/>
      <c r="AD1736" s="18"/>
      <c r="AE1736" s="18"/>
      <c r="AF1736" s="18"/>
      <c r="AG1736" s="18"/>
      <c r="AH1736" s="18"/>
      <c r="AI1736" s="6"/>
    </row>
    <row r="1737" spans="1:35" ht="15" customHeight="1" x14ac:dyDescent="0.25">
      <c r="A1737" s="3"/>
      <c r="B1737" s="221" t="str">
        <f>"0x"&amp;DEC2HEX(Sheet3!$I$4,8)</f>
        <v>0x00400320</v>
      </c>
      <c r="C1737" s="221"/>
      <c r="D1737" s="221"/>
      <c r="E1737" s="16"/>
      <c r="F1737" s="322" t="str">
        <f>F1732&amp;BIN2HEX(MID(J1732,3,8),2)&amp;BIN2HEX(RIGHT(J1732,7)&amp;MID(O1732,3,1),2)&amp;BIN2HEX(MID(O1732,4,8),2)&amp;BIN2HEX(RIGHT(O1732,6)&amp;T1732&amp;U1732,2)</f>
        <v>0x00000000000806C4</v>
      </c>
      <c r="G1737" s="322"/>
      <c r="H1737" s="322"/>
      <c r="I1737" s="322"/>
      <c r="J1737" s="5"/>
      <c r="K1737" s="5"/>
      <c r="L1737" s="5"/>
      <c r="M1737" s="5"/>
      <c r="N1737" s="5"/>
      <c r="O1737" s="5"/>
      <c r="P1737" s="16"/>
      <c r="Q1737" s="16"/>
      <c r="R1737" s="19"/>
      <c r="S1737" s="19"/>
      <c r="T1737" s="19"/>
      <c r="U1737" s="19"/>
      <c r="V1737" s="19"/>
      <c r="W1737" s="19"/>
      <c r="X1737" s="19"/>
      <c r="Y1737" s="19"/>
      <c r="Z1737" s="19"/>
      <c r="AA1737" s="19"/>
      <c r="AB1737" s="19"/>
      <c r="AC1737" s="19"/>
      <c r="AD1737" s="19"/>
      <c r="AE1737" s="19"/>
      <c r="AF1737" s="19"/>
      <c r="AG1737" s="5"/>
      <c r="AH1737" s="5"/>
      <c r="AI1737" s="6"/>
    </row>
    <row r="1738" spans="1:35" x14ac:dyDescent="0.25">
      <c r="A1738" s="3"/>
      <c r="B1738" s="221"/>
      <c r="C1738" s="221"/>
      <c r="D1738" s="221"/>
      <c r="E1738" s="5"/>
      <c r="F1738" s="223"/>
      <c r="G1738" s="223"/>
      <c r="H1738" s="223"/>
      <c r="I1738" s="223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5"/>
      <c r="AH1738" s="5"/>
      <c r="AI1738" s="6"/>
    </row>
    <row r="1739" spans="1:35" x14ac:dyDescent="0.25">
      <c r="A1739" s="3"/>
      <c r="B1739" s="221"/>
      <c r="C1739" s="221"/>
      <c r="D1739" s="221"/>
      <c r="E1739" s="5"/>
      <c r="F1739" s="223"/>
      <c r="G1739" s="223"/>
      <c r="H1739" s="223"/>
      <c r="I1739" s="223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5"/>
      <c r="AH1739" s="5"/>
      <c r="AI1739" s="6"/>
    </row>
    <row r="1740" spans="1:35" x14ac:dyDescent="0.25">
      <c r="A1740" s="20"/>
      <c r="B1740" s="21"/>
      <c r="C1740" s="21"/>
      <c r="D1740" s="21"/>
      <c r="E1740" s="21"/>
      <c r="F1740" s="21"/>
      <c r="G1740" s="21"/>
      <c r="H1740" s="21"/>
      <c r="I1740" s="21"/>
      <c r="J1740" s="21"/>
      <c r="K1740" s="21"/>
      <c r="L1740" s="21"/>
      <c r="M1740" s="21"/>
      <c r="N1740" s="21"/>
      <c r="O1740" s="22"/>
      <c r="P1740" s="21"/>
      <c r="Q1740" s="21"/>
      <c r="R1740" s="21"/>
      <c r="S1740" s="21"/>
      <c r="T1740" s="21"/>
      <c r="U1740" s="21"/>
      <c r="V1740" s="21"/>
      <c r="W1740" s="21"/>
      <c r="X1740" s="21"/>
      <c r="Y1740" s="21"/>
      <c r="Z1740" s="21"/>
      <c r="AA1740" s="21"/>
      <c r="AB1740" s="21"/>
      <c r="AC1740" s="21"/>
      <c r="AD1740" s="21"/>
      <c r="AE1740" s="21"/>
      <c r="AF1740" s="21"/>
      <c r="AG1740" s="21"/>
      <c r="AH1740" s="21"/>
      <c r="AI1740" s="23"/>
    </row>
    <row r="1741" spans="1:35" x14ac:dyDescent="0.25">
      <c r="A1741" s="24"/>
      <c r="B1741" s="28"/>
      <c r="C1741" s="25"/>
      <c r="D1741" s="25"/>
      <c r="E1741" s="25"/>
      <c r="F1741" s="25"/>
      <c r="G1741" s="25"/>
      <c r="H1741" s="25"/>
      <c r="I1741" s="25"/>
      <c r="J1741" s="25"/>
      <c r="K1741" s="25"/>
      <c r="L1741" s="25"/>
      <c r="M1741" s="25"/>
      <c r="N1741" s="25"/>
      <c r="O1741" s="25"/>
      <c r="P1741" s="25"/>
      <c r="Q1741" s="25"/>
      <c r="R1741" s="25"/>
      <c r="S1741" s="25"/>
      <c r="T1741" s="25"/>
      <c r="U1741" s="25"/>
      <c r="V1741" s="25"/>
      <c r="W1741" s="25"/>
      <c r="X1741" s="25"/>
      <c r="Y1741" s="25"/>
      <c r="Z1741" s="25"/>
      <c r="AA1741" s="25"/>
      <c r="AB1741" s="25"/>
      <c r="AC1741" s="25"/>
      <c r="AD1741" s="25"/>
      <c r="AE1741" s="25"/>
      <c r="AF1741" s="25"/>
      <c r="AG1741" s="25"/>
      <c r="AH1741" s="25"/>
      <c r="AI1741" s="26"/>
    </row>
    <row r="1742" spans="1:35" x14ac:dyDescent="0.25">
      <c r="A1742" s="3"/>
      <c r="B1742" s="4" t="s">
        <v>345</v>
      </c>
      <c r="C1742" s="5"/>
      <c r="D1742" s="5"/>
      <c r="E1742" s="5"/>
      <c r="F1742" s="5"/>
      <c r="G1742" s="5"/>
      <c r="H1742" s="5"/>
      <c r="I1742" s="5" t="str">
        <f>"0x"&amp;BIN2HEX(CONCATENATE(C1747,D1747,E1747,F1747,G1747,H1747,I1747,J1747),2)&amp;BIN2HEX(CONCATENATE(K1747,L1747,M1747,N1747,O1747,P1747,Q1747,R1747),2)&amp;BIN2HEX(CONCATENATE(S1747,T1747,U1747,V1747,W1747,X1747,Y1747,Z1747),2)&amp;BIN2HEX(CONCATENATE(AA1747,AB1747,AC1747,AD1747,AE1747,AF1747,AG1747,AH1747),2)&amp;"_"&amp;BIN2HEX(CONCATENATE(C1751,D1751,E1751,F1751,G1751,H1751,I1751,J1751),2)&amp;BIN2HEX(CONCATENATE(K1751,L1751,M1751,N1751,O1751,P1751,Q1751,R1751),2)&amp;BIN2HEX(CONCATENATE(S1751,T1751,U1751,V1751,W1751,X1751,Y1751,Z1751),2)&amp;BIN2HEX(CONCATENATE(AA1751,AB1751,AC1751,AD1751,AE1751,AF1751,AG1751,AH1751),2)</f>
        <v>0x00000000_000806C8</v>
      </c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5"/>
      <c r="AH1742" s="5"/>
      <c r="AI1742" s="6"/>
    </row>
    <row r="1743" spans="1:35" ht="15.75" thickBot="1" x14ac:dyDescent="0.3">
      <c r="A1743" s="3"/>
      <c r="B1743" s="5"/>
      <c r="C1743" s="7">
        <v>0</v>
      </c>
      <c r="D1743" s="7">
        <v>1</v>
      </c>
      <c r="E1743" s="7">
        <v>2</v>
      </c>
      <c r="F1743" s="7">
        <v>3</v>
      </c>
      <c r="G1743" s="7">
        <v>4</v>
      </c>
      <c r="H1743" s="7">
        <v>5</v>
      </c>
      <c r="I1743" s="7">
        <v>6</v>
      </c>
      <c r="J1743" s="7">
        <v>7</v>
      </c>
      <c r="K1743" s="7">
        <v>8</v>
      </c>
      <c r="L1743" s="7">
        <v>9</v>
      </c>
      <c r="M1743" s="7">
        <v>10</v>
      </c>
      <c r="N1743" s="7">
        <v>11</v>
      </c>
      <c r="O1743" s="7">
        <v>12</v>
      </c>
      <c r="P1743" s="7">
        <v>13</v>
      </c>
      <c r="Q1743" s="7">
        <v>14</v>
      </c>
      <c r="R1743" s="7">
        <v>15</v>
      </c>
      <c r="S1743" s="7">
        <v>16</v>
      </c>
      <c r="T1743" s="7">
        <v>17</v>
      </c>
      <c r="U1743" s="7">
        <v>18</v>
      </c>
      <c r="V1743" s="7">
        <v>19</v>
      </c>
      <c r="W1743" s="7">
        <v>20</v>
      </c>
      <c r="X1743" s="7">
        <v>21</v>
      </c>
      <c r="Y1743" s="7">
        <v>22</v>
      </c>
      <c r="Z1743" s="7">
        <v>23</v>
      </c>
      <c r="AA1743" s="7">
        <v>24</v>
      </c>
      <c r="AB1743" s="7">
        <v>25</v>
      </c>
      <c r="AC1743" s="7">
        <v>26</v>
      </c>
      <c r="AD1743" s="7">
        <v>27</v>
      </c>
      <c r="AE1743" s="7">
        <v>28</v>
      </c>
      <c r="AF1743" s="7">
        <v>29</v>
      </c>
      <c r="AG1743" s="7">
        <v>30</v>
      </c>
      <c r="AH1743" s="7">
        <v>31</v>
      </c>
      <c r="AI1743" s="6"/>
    </row>
    <row r="1744" spans="1:35" x14ac:dyDescent="0.25">
      <c r="A1744" s="3"/>
      <c r="B1744" s="5" t="s">
        <v>31</v>
      </c>
      <c r="C1744" s="328" t="s">
        <v>161</v>
      </c>
      <c r="D1744" s="330" t="s">
        <v>63</v>
      </c>
      <c r="E1744" s="331"/>
      <c r="F1744" s="331"/>
      <c r="G1744" s="331"/>
      <c r="H1744" s="331"/>
      <c r="I1744" s="331"/>
      <c r="J1744" s="332"/>
      <c r="K1744" s="336">
        <v>0</v>
      </c>
      <c r="L1744" s="337"/>
      <c r="M1744" s="337"/>
      <c r="N1744" s="337"/>
      <c r="O1744" s="337"/>
      <c r="P1744" s="337"/>
      <c r="Q1744" s="337"/>
      <c r="R1744" s="337"/>
      <c r="S1744" s="337"/>
      <c r="T1744" s="337"/>
      <c r="U1744" s="337"/>
      <c r="V1744" s="337"/>
      <c r="W1744" s="337"/>
      <c r="X1744" s="337"/>
      <c r="Y1744" s="337"/>
      <c r="Z1744" s="337"/>
      <c r="AA1744" s="337"/>
      <c r="AB1744" s="337"/>
      <c r="AC1744" s="337"/>
      <c r="AD1744" s="337"/>
      <c r="AE1744" s="337"/>
      <c r="AF1744" s="337"/>
      <c r="AG1744" s="337"/>
      <c r="AH1744" s="338"/>
      <c r="AI1744" s="6"/>
    </row>
    <row r="1745" spans="1:35" x14ac:dyDescent="0.25">
      <c r="A1745" s="3"/>
      <c r="B1745" s="5" t="s">
        <v>32</v>
      </c>
      <c r="C1745" s="329"/>
      <c r="D1745" s="333"/>
      <c r="E1745" s="334"/>
      <c r="F1745" s="334"/>
      <c r="G1745" s="334"/>
      <c r="H1745" s="334"/>
      <c r="I1745" s="334"/>
      <c r="J1745" s="335"/>
      <c r="K1745" s="339"/>
      <c r="L1745" s="340"/>
      <c r="M1745" s="340"/>
      <c r="N1745" s="340"/>
      <c r="O1745" s="340"/>
      <c r="P1745" s="340"/>
      <c r="Q1745" s="340"/>
      <c r="R1745" s="340"/>
      <c r="S1745" s="340"/>
      <c r="T1745" s="340"/>
      <c r="U1745" s="340"/>
      <c r="V1745" s="340"/>
      <c r="W1745" s="340"/>
      <c r="X1745" s="340"/>
      <c r="Y1745" s="340"/>
      <c r="Z1745" s="340"/>
      <c r="AA1745" s="340"/>
      <c r="AB1745" s="340"/>
      <c r="AC1745" s="340"/>
      <c r="AD1745" s="340"/>
      <c r="AE1745" s="340"/>
      <c r="AF1745" s="340"/>
      <c r="AG1745" s="340"/>
      <c r="AH1745" s="341"/>
      <c r="AI1745" s="6"/>
    </row>
    <row r="1746" spans="1:35" x14ac:dyDescent="0.25">
      <c r="A1746" s="3"/>
      <c r="B1746" s="5" t="s">
        <v>11</v>
      </c>
      <c r="C1746" s="56">
        <v>0</v>
      </c>
      <c r="D1746" s="57">
        <v>0</v>
      </c>
      <c r="E1746" s="57">
        <v>0</v>
      </c>
      <c r="F1746" s="57">
        <v>0</v>
      </c>
      <c r="G1746" s="57">
        <v>0</v>
      </c>
      <c r="H1746" s="57">
        <v>0</v>
      </c>
      <c r="I1746" s="57">
        <v>0</v>
      </c>
      <c r="J1746" s="57">
        <v>0</v>
      </c>
      <c r="K1746" s="57">
        <v>0</v>
      </c>
      <c r="L1746" s="57">
        <v>0</v>
      </c>
      <c r="M1746" s="57">
        <v>0</v>
      </c>
      <c r="N1746" s="57">
        <v>0</v>
      </c>
      <c r="O1746" s="57">
        <v>0</v>
      </c>
      <c r="P1746" s="57">
        <v>0</v>
      </c>
      <c r="Q1746" s="57">
        <v>0</v>
      </c>
      <c r="R1746" s="57">
        <v>0</v>
      </c>
      <c r="S1746" s="57">
        <v>0</v>
      </c>
      <c r="T1746" s="57">
        <v>0</v>
      </c>
      <c r="U1746" s="57">
        <v>0</v>
      </c>
      <c r="V1746" s="57">
        <v>0</v>
      </c>
      <c r="W1746" s="57">
        <v>0</v>
      </c>
      <c r="X1746" s="57">
        <v>0</v>
      </c>
      <c r="Y1746" s="57">
        <v>0</v>
      </c>
      <c r="Z1746" s="57">
        <v>0</v>
      </c>
      <c r="AA1746" s="57">
        <v>0</v>
      </c>
      <c r="AB1746" s="57">
        <v>0</v>
      </c>
      <c r="AC1746" s="57">
        <v>0</v>
      </c>
      <c r="AD1746" s="57">
        <v>0</v>
      </c>
      <c r="AE1746" s="57">
        <v>0</v>
      </c>
      <c r="AF1746" s="57">
        <v>0</v>
      </c>
      <c r="AG1746" s="57">
        <v>0</v>
      </c>
      <c r="AH1746" s="58">
        <v>0</v>
      </c>
      <c r="AI1746" s="6"/>
    </row>
    <row r="1747" spans="1:35" ht="15.75" thickBot="1" x14ac:dyDescent="0.3">
      <c r="A1747" s="3"/>
      <c r="B1747" s="5" t="s">
        <v>12</v>
      </c>
      <c r="C1747" s="145">
        <v>0</v>
      </c>
      <c r="D1747" s="88">
        <v>0</v>
      </c>
      <c r="E1747" s="88">
        <v>0</v>
      </c>
      <c r="F1747" s="88">
        <v>0</v>
      </c>
      <c r="G1747" s="88">
        <v>0</v>
      </c>
      <c r="H1747" s="88">
        <v>0</v>
      </c>
      <c r="I1747" s="88">
        <v>0</v>
      </c>
      <c r="J1747" s="88">
        <v>0</v>
      </c>
      <c r="K1747" s="62">
        <v>0</v>
      </c>
      <c r="L1747" s="62">
        <v>0</v>
      </c>
      <c r="M1747" s="62">
        <v>0</v>
      </c>
      <c r="N1747" s="62">
        <v>0</v>
      </c>
      <c r="O1747" s="62">
        <v>0</v>
      </c>
      <c r="P1747" s="62">
        <v>0</v>
      </c>
      <c r="Q1747" s="62">
        <v>0</v>
      </c>
      <c r="R1747" s="62">
        <v>0</v>
      </c>
      <c r="S1747" s="62">
        <v>0</v>
      </c>
      <c r="T1747" s="62">
        <v>0</v>
      </c>
      <c r="U1747" s="62">
        <v>0</v>
      </c>
      <c r="V1747" s="62">
        <v>0</v>
      </c>
      <c r="W1747" s="62">
        <v>0</v>
      </c>
      <c r="X1747" s="62">
        <v>0</v>
      </c>
      <c r="Y1747" s="62">
        <v>0</v>
      </c>
      <c r="Z1747" s="62">
        <v>0</v>
      </c>
      <c r="AA1747" s="62">
        <v>0</v>
      </c>
      <c r="AB1747" s="62">
        <v>0</v>
      </c>
      <c r="AC1747" s="62">
        <v>0</v>
      </c>
      <c r="AD1747" s="62">
        <v>0</v>
      </c>
      <c r="AE1747" s="62">
        <v>0</v>
      </c>
      <c r="AF1747" s="62">
        <v>0</v>
      </c>
      <c r="AG1747" s="62">
        <v>0</v>
      </c>
      <c r="AH1747" s="146">
        <v>0</v>
      </c>
      <c r="AI1747" s="6"/>
    </row>
    <row r="1748" spans="1:35" x14ac:dyDescent="0.25">
      <c r="A1748" s="3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5"/>
      <c r="AH1748" s="5"/>
      <c r="AI1748" s="6"/>
    </row>
    <row r="1749" spans="1:35" ht="15.75" thickBot="1" x14ac:dyDescent="0.3">
      <c r="A1749" s="3"/>
      <c r="B1749" s="5"/>
      <c r="C1749" s="7">
        <v>32</v>
      </c>
      <c r="D1749" s="7">
        <v>33</v>
      </c>
      <c r="E1749" s="7">
        <v>34</v>
      </c>
      <c r="F1749" s="7">
        <v>35</v>
      </c>
      <c r="G1749" s="7">
        <v>36</v>
      </c>
      <c r="H1749" s="7">
        <v>37</v>
      </c>
      <c r="I1749" s="7">
        <v>38</v>
      </c>
      <c r="J1749" s="7">
        <v>39</v>
      </c>
      <c r="K1749" s="7">
        <v>40</v>
      </c>
      <c r="L1749" s="7">
        <v>41</v>
      </c>
      <c r="M1749" s="7">
        <v>42</v>
      </c>
      <c r="N1749" s="7">
        <v>43</v>
      </c>
      <c r="O1749" s="7">
        <v>44</v>
      </c>
      <c r="P1749" s="7">
        <v>45</v>
      </c>
      <c r="Q1749" s="7">
        <v>46</v>
      </c>
      <c r="R1749" s="7">
        <v>47</v>
      </c>
      <c r="S1749" s="7">
        <v>48</v>
      </c>
      <c r="T1749" s="7">
        <v>49</v>
      </c>
      <c r="U1749" s="7">
        <v>50</v>
      </c>
      <c r="V1749" s="7">
        <v>51</v>
      </c>
      <c r="W1749" s="7">
        <v>52</v>
      </c>
      <c r="X1749" s="7">
        <v>53</v>
      </c>
      <c r="Y1749" s="7">
        <v>54</v>
      </c>
      <c r="Z1749" s="7">
        <v>55</v>
      </c>
      <c r="AA1749" s="7">
        <v>56</v>
      </c>
      <c r="AB1749" s="7">
        <v>57</v>
      </c>
      <c r="AC1749" s="7">
        <v>58</v>
      </c>
      <c r="AD1749" s="7">
        <v>59</v>
      </c>
      <c r="AE1749" s="7">
        <v>60</v>
      </c>
      <c r="AF1749" s="7">
        <v>61</v>
      </c>
      <c r="AG1749" s="7">
        <v>62</v>
      </c>
      <c r="AH1749" s="7">
        <v>63</v>
      </c>
      <c r="AI1749" s="6"/>
    </row>
    <row r="1750" spans="1:35" ht="15.75" thickBot="1" x14ac:dyDescent="0.3">
      <c r="A1750" s="3"/>
      <c r="B1750" s="5"/>
      <c r="C1750" s="147" t="s">
        <v>13</v>
      </c>
      <c r="D1750" s="148" t="s">
        <v>14</v>
      </c>
      <c r="E1750" s="148" t="s">
        <v>15</v>
      </c>
      <c r="F1750" s="148" t="s">
        <v>16</v>
      </c>
      <c r="G1750" s="148" t="s">
        <v>17</v>
      </c>
      <c r="H1750" s="148" t="s">
        <v>18</v>
      </c>
      <c r="I1750" s="148" t="s">
        <v>19</v>
      </c>
      <c r="J1750" s="148" t="s">
        <v>20</v>
      </c>
      <c r="K1750" s="148" t="s">
        <v>21</v>
      </c>
      <c r="L1750" s="148" t="s">
        <v>22</v>
      </c>
      <c r="M1750" s="148" t="s">
        <v>23</v>
      </c>
      <c r="N1750" s="148" t="s">
        <v>24</v>
      </c>
      <c r="O1750" s="148" t="s">
        <v>25</v>
      </c>
      <c r="P1750" s="148" t="s">
        <v>26</v>
      </c>
      <c r="Q1750" s="148" t="s">
        <v>27</v>
      </c>
      <c r="R1750" s="342" t="s">
        <v>30</v>
      </c>
      <c r="S1750" s="343"/>
      <c r="T1750" s="343"/>
      <c r="U1750" s="343"/>
      <c r="V1750" s="343"/>
      <c r="W1750" s="343"/>
      <c r="X1750" s="343"/>
      <c r="Y1750" s="343"/>
      <c r="Z1750" s="343"/>
      <c r="AA1750" s="343"/>
      <c r="AB1750" s="343"/>
      <c r="AC1750" s="343"/>
      <c r="AD1750" s="343"/>
      <c r="AE1750" s="343"/>
      <c r="AF1750" s="344"/>
      <c r="AG1750" s="67" t="s">
        <v>28</v>
      </c>
      <c r="AH1750" s="149" t="s">
        <v>29</v>
      </c>
      <c r="AI1750" s="6"/>
    </row>
    <row r="1751" spans="1:35" ht="15.75" thickBot="1" x14ac:dyDescent="0.3">
      <c r="A1751" s="3"/>
      <c r="B1751" s="5"/>
      <c r="C1751" s="150">
        <v>0</v>
      </c>
      <c r="D1751" s="151">
        <v>0</v>
      </c>
      <c r="E1751" s="151">
        <v>0</v>
      </c>
      <c r="F1751" s="151">
        <v>0</v>
      </c>
      <c r="G1751" s="151">
        <v>0</v>
      </c>
      <c r="H1751" s="151">
        <v>0</v>
      </c>
      <c r="I1751" s="151">
        <v>0</v>
      </c>
      <c r="J1751" s="151">
        <v>0</v>
      </c>
      <c r="K1751" s="151">
        <v>0</v>
      </c>
      <c r="L1751" s="151">
        <v>0</v>
      </c>
      <c r="M1751" s="151">
        <v>0</v>
      </c>
      <c r="N1751" s="151">
        <v>0</v>
      </c>
      <c r="O1751" s="151">
        <v>1</v>
      </c>
      <c r="P1751" s="151">
        <v>0</v>
      </c>
      <c r="Q1751" s="151">
        <v>0</v>
      </c>
      <c r="R1751" s="151">
        <v>0</v>
      </c>
      <c r="S1751" s="151">
        <v>0</v>
      </c>
      <c r="T1751" s="151">
        <v>0</v>
      </c>
      <c r="U1751" s="151">
        <v>0</v>
      </c>
      <c r="V1751" s="151">
        <v>0</v>
      </c>
      <c r="W1751" s="151">
        <v>0</v>
      </c>
      <c r="X1751" s="151">
        <v>1</v>
      </c>
      <c r="Y1751" s="151">
        <v>1</v>
      </c>
      <c r="Z1751" s="151">
        <v>0</v>
      </c>
      <c r="AA1751" s="151">
        <v>1</v>
      </c>
      <c r="AB1751" s="151">
        <v>1</v>
      </c>
      <c r="AC1751" s="151">
        <v>0</v>
      </c>
      <c r="AD1751" s="151">
        <v>0</v>
      </c>
      <c r="AE1751" s="151">
        <v>1</v>
      </c>
      <c r="AF1751" s="151">
        <v>0</v>
      </c>
      <c r="AG1751" s="151">
        <v>0</v>
      </c>
      <c r="AH1751" s="152">
        <v>0</v>
      </c>
      <c r="AI1751" s="6"/>
    </row>
    <row r="1752" spans="1:35" x14ac:dyDescent="0.25">
      <c r="A1752" s="3"/>
      <c r="B1752" s="4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5"/>
      <c r="AH1752" s="5"/>
      <c r="AI1752" s="6"/>
    </row>
    <row r="1753" spans="1:35" x14ac:dyDescent="0.25">
      <c r="A1753" s="3"/>
      <c r="B1753" s="8" t="s">
        <v>43</v>
      </c>
      <c r="C1753" s="9"/>
      <c r="D1753" s="9"/>
      <c r="E1753" s="9"/>
      <c r="F1753" s="225" t="s">
        <v>44</v>
      </c>
      <c r="G1753" s="225"/>
      <c r="H1753" s="225"/>
      <c r="I1753" s="9"/>
      <c r="J1753" s="226" t="s">
        <v>45</v>
      </c>
      <c r="K1753" s="226"/>
      <c r="L1753" s="226"/>
      <c r="M1753" s="226"/>
      <c r="N1753" s="9"/>
      <c r="O1753" s="227" t="s">
        <v>46</v>
      </c>
      <c r="P1753" s="227"/>
      <c r="Q1753" s="227"/>
      <c r="R1753" s="227"/>
      <c r="S1753" s="9"/>
      <c r="T1753" s="1" t="s">
        <v>49</v>
      </c>
      <c r="U1753" s="10" t="s">
        <v>48</v>
      </c>
      <c r="V1753" s="5"/>
      <c r="W1753" s="9"/>
      <c r="X1753" s="9"/>
      <c r="Y1753" s="9"/>
      <c r="Z1753" s="9"/>
      <c r="AA1753" s="9"/>
      <c r="AB1753" s="9"/>
      <c r="AC1753" s="9"/>
      <c r="AD1753" s="9"/>
      <c r="AE1753" s="9"/>
      <c r="AF1753" s="9"/>
      <c r="AG1753" s="9"/>
      <c r="AH1753" s="9"/>
      <c r="AI1753" s="6"/>
    </row>
    <row r="1754" spans="1:35" ht="15" customHeight="1" x14ac:dyDescent="0.25">
      <c r="A1754" s="3"/>
      <c r="B1754" s="221" t="str">
        <f>"0x"&amp;DEC2HEX(Sheet3!$I$4,8)</f>
        <v>0x00400320</v>
      </c>
      <c r="C1754" s="221"/>
      <c r="D1754" s="221"/>
      <c r="E1754" s="12"/>
      <c r="F1754" s="319" t="str">
        <f>"0x"&amp;BIN2HEX(CONCATENATE(C1747,D1747,E1747,F1747,G1747,H1747,I1747,J1747),2)&amp;BIN2HEX(CONCATENATE(K1747,L1747,M1747,N1747,O1747,P1747,Q1747,R1747),2)&amp;BIN2HEX(CONCATENATE(S1747,T1747,U1747,V1747,W1747,X1747,Y1747,Z1747),2)&amp;BIN2HEX(CONCATENATE(AA1747,AB1747,AC1747,AD1747,AE1747,AF1747,AG1747,AH1747),2)</f>
        <v>0x00000000</v>
      </c>
      <c r="G1754" s="319"/>
      <c r="H1754" s="319"/>
      <c r="I1754" s="12"/>
      <c r="J1754" s="319" t="str">
        <f>"0b"&amp;C1751&amp;D1751&amp;E1751&amp;F1751&amp;G1751&amp;H1751&amp;I1751&amp;J1751&amp;K1751&amp;L1751&amp;M1751&amp;N1751&amp;O1751&amp;P1751&amp;Q1751</f>
        <v>0b000000000000100</v>
      </c>
      <c r="K1754" s="319"/>
      <c r="L1754" s="319"/>
      <c r="M1754" s="319"/>
      <c r="N1754" s="12"/>
      <c r="O1754" s="319" t="str">
        <f>"0b"&amp;DEC2BIN(((AF1751+AE1751*2+AD1751*4+AC1751*8+AB1751*16+AA1751*32+Z1751*64+Y1751*128+X1751*256+W1751*512+V1751*1024+U1751*2048+T1751*4096+S1751*2^13+R1751*2^14)/512),6)&amp;DEC2BIN(MOD((AF1751+AE1751*2+AD1751*4+AC1751*8+AB1751*16+AA1751*32+Z1751*64+Y1751*128+X1751*256+W1751*512+V1751*1024+U1751*2048+T1751*4096+S1751*2^13+R1751*2^14),512),9)</f>
        <v>0b000000110110010</v>
      </c>
      <c r="P1754" s="319"/>
      <c r="Q1754" s="319"/>
      <c r="R1754" s="319"/>
      <c r="S1754" s="12"/>
      <c r="T1754" s="224">
        <v>0</v>
      </c>
      <c r="U1754" s="224">
        <f>AH1751</f>
        <v>0</v>
      </c>
      <c r="V1754" s="5"/>
      <c r="W1754" s="14"/>
      <c r="X1754" s="14"/>
      <c r="Y1754" s="14"/>
      <c r="Z1754" s="14"/>
      <c r="AA1754" s="14"/>
      <c r="AB1754" s="14"/>
      <c r="AC1754" s="14"/>
      <c r="AD1754" s="14"/>
      <c r="AE1754" s="14"/>
      <c r="AF1754" s="14"/>
      <c r="AG1754" s="14"/>
      <c r="AH1754" s="14"/>
      <c r="AI1754" s="6"/>
    </row>
    <row r="1755" spans="1:35" x14ac:dyDescent="0.25">
      <c r="A1755" s="3"/>
      <c r="B1755" s="221"/>
      <c r="C1755" s="221"/>
      <c r="D1755" s="221"/>
      <c r="E1755" s="15"/>
      <c r="F1755" s="222"/>
      <c r="G1755" s="222"/>
      <c r="H1755" s="222"/>
      <c r="I1755" s="15"/>
      <c r="J1755" s="221"/>
      <c r="K1755" s="221"/>
      <c r="L1755" s="221"/>
      <c r="M1755" s="221"/>
      <c r="N1755" s="15"/>
      <c r="O1755" s="221"/>
      <c r="P1755" s="221"/>
      <c r="Q1755" s="221"/>
      <c r="R1755" s="221"/>
      <c r="S1755" s="15"/>
      <c r="T1755" s="224"/>
      <c r="U1755" s="15"/>
      <c r="V1755" s="5"/>
      <c r="W1755" s="16"/>
      <c r="X1755" s="16"/>
      <c r="Y1755" s="16"/>
      <c r="Z1755" s="16"/>
      <c r="AA1755" s="16"/>
      <c r="AB1755" s="16"/>
      <c r="AC1755" s="16"/>
      <c r="AD1755" s="16"/>
      <c r="AE1755" s="16"/>
      <c r="AF1755" s="16"/>
      <c r="AG1755" s="16"/>
      <c r="AH1755" s="16"/>
      <c r="AI1755" s="6"/>
    </row>
    <row r="1756" spans="1:35" x14ac:dyDescent="0.25">
      <c r="A1756" s="3"/>
      <c r="B1756" s="221"/>
      <c r="C1756" s="221"/>
      <c r="D1756" s="221"/>
      <c r="E1756" s="15"/>
      <c r="F1756" s="222"/>
      <c r="G1756" s="222"/>
      <c r="H1756" s="222"/>
      <c r="I1756" s="15"/>
      <c r="J1756" s="221"/>
      <c r="K1756" s="221"/>
      <c r="L1756" s="221"/>
      <c r="M1756" s="221"/>
      <c r="N1756" s="15"/>
      <c r="O1756" s="221"/>
      <c r="P1756" s="221"/>
      <c r="Q1756" s="221"/>
      <c r="R1756" s="221"/>
      <c r="S1756" s="15"/>
      <c r="T1756" s="224"/>
      <c r="U1756" s="15"/>
      <c r="V1756" s="5"/>
      <c r="W1756" s="16"/>
      <c r="X1756" s="16"/>
      <c r="Y1756" s="16"/>
      <c r="Z1756" s="16"/>
      <c r="AA1756" s="16"/>
      <c r="AB1756" s="16"/>
      <c r="AC1756" s="16"/>
      <c r="AD1756" s="16"/>
      <c r="AE1756" s="16"/>
      <c r="AF1756" s="16"/>
      <c r="AG1756" s="16"/>
      <c r="AH1756" s="16"/>
      <c r="AI1756" s="6"/>
    </row>
    <row r="1757" spans="1:35" x14ac:dyDescent="0.25">
      <c r="A1757" s="3"/>
      <c r="B1757" s="5"/>
      <c r="C1757" s="5"/>
      <c r="D1757" s="5"/>
      <c r="E1757" s="5"/>
      <c r="F1757" s="17"/>
      <c r="G1757" s="17"/>
      <c r="H1757" s="17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5"/>
      <c r="AH1757" s="5"/>
      <c r="AI1757" s="6"/>
    </row>
    <row r="1758" spans="1:35" x14ac:dyDescent="0.25">
      <c r="A1758" s="3"/>
      <c r="B1758" s="5" t="s">
        <v>47</v>
      </c>
      <c r="C1758" s="18"/>
      <c r="D1758" s="18"/>
      <c r="E1758" s="18"/>
      <c r="F1758" s="5"/>
      <c r="G1758" s="5"/>
      <c r="H1758" s="5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  <c r="AB1758" s="18"/>
      <c r="AC1758" s="18"/>
      <c r="AD1758" s="18"/>
      <c r="AE1758" s="18"/>
      <c r="AF1758" s="18"/>
      <c r="AG1758" s="18"/>
      <c r="AH1758" s="18"/>
      <c r="AI1758" s="6"/>
    </row>
    <row r="1759" spans="1:35" ht="15" customHeight="1" x14ac:dyDescent="0.25">
      <c r="A1759" s="3"/>
      <c r="B1759" s="221" t="str">
        <f>"0x"&amp;DEC2HEX(Sheet3!$I$4,8)</f>
        <v>0x00400320</v>
      </c>
      <c r="C1759" s="221"/>
      <c r="D1759" s="221"/>
      <c r="E1759" s="16"/>
      <c r="F1759" s="322" t="str">
        <f>F1754&amp;BIN2HEX(MID(J1754,3,8),2)&amp;BIN2HEX(RIGHT(J1754,7)&amp;MID(O1754,3,1),2)&amp;BIN2HEX(MID(O1754,4,8),2)&amp;BIN2HEX(RIGHT(O1754,6)&amp;T1754&amp;U1754,2)</f>
        <v>0x00000000000806C8</v>
      </c>
      <c r="G1759" s="322"/>
      <c r="H1759" s="322"/>
      <c r="I1759" s="322"/>
      <c r="J1759" s="5"/>
      <c r="K1759" s="5"/>
      <c r="L1759" s="5"/>
      <c r="M1759" s="5"/>
      <c r="N1759" s="5"/>
      <c r="O1759" s="5"/>
      <c r="P1759" s="16"/>
      <c r="Q1759" s="16"/>
      <c r="R1759" s="19"/>
      <c r="S1759" s="19"/>
      <c r="T1759" s="19"/>
      <c r="U1759" s="19"/>
      <c r="V1759" s="19"/>
      <c r="W1759" s="19"/>
      <c r="X1759" s="19"/>
      <c r="Y1759" s="19"/>
      <c r="Z1759" s="19"/>
      <c r="AA1759" s="19"/>
      <c r="AB1759" s="19"/>
      <c r="AC1759" s="19"/>
      <c r="AD1759" s="19"/>
      <c r="AE1759" s="19"/>
      <c r="AF1759" s="19"/>
      <c r="AG1759" s="5"/>
      <c r="AH1759" s="5"/>
      <c r="AI1759" s="6"/>
    </row>
    <row r="1760" spans="1:35" x14ac:dyDescent="0.25">
      <c r="A1760" s="3"/>
      <c r="B1760" s="221"/>
      <c r="C1760" s="221"/>
      <c r="D1760" s="221"/>
      <c r="E1760" s="5"/>
      <c r="F1760" s="223"/>
      <c r="G1760" s="223"/>
      <c r="H1760" s="223"/>
      <c r="I1760" s="223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5"/>
      <c r="AH1760" s="5"/>
      <c r="AI1760" s="6"/>
    </row>
    <row r="1761" spans="1:35" x14ac:dyDescent="0.25">
      <c r="A1761" s="3"/>
      <c r="B1761" s="221"/>
      <c r="C1761" s="221"/>
      <c r="D1761" s="221"/>
      <c r="E1761" s="5"/>
      <c r="F1761" s="223"/>
      <c r="G1761" s="223"/>
      <c r="H1761" s="223"/>
      <c r="I1761" s="223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5"/>
      <c r="AH1761" s="5"/>
      <c r="AI1761" s="6"/>
    </row>
    <row r="1762" spans="1:35" x14ac:dyDescent="0.25">
      <c r="A1762" s="20"/>
      <c r="B1762" s="21"/>
      <c r="C1762" s="21"/>
      <c r="D1762" s="21"/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2"/>
      <c r="P1762" s="21"/>
      <c r="Q1762" s="21"/>
      <c r="R1762" s="21"/>
      <c r="S1762" s="21"/>
      <c r="T1762" s="21"/>
      <c r="U1762" s="21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  <c r="AF1762" s="21"/>
      <c r="AG1762" s="21"/>
      <c r="AH1762" s="21"/>
      <c r="AI1762" s="23"/>
    </row>
    <row r="1763" spans="1:35" x14ac:dyDescent="0.25">
      <c r="A1763" s="24"/>
      <c r="B1763" s="28"/>
      <c r="C1763" s="25"/>
      <c r="D1763" s="25"/>
      <c r="E1763" s="25"/>
      <c r="F1763" s="25"/>
      <c r="G1763" s="25"/>
      <c r="H1763" s="25"/>
      <c r="I1763" s="25"/>
      <c r="J1763" s="25"/>
      <c r="K1763" s="25"/>
      <c r="L1763" s="25"/>
      <c r="M1763" s="25"/>
      <c r="N1763" s="25"/>
      <c r="O1763" s="25"/>
      <c r="P1763" s="25"/>
      <c r="Q1763" s="25"/>
      <c r="R1763" s="25"/>
      <c r="S1763" s="25"/>
      <c r="T1763" s="25"/>
      <c r="U1763" s="25"/>
      <c r="V1763" s="25"/>
      <c r="W1763" s="25"/>
      <c r="X1763" s="25"/>
      <c r="Y1763" s="25"/>
      <c r="Z1763" s="25"/>
      <c r="AA1763" s="25"/>
      <c r="AB1763" s="25"/>
      <c r="AC1763" s="25"/>
      <c r="AD1763" s="25"/>
      <c r="AE1763" s="25"/>
      <c r="AF1763" s="25"/>
      <c r="AG1763" s="25"/>
      <c r="AH1763" s="25"/>
      <c r="AI1763" s="26"/>
    </row>
    <row r="1764" spans="1:35" x14ac:dyDescent="0.25">
      <c r="A1764" s="3"/>
      <c r="B1764" s="4" t="s">
        <v>346</v>
      </c>
      <c r="C1764" s="5"/>
      <c r="D1764" s="5"/>
      <c r="E1764" s="5"/>
      <c r="F1764" s="5"/>
      <c r="G1764" s="5"/>
      <c r="H1764" s="5"/>
      <c r="I1764" s="5" t="str">
        <f>"0x"&amp;BIN2HEX(CONCATENATE(C1769,D1769,E1769,F1769,G1769,H1769,I1769,J1769),2)&amp;BIN2HEX(CONCATENATE(K1769,L1769,M1769,N1769,O1769,P1769,Q1769,R1769),2)&amp;BIN2HEX(CONCATENATE(S1769,T1769,U1769,V1769,W1769,X1769,Y1769,Z1769),2)&amp;BIN2HEX(CONCATENATE(AA1769,AB1769,AC1769,AD1769,AE1769,AF1769,AG1769,AH1769),2)&amp;"_"&amp;BIN2HEX(CONCATENATE(C1773,D1773,E1773,F1773,G1773,H1773,I1773,J1773),2)&amp;BIN2HEX(CONCATENATE(K1773,L1773,M1773,N1773,O1773,P1773,Q1773,R1773),2)&amp;BIN2HEX(CONCATENATE(S1773,T1773,U1773,V1773,W1773,X1773,Y1773,Z1773),2)&amp;BIN2HEX(CONCATENATE(AA1773,AB1773,AC1773,AD1773,AE1773,AF1773,AG1773,AH1773),2)</f>
        <v>0x00000000_000806CC</v>
      </c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5"/>
      <c r="AH1764" s="5"/>
      <c r="AI1764" s="6"/>
    </row>
    <row r="1765" spans="1:35" ht="15.75" thickBot="1" x14ac:dyDescent="0.3">
      <c r="A1765" s="3"/>
      <c r="B1765" s="5"/>
      <c r="C1765" s="7">
        <v>0</v>
      </c>
      <c r="D1765" s="7">
        <v>1</v>
      </c>
      <c r="E1765" s="7">
        <v>2</v>
      </c>
      <c r="F1765" s="7">
        <v>3</v>
      </c>
      <c r="G1765" s="7">
        <v>4</v>
      </c>
      <c r="H1765" s="7">
        <v>5</v>
      </c>
      <c r="I1765" s="7">
        <v>6</v>
      </c>
      <c r="J1765" s="7">
        <v>7</v>
      </c>
      <c r="K1765" s="7">
        <v>8</v>
      </c>
      <c r="L1765" s="7">
        <v>9</v>
      </c>
      <c r="M1765" s="7">
        <v>10</v>
      </c>
      <c r="N1765" s="7">
        <v>11</v>
      </c>
      <c r="O1765" s="7">
        <v>12</v>
      </c>
      <c r="P1765" s="7">
        <v>13</v>
      </c>
      <c r="Q1765" s="7">
        <v>14</v>
      </c>
      <c r="R1765" s="7">
        <v>15</v>
      </c>
      <c r="S1765" s="7">
        <v>16</v>
      </c>
      <c r="T1765" s="7">
        <v>17</v>
      </c>
      <c r="U1765" s="7">
        <v>18</v>
      </c>
      <c r="V1765" s="7">
        <v>19</v>
      </c>
      <c r="W1765" s="7">
        <v>20</v>
      </c>
      <c r="X1765" s="7">
        <v>21</v>
      </c>
      <c r="Y1765" s="7">
        <v>22</v>
      </c>
      <c r="Z1765" s="7">
        <v>23</v>
      </c>
      <c r="AA1765" s="7">
        <v>24</v>
      </c>
      <c r="AB1765" s="7">
        <v>25</v>
      </c>
      <c r="AC1765" s="7">
        <v>26</v>
      </c>
      <c r="AD1765" s="7">
        <v>27</v>
      </c>
      <c r="AE1765" s="7">
        <v>28</v>
      </c>
      <c r="AF1765" s="7">
        <v>29</v>
      </c>
      <c r="AG1765" s="7">
        <v>30</v>
      </c>
      <c r="AH1765" s="7">
        <v>31</v>
      </c>
      <c r="AI1765" s="6"/>
    </row>
    <row r="1766" spans="1:35" x14ac:dyDescent="0.25">
      <c r="A1766" s="3"/>
      <c r="B1766" s="5" t="s">
        <v>31</v>
      </c>
      <c r="C1766" s="328" t="s">
        <v>161</v>
      </c>
      <c r="D1766" s="330" t="s">
        <v>63</v>
      </c>
      <c r="E1766" s="331"/>
      <c r="F1766" s="331"/>
      <c r="G1766" s="331"/>
      <c r="H1766" s="331"/>
      <c r="I1766" s="331"/>
      <c r="J1766" s="332"/>
      <c r="K1766" s="336">
        <v>0</v>
      </c>
      <c r="L1766" s="337"/>
      <c r="M1766" s="337"/>
      <c r="N1766" s="337"/>
      <c r="O1766" s="337"/>
      <c r="P1766" s="337"/>
      <c r="Q1766" s="337"/>
      <c r="R1766" s="337"/>
      <c r="S1766" s="337"/>
      <c r="T1766" s="337"/>
      <c r="U1766" s="337"/>
      <c r="V1766" s="337"/>
      <c r="W1766" s="337"/>
      <c r="X1766" s="337"/>
      <c r="Y1766" s="337"/>
      <c r="Z1766" s="337"/>
      <c r="AA1766" s="337"/>
      <c r="AB1766" s="337"/>
      <c r="AC1766" s="337"/>
      <c r="AD1766" s="337"/>
      <c r="AE1766" s="337"/>
      <c r="AF1766" s="337"/>
      <c r="AG1766" s="337"/>
      <c r="AH1766" s="338"/>
      <c r="AI1766" s="6"/>
    </row>
    <row r="1767" spans="1:35" x14ac:dyDescent="0.25">
      <c r="A1767" s="3"/>
      <c r="B1767" s="5" t="s">
        <v>32</v>
      </c>
      <c r="C1767" s="329"/>
      <c r="D1767" s="333"/>
      <c r="E1767" s="334"/>
      <c r="F1767" s="334"/>
      <c r="G1767" s="334"/>
      <c r="H1767" s="334"/>
      <c r="I1767" s="334"/>
      <c r="J1767" s="335"/>
      <c r="K1767" s="339"/>
      <c r="L1767" s="340"/>
      <c r="M1767" s="340"/>
      <c r="N1767" s="340"/>
      <c r="O1767" s="340"/>
      <c r="P1767" s="340"/>
      <c r="Q1767" s="340"/>
      <c r="R1767" s="340"/>
      <c r="S1767" s="340"/>
      <c r="T1767" s="340"/>
      <c r="U1767" s="340"/>
      <c r="V1767" s="340"/>
      <c r="W1767" s="340"/>
      <c r="X1767" s="340"/>
      <c r="Y1767" s="340"/>
      <c r="Z1767" s="340"/>
      <c r="AA1767" s="340"/>
      <c r="AB1767" s="340"/>
      <c r="AC1767" s="340"/>
      <c r="AD1767" s="340"/>
      <c r="AE1767" s="340"/>
      <c r="AF1767" s="340"/>
      <c r="AG1767" s="340"/>
      <c r="AH1767" s="341"/>
      <c r="AI1767" s="6"/>
    </row>
    <row r="1768" spans="1:35" x14ac:dyDescent="0.25">
      <c r="A1768" s="3"/>
      <c r="B1768" s="5" t="s">
        <v>11</v>
      </c>
      <c r="C1768" s="56">
        <v>0</v>
      </c>
      <c r="D1768" s="57">
        <v>0</v>
      </c>
      <c r="E1768" s="57">
        <v>0</v>
      </c>
      <c r="F1768" s="57">
        <v>0</v>
      </c>
      <c r="G1768" s="57">
        <v>0</v>
      </c>
      <c r="H1768" s="57">
        <v>0</v>
      </c>
      <c r="I1768" s="57">
        <v>0</v>
      </c>
      <c r="J1768" s="57">
        <v>0</v>
      </c>
      <c r="K1768" s="57">
        <v>0</v>
      </c>
      <c r="L1768" s="57">
        <v>0</v>
      </c>
      <c r="M1768" s="57">
        <v>0</v>
      </c>
      <c r="N1768" s="57">
        <v>0</v>
      </c>
      <c r="O1768" s="57">
        <v>0</v>
      </c>
      <c r="P1768" s="57">
        <v>0</v>
      </c>
      <c r="Q1768" s="57">
        <v>0</v>
      </c>
      <c r="R1768" s="57">
        <v>0</v>
      </c>
      <c r="S1768" s="57">
        <v>0</v>
      </c>
      <c r="T1768" s="57">
        <v>0</v>
      </c>
      <c r="U1768" s="57">
        <v>0</v>
      </c>
      <c r="V1768" s="57">
        <v>0</v>
      </c>
      <c r="W1768" s="57">
        <v>0</v>
      </c>
      <c r="X1768" s="57">
        <v>0</v>
      </c>
      <c r="Y1768" s="57">
        <v>0</v>
      </c>
      <c r="Z1768" s="57">
        <v>0</v>
      </c>
      <c r="AA1768" s="57">
        <v>0</v>
      </c>
      <c r="AB1768" s="57">
        <v>0</v>
      </c>
      <c r="AC1768" s="57">
        <v>0</v>
      </c>
      <c r="AD1768" s="57">
        <v>0</v>
      </c>
      <c r="AE1768" s="57">
        <v>0</v>
      </c>
      <c r="AF1768" s="57">
        <v>0</v>
      </c>
      <c r="AG1768" s="57">
        <v>0</v>
      </c>
      <c r="AH1768" s="58">
        <v>0</v>
      </c>
      <c r="AI1768" s="6"/>
    </row>
    <row r="1769" spans="1:35" ht="15.75" thickBot="1" x14ac:dyDescent="0.3">
      <c r="A1769" s="3"/>
      <c r="B1769" s="5" t="s">
        <v>12</v>
      </c>
      <c r="C1769" s="145">
        <v>0</v>
      </c>
      <c r="D1769" s="88">
        <v>0</v>
      </c>
      <c r="E1769" s="88">
        <v>0</v>
      </c>
      <c r="F1769" s="88">
        <v>0</v>
      </c>
      <c r="G1769" s="88">
        <v>0</v>
      </c>
      <c r="H1769" s="88">
        <v>0</v>
      </c>
      <c r="I1769" s="88">
        <v>0</v>
      </c>
      <c r="J1769" s="88">
        <v>0</v>
      </c>
      <c r="K1769" s="62">
        <v>0</v>
      </c>
      <c r="L1769" s="62">
        <v>0</v>
      </c>
      <c r="M1769" s="62">
        <v>0</v>
      </c>
      <c r="N1769" s="62">
        <v>0</v>
      </c>
      <c r="O1769" s="62">
        <v>0</v>
      </c>
      <c r="P1769" s="62">
        <v>0</v>
      </c>
      <c r="Q1769" s="62">
        <v>0</v>
      </c>
      <c r="R1769" s="62">
        <v>0</v>
      </c>
      <c r="S1769" s="62">
        <v>0</v>
      </c>
      <c r="T1769" s="62">
        <v>0</v>
      </c>
      <c r="U1769" s="62">
        <v>0</v>
      </c>
      <c r="V1769" s="62">
        <v>0</v>
      </c>
      <c r="W1769" s="62">
        <v>0</v>
      </c>
      <c r="X1769" s="62">
        <v>0</v>
      </c>
      <c r="Y1769" s="62">
        <v>0</v>
      </c>
      <c r="Z1769" s="62">
        <v>0</v>
      </c>
      <c r="AA1769" s="62">
        <v>0</v>
      </c>
      <c r="AB1769" s="62">
        <v>0</v>
      </c>
      <c r="AC1769" s="62">
        <v>0</v>
      </c>
      <c r="AD1769" s="62">
        <v>0</v>
      </c>
      <c r="AE1769" s="62">
        <v>0</v>
      </c>
      <c r="AF1769" s="62">
        <v>0</v>
      </c>
      <c r="AG1769" s="62">
        <v>0</v>
      </c>
      <c r="AH1769" s="146">
        <v>0</v>
      </c>
      <c r="AI1769" s="6"/>
    </row>
    <row r="1770" spans="1:35" x14ac:dyDescent="0.25">
      <c r="A1770" s="3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5"/>
      <c r="AH1770" s="5"/>
      <c r="AI1770" s="6"/>
    </row>
    <row r="1771" spans="1:35" ht="15.75" thickBot="1" x14ac:dyDescent="0.3">
      <c r="A1771" s="3"/>
      <c r="B1771" s="5"/>
      <c r="C1771" s="7">
        <v>32</v>
      </c>
      <c r="D1771" s="7">
        <v>33</v>
      </c>
      <c r="E1771" s="7">
        <v>34</v>
      </c>
      <c r="F1771" s="7">
        <v>35</v>
      </c>
      <c r="G1771" s="7">
        <v>36</v>
      </c>
      <c r="H1771" s="7">
        <v>37</v>
      </c>
      <c r="I1771" s="7">
        <v>38</v>
      </c>
      <c r="J1771" s="7">
        <v>39</v>
      </c>
      <c r="K1771" s="7">
        <v>40</v>
      </c>
      <c r="L1771" s="7">
        <v>41</v>
      </c>
      <c r="M1771" s="7">
        <v>42</v>
      </c>
      <c r="N1771" s="7">
        <v>43</v>
      </c>
      <c r="O1771" s="7">
        <v>44</v>
      </c>
      <c r="P1771" s="7">
        <v>45</v>
      </c>
      <c r="Q1771" s="7">
        <v>46</v>
      </c>
      <c r="R1771" s="7">
        <v>47</v>
      </c>
      <c r="S1771" s="7">
        <v>48</v>
      </c>
      <c r="T1771" s="7">
        <v>49</v>
      </c>
      <c r="U1771" s="7">
        <v>50</v>
      </c>
      <c r="V1771" s="7">
        <v>51</v>
      </c>
      <c r="W1771" s="7">
        <v>52</v>
      </c>
      <c r="X1771" s="7">
        <v>53</v>
      </c>
      <c r="Y1771" s="7">
        <v>54</v>
      </c>
      <c r="Z1771" s="7">
        <v>55</v>
      </c>
      <c r="AA1771" s="7">
        <v>56</v>
      </c>
      <c r="AB1771" s="7">
        <v>57</v>
      </c>
      <c r="AC1771" s="7">
        <v>58</v>
      </c>
      <c r="AD1771" s="7">
        <v>59</v>
      </c>
      <c r="AE1771" s="7">
        <v>60</v>
      </c>
      <c r="AF1771" s="7">
        <v>61</v>
      </c>
      <c r="AG1771" s="7">
        <v>62</v>
      </c>
      <c r="AH1771" s="7">
        <v>63</v>
      </c>
      <c r="AI1771" s="6"/>
    </row>
    <row r="1772" spans="1:35" ht="15.75" thickBot="1" x14ac:dyDescent="0.3">
      <c r="A1772" s="3"/>
      <c r="B1772" s="5"/>
      <c r="C1772" s="147" t="s">
        <v>13</v>
      </c>
      <c r="D1772" s="148" t="s">
        <v>14</v>
      </c>
      <c r="E1772" s="148" t="s">
        <v>15</v>
      </c>
      <c r="F1772" s="148" t="s">
        <v>16</v>
      </c>
      <c r="G1772" s="148" t="s">
        <v>17</v>
      </c>
      <c r="H1772" s="148" t="s">
        <v>18</v>
      </c>
      <c r="I1772" s="148" t="s">
        <v>19</v>
      </c>
      <c r="J1772" s="148" t="s">
        <v>20</v>
      </c>
      <c r="K1772" s="148" t="s">
        <v>21</v>
      </c>
      <c r="L1772" s="148" t="s">
        <v>22</v>
      </c>
      <c r="M1772" s="148" t="s">
        <v>23</v>
      </c>
      <c r="N1772" s="148" t="s">
        <v>24</v>
      </c>
      <c r="O1772" s="148" t="s">
        <v>25</v>
      </c>
      <c r="P1772" s="148" t="s">
        <v>26</v>
      </c>
      <c r="Q1772" s="148" t="s">
        <v>27</v>
      </c>
      <c r="R1772" s="342" t="s">
        <v>30</v>
      </c>
      <c r="S1772" s="343"/>
      <c r="T1772" s="343"/>
      <c r="U1772" s="343"/>
      <c r="V1772" s="343"/>
      <c r="W1772" s="343"/>
      <c r="X1772" s="343"/>
      <c r="Y1772" s="343"/>
      <c r="Z1772" s="343"/>
      <c r="AA1772" s="343"/>
      <c r="AB1772" s="343"/>
      <c r="AC1772" s="343"/>
      <c r="AD1772" s="343"/>
      <c r="AE1772" s="343"/>
      <c r="AF1772" s="344"/>
      <c r="AG1772" s="67" t="s">
        <v>28</v>
      </c>
      <c r="AH1772" s="149" t="s">
        <v>29</v>
      </c>
      <c r="AI1772" s="6"/>
    </row>
    <row r="1773" spans="1:35" ht="15.75" thickBot="1" x14ac:dyDescent="0.3">
      <c r="A1773" s="3"/>
      <c r="B1773" s="5"/>
      <c r="C1773" s="150">
        <v>0</v>
      </c>
      <c r="D1773" s="151">
        <v>0</v>
      </c>
      <c r="E1773" s="151">
        <v>0</v>
      </c>
      <c r="F1773" s="151">
        <v>0</v>
      </c>
      <c r="G1773" s="151">
        <v>0</v>
      </c>
      <c r="H1773" s="151">
        <v>0</v>
      </c>
      <c r="I1773" s="151">
        <v>0</v>
      </c>
      <c r="J1773" s="151">
        <v>0</v>
      </c>
      <c r="K1773" s="151">
        <v>0</v>
      </c>
      <c r="L1773" s="151">
        <v>0</v>
      </c>
      <c r="M1773" s="151">
        <v>0</v>
      </c>
      <c r="N1773" s="151">
        <v>0</v>
      </c>
      <c r="O1773" s="151">
        <v>1</v>
      </c>
      <c r="P1773" s="151">
        <v>0</v>
      </c>
      <c r="Q1773" s="151">
        <v>0</v>
      </c>
      <c r="R1773" s="151">
        <v>0</v>
      </c>
      <c r="S1773" s="151">
        <v>0</v>
      </c>
      <c r="T1773" s="151">
        <v>0</v>
      </c>
      <c r="U1773" s="151">
        <v>0</v>
      </c>
      <c r="V1773" s="151">
        <v>0</v>
      </c>
      <c r="W1773" s="151">
        <v>0</v>
      </c>
      <c r="X1773" s="151">
        <v>1</v>
      </c>
      <c r="Y1773" s="151">
        <v>1</v>
      </c>
      <c r="Z1773" s="151">
        <v>0</v>
      </c>
      <c r="AA1773" s="151">
        <v>1</v>
      </c>
      <c r="AB1773" s="151">
        <v>1</v>
      </c>
      <c r="AC1773" s="151">
        <v>0</v>
      </c>
      <c r="AD1773" s="151">
        <v>0</v>
      </c>
      <c r="AE1773" s="151">
        <v>1</v>
      </c>
      <c r="AF1773" s="151">
        <v>1</v>
      </c>
      <c r="AG1773" s="151">
        <v>0</v>
      </c>
      <c r="AH1773" s="152">
        <v>0</v>
      </c>
      <c r="AI1773" s="6"/>
    </row>
    <row r="1774" spans="1:35" x14ac:dyDescent="0.25">
      <c r="A1774" s="3"/>
      <c r="B1774" s="4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5"/>
      <c r="AH1774" s="5"/>
      <c r="AI1774" s="6"/>
    </row>
    <row r="1775" spans="1:35" x14ac:dyDescent="0.25">
      <c r="A1775" s="3"/>
      <c r="B1775" s="8" t="s">
        <v>43</v>
      </c>
      <c r="C1775" s="9"/>
      <c r="D1775" s="9"/>
      <c r="E1775" s="9"/>
      <c r="F1775" s="225" t="s">
        <v>44</v>
      </c>
      <c r="G1775" s="225"/>
      <c r="H1775" s="225"/>
      <c r="I1775" s="9"/>
      <c r="J1775" s="226" t="s">
        <v>45</v>
      </c>
      <c r="K1775" s="226"/>
      <c r="L1775" s="226"/>
      <c r="M1775" s="226"/>
      <c r="N1775" s="9"/>
      <c r="O1775" s="227" t="s">
        <v>46</v>
      </c>
      <c r="P1775" s="227"/>
      <c r="Q1775" s="227"/>
      <c r="R1775" s="227"/>
      <c r="S1775" s="9"/>
      <c r="T1775" s="1" t="s">
        <v>49</v>
      </c>
      <c r="U1775" s="10" t="s">
        <v>48</v>
      </c>
      <c r="V1775" s="5"/>
      <c r="W1775" s="9"/>
      <c r="X1775" s="9"/>
      <c r="Y1775" s="9"/>
      <c r="Z1775" s="9"/>
      <c r="AA1775" s="9"/>
      <c r="AB1775" s="9"/>
      <c r="AC1775" s="9"/>
      <c r="AD1775" s="9"/>
      <c r="AE1775" s="9"/>
      <c r="AF1775" s="9"/>
      <c r="AG1775" s="9"/>
      <c r="AH1775" s="9"/>
      <c r="AI1775" s="6"/>
    </row>
    <row r="1776" spans="1:35" ht="15" customHeight="1" x14ac:dyDescent="0.25">
      <c r="A1776" s="3"/>
      <c r="B1776" s="221" t="str">
        <f>"0x"&amp;DEC2HEX(Sheet3!$I$4,8)</f>
        <v>0x00400320</v>
      </c>
      <c r="C1776" s="221"/>
      <c r="D1776" s="221"/>
      <c r="E1776" s="12"/>
      <c r="F1776" s="319" t="str">
        <f>"0x"&amp;BIN2HEX(CONCATENATE(C1769,D1769,E1769,F1769,G1769,H1769,I1769,J1769),2)&amp;BIN2HEX(CONCATENATE(K1769,L1769,M1769,N1769,O1769,P1769,Q1769,R1769),2)&amp;BIN2HEX(CONCATENATE(S1769,T1769,U1769,V1769,W1769,X1769,Y1769,Z1769),2)&amp;BIN2HEX(CONCATENATE(AA1769,AB1769,AC1769,AD1769,AE1769,AF1769,AG1769,AH1769),2)</f>
        <v>0x00000000</v>
      </c>
      <c r="G1776" s="319"/>
      <c r="H1776" s="319"/>
      <c r="I1776" s="12"/>
      <c r="J1776" s="319" t="str">
        <f>"0b"&amp;C1773&amp;D1773&amp;E1773&amp;F1773&amp;G1773&amp;H1773&amp;I1773&amp;J1773&amp;K1773&amp;L1773&amp;M1773&amp;N1773&amp;O1773&amp;P1773&amp;Q1773</f>
        <v>0b000000000000100</v>
      </c>
      <c r="K1776" s="319"/>
      <c r="L1776" s="319"/>
      <c r="M1776" s="319"/>
      <c r="N1776" s="12"/>
      <c r="O1776" s="319" t="str">
        <f>"0b"&amp;DEC2BIN(((AF1773+AE1773*2+AD1773*4+AC1773*8+AB1773*16+AA1773*32+Z1773*64+Y1773*128+X1773*256+W1773*512+V1773*1024+U1773*2048+T1773*4096+S1773*2^13+R1773*2^14)/512),6)&amp;DEC2BIN(MOD((AF1773+AE1773*2+AD1773*4+AC1773*8+AB1773*16+AA1773*32+Z1773*64+Y1773*128+X1773*256+W1773*512+V1773*1024+U1773*2048+T1773*4096+S1773*2^13+R1773*2^14),512),9)</f>
        <v>0b000000110110011</v>
      </c>
      <c r="P1776" s="319"/>
      <c r="Q1776" s="319"/>
      <c r="R1776" s="319"/>
      <c r="S1776" s="12"/>
      <c r="T1776" s="224">
        <v>0</v>
      </c>
      <c r="U1776" s="224">
        <f>AH1773</f>
        <v>0</v>
      </c>
      <c r="V1776" s="5"/>
      <c r="W1776" s="14"/>
      <c r="X1776" s="14"/>
      <c r="Y1776" s="14"/>
      <c r="Z1776" s="14"/>
      <c r="AA1776" s="14"/>
      <c r="AB1776" s="14"/>
      <c r="AC1776" s="14"/>
      <c r="AD1776" s="14"/>
      <c r="AE1776" s="14"/>
      <c r="AF1776" s="14"/>
      <c r="AG1776" s="14"/>
      <c r="AH1776" s="14"/>
      <c r="AI1776" s="6"/>
    </row>
    <row r="1777" spans="1:35" x14ac:dyDescent="0.25">
      <c r="A1777" s="3"/>
      <c r="B1777" s="221"/>
      <c r="C1777" s="221"/>
      <c r="D1777" s="221"/>
      <c r="E1777" s="15"/>
      <c r="F1777" s="222"/>
      <c r="G1777" s="222"/>
      <c r="H1777" s="222"/>
      <c r="I1777" s="15"/>
      <c r="J1777" s="221"/>
      <c r="K1777" s="221"/>
      <c r="L1777" s="221"/>
      <c r="M1777" s="221"/>
      <c r="N1777" s="15"/>
      <c r="O1777" s="221"/>
      <c r="P1777" s="221"/>
      <c r="Q1777" s="221"/>
      <c r="R1777" s="221"/>
      <c r="S1777" s="15"/>
      <c r="T1777" s="224"/>
      <c r="U1777" s="15"/>
      <c r="V1777" s="5"/>
      <c r="W1777" s="16"/>
      <c r="X1777" s="16"/>
      <c r="Y1777" s="16"/>
      <c r="Z1777" s="16"/>
      <c r="AA1777" s="16"/>
      <c r="AB1777" s="16"/>
      <c r="AC1777" s="16"/>
      <c r="AD1777" s="16"/>
      <c r="AE1777" s="16"/>
      <c r="AF1777" s="16"/>
      <c r="AG1777" s="16"/>
      <c r="AH1777" s="16"/>
      <c r="AI1777" s="6"/>
    </row>
    <row r="1778" spans="1:35" x14ac:dyDescent="0.25">
      <c r="A1778" s="3"/>
      <c r="B1778" s="221"/>
      <c r="C1778" s="221"/>
      <c r="D1778" s="221"/>
      <c r="E1778" s="15"/>
      <c r="F1778" s="222"/>
      <c r="G1778" s="222"/>
      <c r="H1778" s="222"/>
      <c r="I1778" s="15"/>
      <c r="J1778" s="221"/>
      <c r="K1778" s="221"/>
      <c r="L1778" s="221"/>
      <c r="M1778" s="221"/>
      <c r="N1778" s="15"/>
      <c r="O1778" s="221"/>
      <c r="P1778" s="221"/>
      <c r="Q1778" s="221"/>
      <c r="R1778" s="221"/>
      <c r="S1778" s="15"/>
      <c r="T1778" s="224"/>
      <c r="U1778" s="15"/>
      <c r="V1778" s="5"/>
      <c r="W1778" s="16"/>
      <c r="X1778" s="16"/>
      <c r="Y1778" s="16"/>
      <c r="Z1778" s="16"/>
      <c r="AA1778" s="16"/>
      <c r="AB1778" s="16"/>
      <c r="AC1778" s="16"/>
      <c r="AD1778" s="16"/>
      <c r="AE1778" s="16"/>
      <c r="AF1778" s="16"/>
      <c r="AG1778" s="16"/>
      <c r="AH1778" s="16"/>
      <c r="AI1778" s="6"/>
    </row>
    <row r="1779" spans="1:35" x14ac:dyDescent="0.25">
      <c r="A1779" s="3"/>
      <c r="B1779" s="5"/>
      <c r="C1779" s="5"/>
      <c r="D1779" s="5"/>
      <c r="E1779" s="5"/>
      <c r="F1779" s="17"/>
      <c r="G1779" s="17"/>
      <c r="H1779" s="17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I1779" s="6"/>
    </row>
    <row r="1780" spans="1:35" x14ac:dyDescent="0.25">
      <c r="A1780" s="3"/>
      <c r="B1780" s="5" t="s">
        <v>47</v>
      </c>
      <c r="C1780" s="18"/>
      <c r="D1780" s="18"/>
      <c r="E1780" s="18"/>
      <c r="F1780" s="5"/>
      <c r="G1780" s="5"/>
      <c r="H1780" s="5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  <c r="AB1780" s="18"/>
      <c r="AC1780" s="18"/>
      <c r="AD1780" s="18"/>
      <c r="AE1780" s="18"/>
      <c r="AF1780" s="18"/>
      <c r="AG1780" s="18"/>
      <c r="AH1780" s="18"/>
      <c r="AI1780" s="6"/>
    </row>
    <row r="1781" spans="1:35" ht="15" customHeight="1" x14ac:dyDescent="0.25">
      <c r="A1781" s="3"/>
      <c r="B1781" s="221" t="str">
        <f>"0x"&amp;DEC2HEX(Sheet3!$I$4,8)</f>
        <v>0x00400320</v>
      </c>
      <c r="C1781" s="221"/>
      <c r="D1781" s="221"/>
      <c r="E1781" s="16"/>
      <c r="F1781" s="322" t="str">
        <f>F1776&amp;BIN2HEX(MID(J1776,3,8),2)&amp;BIN2HEX(RIGHT(J1776,7)&amp;MID(O1776,3,1),2)&amp;BIN2HEX(MID(O1776,4,8),2)&amp;BIN2HEX(RIGHT(O1776,6)&amp;T1776&amp;U1776,2)</f>
        <v>0x00000000000806CC</v>
      </c>
      <c r="G1781" s="322"/>
      <c r="H1781" s="322"/>
      <c r="I1781" s="322"/>
      <c r="J1781" s="5"/>
      <c r="K1781" s="5"/>
      <c r="L1781" s="5"/>
      <c r="M1781" s="5"/>
      <c r="N1781" s="5"/>
      <c r="O1781" s="5"/>
      <c r="P1781" s="16"/>
      <c r="Q1781" s="16"/>
      <c r="R1781" s="19"/>
      <c r="S1781" s="19"/>
      <c r="T1781" s="19"/>
      <c r="U1781" s="19"/>
      <c r="V1781" s="19"/>
      <c r="W1781" s="19"/>
      <c r="X1781" s="19"/>
      <c r="Y1781" s="19"/>
      <c r="Z1781" s="19"/>
      <c r="AA1781" s="19"/>
      <c r="AB1781" s="19"/>
      <c r="AC1781" s="19"/>
      <c r="AD1781" s="19"/>
      <c r="AE1781" s="19"/>
      <c r="AF1781" s="19"/>
      <c r="AG1781" s="5"/>
      <c r="AH1781" s="5"/>
      <c r="AI1781" s="6"/>
    </row>
    <row r="1782" spans="1:35" x14ac:dyDescent="0.25">
      <c r="A1782" s="3"/>
      <c r="B1782" s="221"/>
      <c r="C1782" s="221"/>
      <c r="D1782" s="221"/>
      <c r="E1782" s="5"/>
      <c r="F1782" s="223"/>
      <c r="G1782" s="223"/>
      <c r="H1782" s="223"/>
      <c r="I1782" s="223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5"/>
      <c r="AH1782" s="5"/>
      <c r="AI1782" s="6"/>
    </row>
    <row r="1783" spans="1:35" x14ac:dyDescent="0.25">
      <c r="A1783" s="3"/>
      <c r="B1783" s="221"/>
      <c r="C1783" s="221"/>
      <c r="D1783" s="221"/>
      <c r="E1783" s="5"/>
      <c r="F1783" s="223"/>
      <c r="G1783" s="223"/>
      <c r="H1783" s="223"/>
      <c r="I1783" s="223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I1783" s="6"/>
    </row>
    <row r="1784" spans="1:35" x14ac:dyDescent="0.25">
      <c r="A1784" s="20"/>
      <c r="B1784" s="21"/>
      <c r="C1784" s="21"/>
      <c r="D1784" s="21"/>
      <c r="E1784" s="21"/>
      <c r="F1784" s="21"/>
      <c r="G1784" s="21"/>
      <c r="H1784" s="21"/>
      <c r="I1784" s="21"/>
      <c r="J1784" s="21"/>
      <c r="K1784" s="21"/>
      <c r="L1784" s="21"/>
      <c r="M1784" s="21"/>
      <c r="N1784" s="21"/>
      <c r="O1784" s="22"/>
      <c r="P1784" s="21"/>
      <c r="Q1784" s="21"/>
      <c r="R1784" s="21"/>
      <c r="S1784" s="21"/>
      <c r="T1784" s="21"/>
      <c r="U1784" s="21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  <c r="AF1784" s="21"/>
      <c r="AG1784" s="21"/>
      <c r="AH1784" s="21"/>
      <c r="AI1784" s="23"/>
    </row>
    <row r="1785" spans="1:35" x14ac:dyDescent="0.25">
      <c r="A1785" s="24"/>
      <c r="B1785" s="28"/>
      <c r="C1785" s="25"/>
      <c r="D1785" s="25"/>
      <c r="E1785" s="25"/>
      <c r="F1785" s="25"/>
      <c r="G1785" s="25"/>
      <c r="H1785" s="25"/>
      <c r="I1785" s="25"/>
      <c r="J1785" s="25"/>
      <c r="K1785" s="25"/>
      <c r="L1785" s="25"/>
      <c r="M1785" s="25"/>
      <c r="N1785" s="25"/>
      <c r="O1785" s="25"/>
      <c r="P1785" s="25"/>
      <c r="Q1785" s="25"/>
      <c r="R1785" s="25"/>
      <c r="S1785" s="25"/>
      <c r="T1785" s="25"/>
      <c r="U1785" s="25"/>
      <c r="V1785" s="25"/>
      <c r="W1785" s="25"/>
      <c r="X1785" s="25"/>
      <c r="Y1785" s="25"/>
      <c r="Z1785" s="25"/>
      <c r="AA1785" s="25"/>
      <c r="AB1785" s="25"/>
      <c r="AC1785" s="25"/>
      <c r="AD1785" s="25"/>
      <c r="AE1785" s="25"/>
      <c r="AF1785" s="25"/>
      <c r="AG1785" s="25"/>
      <c r="AH1785" s="25"/>
      <c r="AI1785" s="26"/>
    </row>
    <row r="1786" spans="1:35" x14ac:dyDescent="0.25">
      <c r="A1786" s="3"/>
      <c r="B1786" s="4" t="s">
        <v>347</v>
      </c>
      <c r="C1786" s="5"/>
      <c r="D1786" s="5"/>
      <c r="E1786" s="5"/>
      <c r="F1786" s="5"/>
      <c r="G1786" s="5"/>
      <c r="H1786" s="5"/>
      <c r="I1786" s="5" t="str">
        <f>"0x"&amp;BIN2HEX(CONCATENATE(C1791,D1791,E1791,F1791,G1791,H1791,I1791,J1791),2)&amp;BIN2HEX(CONCATENATE(K1791,L1791,M1791,N1791,O1791,P1791,Q1791,R1791),2)&amp;BIN2HEX(CONCATENATE(S1791,T1791,U1791,V1791,W1791,X1791,Y1791,Z1791),2)&amp;BIN2HEX(CONCATENATE(AA1791,AB1791,AC1791,AD1791,AE1791,AF1791,AG1791,AH1791),2)&amp;"_"&amp;BIN2HEX(CONCATENATE(C1795,D1795,E1795,F1795,G1795,H1795,I1795,J1795),2)&amp;BIN2HEX(CONCATENATE(K1795,L1795,M1795,N1795,O1795,P1795,Q1795,R1795),2)&amp;BIN2HEX(CONCATENATE(S1795,T1795,U1795,V1795,W1795,X1795,Y1795,Z1795),2)&amp;BIN2HEX(CONCATENATE(AA1795,AB1795,AC1795,AD1795,AE1795,AF1795,AG1795,AH1795),2)</f>
        <v>0x00000000_000806D0</v>
      </c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5"/>
      <c r="AI1786" s="6"/>
    </row>
    <row r="1787" spans="1:35" ht="15.75" thickBot="1" x14ac:dyDescent="0.3">
      <c r="A1787" s="3"/>
      <c r="B1787" s="5"/>
      <c r="C1787" s="7">
        <v>0</v>
      </c>
      <c r="D1787" s="7">
        <v>1</v>
      </c>
      <c r="E1787" s="7">
        <v>2</v>
      </c>
      <c r="F1787" s="7">
        <v>3</v>
      </c>
      <c r="G1787" s="7">
        <v>4</v>
      </c>
      <c r="H1787" s="7">
        <v>5</v>
      </c>
      <c r="I1787" s="7">
        <v>6</v>
      </c>
      <c r="J1787" s="7">
        <v>7</v>
      </c>
      <c r="K1787" s="7">
        <v>8</v>
      </c>
      <c r="L1787" s="7">
        <v>9</v>
      </c>
      <c r="M1787" s="7">
        <v>10</v>
      </c>
      <c r="N1787" s="7">
        <v>11</v>
      </c>
      <c r="O1787" s="7">
        <v>12</v>
      </c>
      <c r="P1787" s="7">
        <v>13</v>
      </c>
      <c r="Q1787" s="7">
        <v>14</v>
      </c>
      <c r="R1787" s="7">
        <v>15</v>
      </c>
      <c r="S1787" s="7">
        <v>16</v>
      </c>
      <c r="T1787" s="7">
        <v>17</v>
      </c>
      <c r="U1787" s="7">
        <v>18</v>
      </c>
      <c r="V1787" s="7">
        <v>19</v>
      </c>
      <c r="W1787" s="7">
        <v>20</v>
      </c>
      <c r="X1787" s="7">
        <v>21</v>
      </c>
      <c r="Y1787" s="7">
        <v>22</v>
      </c>
      <c r="Z1787" s="7">
        <v>23</v>
      </c>
      <c r="AA1787" s="7">
        <v>24</v>
      </c>
      <c r="AB1787" s="7">
        <v>25</v>
      </c>
      <c r="AC1787" s="7">
        <v>26</v>
      </c>
      <c r="AD1787" s="7">
        <v>27</v>
      </c>
      <c r="AE1787" s="7">
        <v>28</v>
      </c>
      <c r="AF1787" s="7">
        <v>29</v>
      </c>
      <c r="AG1787" s="7">
        <v>30</v>
      </c>
      <c r="AH1787" s="7">
        <v>31</v>
      </c>
      <c r="AI1787" s="6"/>
    </row>
    <row r="1788" spans="1:35" x14ac:dyDescent="0.25">
      <c r="A1788" s="3"/>
      <c r="B1788" s="5" t="s">
        <v>31</v>
      </c>
      <c r="C1788" s="328" t="s">
        <v>161</v>
      </c>
      <c r="D1788" s="330" t="s">
        <v>63</v>
      </c>
      <c r="E1788" s="331"/>
      <c r="F1788" s="331"/>
      <c r="G1788" s="331"/>
      <c r="H1788" s="331"/>
      <c r="I1788" s="331"/>
      <c r="J1788" s="332"/>
      <c r="K1788" s="336">
        <v>0</v>
      </c>
      <c r="L1788" s="337"/>
      <c r="M1788" s="337"/>
      <c r="N1788" s="337"/>
      <c r="O1788" s="337"/>
      <c r="P1788" s="337"/>
      <c r="Q1788" s="337"/>
      <c r="R1788" s="337"/>
      <c r="S1788" s="337"/>
      <c r="T1788" s="337"/>
      <c r="U1788" s="337"/>
      <c r="V1788" s="337"/>
      <c r="W1788" s="337"/>
      <c r="X1788" s="337"/>
      <c r="Y1788" s="337"/>
      <c r="Z1788" s="337"/>
      <c r="AA1788" s="337"/>
      <c r="AB1788" s="337"/>
      <c r="AC1788" s="337"/>
      <c r="AD1788" s="337"/>
      <c r="AE1788" s="337"/>
      <c r="AF1788" s="337"/>
      <c r="AG1788" s="337"/>
      <c r="AH1788" s="338"/>
      <c r="AI1788" s="6"/>
    </row>
    <row r="1789" spans="1:35" x14ac:dyDescent="0.25">
      <c r="A1789" s="3"/>
      <c r="B1789" s="5" t="s">
        <v>32</v>
      </c>
      <c r="C1789" s="329"/>
      <c r="D1789" s="333"/>
      <c r="E1789" s="334"/>
      <c r="F1789" s="334"/>
      <c r="G1789" s="334"/>
      <c r="H1789" s="334"/>
      <c r="I1789" s="334"/>
      <c r="J1789" s="335"/>
      <c r="K1789" s="339"/>
      <c r="L1789" s="340"/>
      <c r="M1789" s="340"/>
      <c r="N1789" s="340"/>
      <c r="O1789" s="340"/>
      <c r="P1789" s="340"/>
      <c r="Q1789" s="340"/>
      <c r="R1789" s="340"/>
      <c r="S1789" s="340"/>
      <c r="T1789" s="340"/>
      <c r="U1789" s="340"/>
      <c r="V1789" s="340"/>
      <c r="W1789" s="340"/>
      <c r="X1789" s="340"/>
      <c r="Y1789" s="340"/>
      <c r="Z1789" s="340"/>
      <c r="AA1789" s="340"/>
      <c r="AB1789" s="340"/>
      <c r="AC1789" s="340"/>
      <c r="AD1789" s="340"/>
      <c r="AE1789" s="340"/>
      <c r="AF1789" s="340"/>
      <c r="AG1789" s="340"/>
      <c r="AH1789" s="341"/>
      <c r="AI1789" s="6"/>
    </row>
    <row r="1790" spans="1:35" x14ac:dyDescent="0.25">
      <c r="A1790" s="3"/>
      <c r="B1790" s="5" t="s">
        <v>11</v>
      </c>
      <c r="C1790" s="56">
        <v>0</v>
      </c>
      <c r="D1790" s="57">
        <v>0</v>
      </c>
      <c r="E1790" s="57">
        <v>0</v>
      </c>
      <c r="F1790" s="57">
        <v>0</v>
      </c>
      <c r="G1790" s="57">
        <v>0</v>
      </c>
      <c r="H1790" s="57">
        <v>0</v>
      </c>
      <c r="I1790" s="57">
        <v>0</v>
      </c>
      <c r="J1790" s="57">
        <v>0</v>
      </c>
      <c r="K1790" s="57">
        <v>0</v>
      </c>
      <c r="L1790" s="57">
        <v>0</v>
      </c>
      <c r="M1790" s="57">
        <v>0</v>
      </c>
      <c r="N1790" s="57">
        <v>0</v>
      </c>
      <c r="O1790" s="57">
        <v>0</v>
      </c>
      <c r="P1790" s="57">
        <v>0</v>
      </c>
      <c r="Q1790" s="57">
        <v>0</v>
      </c>
      <c r="R1790" s="57">
        <v>0</v>
      </c>
      <c r="S1790" s="57">
        <v>0</v>
      </c>
      <c r="T1790" s="57">
        <v>0</v>
      </c>
      <c r="U1790" s="57">
        <v>0</v>
      </c>
      <c r="V1790" s="57">
        <v>0</v>
      </c>
      <c r="W1790" s="57">
        <v>0</v>
      </c>
      <c r="X1790" s="57">
        <v>0</v>
      </c>
      <c r="Y1790" s="57">
        <v>0</v>
      </c>
      <c r="Z1790" s="57">
        <v>0</v>
      </c>
      <c r="AA1790" s="57">
        <v>0</v>
      </c>
      <c r="AB1790" s="57">
        <v>0</v>
      </c>
      <c r="AC1790" s="57">
        <v>0</v>
      </c>
      <c r="AD1790" s="57">
        <v>0</v>
      </c>
      <c r="AE1790" s="57">
        <v>0</v>
      </c>
      <c r="AF1790" s="57">
        <v>0</v>
      </c>
      <c r="AG1790" s="57">
        <v>0</v>
      </c>
      <c r="AH1790" s="58">
        <v>0</v>
      </c>
      <c r="AI1790" s="6"/>
    </row>
    <row r="1791" spans="1:35" ht="15.75" thickBot="1" x14ac:dyDescent="0.3">
      <c r="A1791" s="3"/>
      <c r="B1791" s="5" t="s">
        <v>12</v>
      </c>
      <c r="C1791" s="145">
        <v>0</v>
      </c>
      <c r="D1791" s="88">
        <v>0</v>
      </c>
      <c r="E1791" s="88">
        <v>0</v>
      </c>
      <c r="F1791" s="88">
        <v>0</v>
      </c>
      <c r="G1791" s="88">
        <v>0</v>
      </c>
      <c r="H1791" s="88">
        <v>0</v>
      </c>
      <c r="I1791" s="88">
        <v>0</v>
      </c>
      <c r="J1791" s="88">
        <v>0</v>
      </c>
      <c r="K1791" s="62">
        <v>0</v>
      </c>
      <c r="L1791" s="62">
        <v>0</v>
      </c>
      <c r="M1791" s="62">
        <v>0</v>
      </c>
      <c r="N1791" s="62">
        <v>0</v>
      </c>
      <c r="O1791" s="62">
        <v>0</v>
      </c>
      <c r="P1791" s="62">
        <v>0</v>
      </c>
      <c r="Q1791" s="62">
        <v>0</v>
      </c>
      <c r="R1791" s="62">
        <v>0</v>
      </c>
      <c r="S1791" s="62">
        <v>0</v>
      </c>
      <c r="T1791" s="62">
        <v>0</v>
      </c>
      <c r="U1791" s="62">
        <v>0</v>
      </c>
      <c r="V1791" s="62">
        <v>0</v>
      </c>
      <c r="W1791" s="62">
        <v>0</v>
      </c>
      <c r="X1791" s="62">
        <v>0</v>
      </c>
      <c r="Y1791" s="62">
        <v>0</v>
      </c>
      <c r="Z1791" s="62">
        <v>0</v>
      </c>
      <c r="AA1791" s="62">
        <v>0</v>
      </c>
      <c r="AB1791" s="62">
        <v>0</v>
      </c>
      <c r="AC1791" s="62">
        <v>0</v>
      </c>
      <c r="AD1791" s="62">
        <v>0</v>
      </c>
      <c r="AE1791" s="62">
        <v>0</v>
      </c>
      <c r="AF1791" s="62">
        <v>0</v>
      </c>
      <c r="AG1791" s="62">
        <v>0</v>
      </c>
      <c r="AH1791" s="146">
        <v>0</v>
      </c>
      <c r="AI1791" s="6"/>
    </row>
    <row r="1792" spans="1:35" x14ac:dyDescent="0.25">
      <c r="A1792" s="3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5"/>
      <c r="AH1792" s="5"/>
      <c r="AI1792" s="6"/>
    </row>
    <row r="1793" spans="1:35" ht="15.75" thickBot="1" x14ac:dyDescent="0.3">
      <c r="A1793" s="3"/>
      <c r="B1793" s="5"/>
      <c r="C1793" s="7">
        <v>32</v>
      </c>
      <c r="D1793" s="7">
        <v>33</v>
      </c>
      <c r="E1793" s="7">
        <v>34</v>
      </c>
      <c r="F1793" s="7">
        <v>35</v>
      </c>
      <c r="G1793" s="7">
        <v>36</v>
      </c>
      <c r="H1793" s="7">
        <v>37</v>
      </c>
      <c r="I1793" s="7">
        <v>38</v>
      </c>
      <c r="J1793" s="7">
        <v>39</v>
      </c>
      <c r="K1793" s="7">
        <v>40</v>
      </c>
      <c r="L1793" s="7">
        <v>41</v>
      </c>
      <c r="M1793" s="7">
        <v>42</v>
      </c>
      <c r="N1793" s="7">
        <v>43</v>
      </c>
      <c r="O1793" s="7">
        <v>44</v>
      </c>
      <c r="P1793" s="7">
        <v>45</v>
      </c>
      <c r="Q1793" s="7">
        <v>46</v>
      </c>
      <c r="R1793" s="7">
        <v>47</v>
      </c>
      <c r="S1793" s="7">
        <v>48</v>
      </c>
      <c r="T1793" s="7">
        <v>49</v>
      </c>
      <c r="U1793" s="7">
        <v>50</v>
      </c>
      <c r="V1793" s="7">
        <v>51</v>
      </c>
      <c r="W1793" s="7">
        <v>52</v>
      </c>
      <c r="X1793" s="7">
        <v>53</v>
      </c>
      <c r="Y1793" s="7">
        <v>54</v>
      </c>
      <c r="Z1793" s="7">
        <v>55</v>
      </c>
      <c r="AA1793" s="7">
        <v>56</v>
      </c>
      <c r="AB1793" s="7">
        <v>57</v>
      </c>
      <c r="AC1793" s="7">
        <v>58</v>
      </c>
      <c r="AD1793" s="7">
        <v>59</v>
      </c>
      <c r="AE1793" s="7">
        <v>60</v>
      </c>
      <c r="AF1793" s="7">
        <v>61</v>
      </c>
      <c r="AG1793" s="7">
        <v>62</v>
      </c>
      <c r="AH1793" s="7">
        <v>63</v>
      </c>
      <c r="AI1793" s="6"/>
    </row>
    <row r="1794" spans="1:35" ht="15.75" thickBot="1" x14ac:dyDescent="0.3">
      <c r="A1794" s="3"/>
      <c r="B1794" s="5"/>
      <c r="C1794" s="147" t="s">
        <v>13</v>
      </c>
      <c r="D1794" s="148" t="s">
        <v>14</v>
      </c>
      <c r="E1794" s="148" t="s">
        <v>15</v>
      </c>
      <c r="F1794" s="148" t="s">
        <v>16</v>
      </c>
      <c r="G1794" s="148" t="s">
        <v>17</v>
      </c>
      <c r="H1794" s="148" t="s">
        <v>18</v>
      </c>
      <c r="I1794" s="148" t="s">
        <v>19</v>
      </c>
      <c r="J1794" s="148" t="s">
        <v>20</v>
      </c>
      <c r="K1794" s="148" t="s">
        <v>21</v>
      </c>
      <c r="L1794" s="148" t="s">
        <v>22</v>
      </c>
      <c r="M1794" s="148" t="s">
        <v>23</v>
      </c>
      <c r="N1794" s="148" t="s">
        <v>24</v>
      </c>
      <c r="O1794" s="148" t="s">
        <v>25</v>
      </c>
      <c r="P1794" s="148" t="s">
        <v>26</v>
      </c>
      <c r="Q1794" s="148" t="s">
        <v>27</v>
      </c>
      <c r="R1794" s="342" t="s">
        <v>30</v>
      </c>
      <c r="S1794" s="343"/>
      <c r="T1794" s="343"/>
      <c r="U1794" s="343"/>
      <c r="V1794" s="343"/>
      <c r="W1794" s="343"/>
      <c r="X1794" s="343"/>
      <c r="Y1794" s="343"/>
      <c r="Z1794" s="343"/>
      <c r="AA1794" s="343"/>
      <c r="AB1794" s="343"/>
      <c r="AC1794" s="343"/>
      <c r="AD1794" s="343"/>
      <c r="AE1794" s="343"/>
      <c r="AF1794" s="344"/>
      <c r="AG1794" s="67" t="s">
        <v>28</v>
      </c>
      <c r="AH1794" s="149" t="s">
        <v>29</v>
      </c>
      <c r="AI1794" s="6"/>
    </row>
    <row r="1795" spans="1:35" ht="15.75" thickBot="1" x14ac:dyDescent="0.3">
      <c r="A1795" s="3"/>
      <c r="B1795" s="5"/>
      <c r="C1795" s="150">
        <v>0</v>
      </c>
      <c r="D1795" s="151">
        <v>0</v>
      </c>
      <c r="E1795" s="151">
        <v>0</v>
      </c>
      <c r="F1795" s="151">
        <v>0</v>
      </c>
      <c r="G1795" s="151">
        <v>0</v>
      </c>
      <c r="H1795" s="151">
        <v>0</v>
      </c>
      <c r="I1795" s="151">
        <v>0</v>
      </c>
      <c r="J1795" s="151">
        <v>0</v>
      </c>
      <c r="K1795" s="151">
        <v>0</v>
      </c>
      <c r="L1795" s="151">
        <v>0</v>
      </c>
      <c r="M1795" s="151">
        <v>0</v>
      </c>
      <c r="N1795" s="151">
        <v>0</v>
      </c>
      <c r="O1795" s="151">
        <v>1</v>
      </c>
      <c r="P1795" s="151">
        <v>0</v>
      </c>
      <c r="Q1795" s="151">
        <v>0</v>
      </c>
      <c r="R1795" s="151">
        <v>0</v>
      </c>
      <c r="S1795" s="151">
        <v>0</v>
      </c>
      <c r="T1795" s="151">
        <v>0</v>
      </c>
      <c r="U1795" s="151">
        <v>0</v>
      </c>
      <c r="V1795" s="151">
        <v>0</v>
      </c>
      <c r="W1795" s="151">
        <v>0</v>
      </c>
      <c r="X1795" s="151">
        <v>1</v>
      </c>
      <c r="Y1795" s="151">
        <v>1</v>
      </c>
      <c r="Z1795" s="151">
        <v>0</v>
      </c>
      <c r="AA1795" s="151">
        <v>1</v>
      </c>
      <c r="AB1795" s="151">
        <v>1</v>
      </c>
      <c r="AC1795" s="151">
        <v>0</v>
      </c>
      <c r="AD1795" s="151">
        <v>1</v>
      </c>
      <c r="AE1795" s="151">
        <v>0</v>
      </c>
      <c r="AF1795" s="151">
        <v>0</v>
      </c>
      <c r="AG1795" s="151">
        <v>0</v>
      </c>
      <c r="AH1795" s="152">
        <v>0</v>
      </c>
      <c r="AI1795" s="6"/>
    </row>
    <row r="1796" spans="1:35" x14ac:dyDescent="0.25">
      <c r="A1796" s="3"/>
      <c r="B1796" s="4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5"/>
      <c r="AH1796" s="5"/>
      <c r="AI1796" s="6"/>
    </row>
    <row r="1797" spans="1:35" x14ac:dyDescent="0.25">
      <c r="A1797" s="3"/>
      <c r="B1797" s="8" t="s">
        <v>43</v>
      </c>
      <c r="C1797" s="9"/>
      <c r="D1797" s="9"/>
      <c r="E1797" s="9"/>
      <c r="F1797" s="225" t="s">
        <v>44</v>
      </c>
      <c r="G1797" s="225"/>
      <c r="H1797" s="225"/>
      <c r="I1797" s="9"/>
      <c r="J1797" s="226" t="s">
        <v>45</v>
      </c>
      <c r="K1797" s="226"/>
      <c r="L1797" s="226"/>
      <c r="M1797" s="226"/>
      <c r="N1797" s="9"/>
      <c r="O1797" s="227" t="s">
        <v>46</v>
      </c>
      <c r="P1797" s="227"/>
      <c r="Q1797" s="227"/>
      <c r="R1797" s="227"/>
      <c r="S1797" s="9"/>
      <c r="T1797" s="1" t="s">
        <v>49</v>
      </c>
      <c r="U1797" s="10" t="s">
        <v>48</v>
      </c>
      <c r="V1797" s="5"/>
      <c r="W1797" s="9"/>
      <c r="X1797" s="9"/>
      <c r="Y1797" s="9"/>
      <c r="Z1797" s="9"/>
      <c r="AA1797" s="9"/>
      <c r="AB1797" s="9"/>
      <c r="AC1797" s="9"/>
      <c r="AD1797" s="9"/>
      <c r="AE1797" s="9"/>
      <c r="AF1797" s="9"/>
      <c r="AG1797" s="9"/>
      <c r="AH1797" s="9"/>
      <c r="AI1797" s="6"/>
    </row>
    <row r="1798" spans="1:35" ht="15" customHeight="1" x14ac:dyDescent="0.25">
      <c r="A1798" s="3"/>
      <c r="B1798" s="221" t="str">
        <f>"0x"&amp;DEC2HEX(Sheet3!$I$4,8)</f>
        <v>0x00400320</v>
      </c>
      <c r="C1798" s="221"/>
      <c r="D1798" s="221"/>
      <c r="E1798" s="12"/>
      <c r="F1798" s="319" t="str">
        <f>"0x"&amp;BIN2HEX(CONCATENATE(C1791,D1791,E1791,F1791,G1791,H1791,I1791,J1791),2)&amp;BIN2HEX(CONCATENATE(K1791,L1791,M1791,N1791,O1791,P1791,Q1791,R1791),2)&amp;BIN2HEX(CONCATENATE(S1791,T1791,U1791,V1791,W1791,X1791,Y1791,Z1791),2)&amp;BIN2HEX(CONCATENATE(AA1791,AB1791,AC1791,AD1791,AE1791,AF1791,AG1791,AH1791),2)</f>
        <v>0x00000000</v>
      </c>
      <c r="G1798" s="319"/>
      <c r="H1798" s="319"/>
      <c r="I1798" s="12"/>
      <c r="J1798" s="319" t="str">
        <f>"0b"&amp;C1795&amp;D1795&amp;E1795&amp;F1795&amp;G1795&amp;H1795&amp;I1795&amp;J1795&amp;K1795&amp;L1795&amp;M1795&amp;N1795&amp;O1795&amp;P1795&amp;Q1795</f>
        <v>0b000000000000100</v>
      </c>
      <c r="K1798" s="319"/>
      <c r="L1798" s="319"/>
      <c r="M1798" s="319"/>
      <c r="N1798" s="12"/>
      <c r="O1798" s="319" t="str">
        <f>"0b"&amp;DEC2BIN(((AF1795+AE1795*2+AD1795*4+AC1795*8+AB1795*16+AA1795*32+Z1795*64+Y1795*128+X1795*256+W1795*512+V1795*1024+U1795*2048+T1795*4096+S1795*2^13+R1795*2^14)/512),6)&amp;DEC2BIN(MOD((AF1795+AE1795*2+AD1795*4+AC1795*8+AB1795*16+AA1795*32+Z1795*64+Y1795*128+X1795*256+W1795*512+V1795*1024+U1795*2048+T1795*4096+S1795*2^13+R1795*2^14),512),9)</f>
        <v>0b000000110110100</v>
      </c>
      <c r="P1798" s="319"/>
      <c r="Q1798" s="319"/>
      <c r="R1798" s="319"/>
      <c r="S1798" s="12"/>
      <c r="T1798" s="224">
        <v>0</v>
      </c>
      <c r="U1798" s="224">
        <f>AH1795</f>
        <v>0</v>
      </c>
      <c r="V1798" s="5"/>
      <c r="W1798" s="14"/>
      <c r="X1798" s="14"/>
      <c r="Y1798" s="14"/>
      <c r="Z1798" s="14"/>
      <c r="AA1798" s="14"/>
      <c r="AB1798" s="14"/>
      <c r="AC1798" s="14"/>
      <c r="AD1798" s="14"/>
      <c r="AE1798" s="14"/>
      <c r="AF1798" s="14"/>
      <c r="AG1798" s="14"/>
      <c r="AH1798" s="14"/>
      <c r="AI1798" s="6"/>
    </row>
    <row r="1799" spans="1:35" x14ac:dyDescent="0.25">
      <c r="A1799" s="3"/>
      <c r="B1799" s="221"/>
      <c r="C1799" s="221"/>
      <c r="D1799" s="221"/>
      <c r="E1799" s="15"/>
      <c r="F1799" s="222"/>
      <c r="G1799" s="222"/>
      <c r="H1799" s="222"/>
      <c r="I1799" s="15"/>
      <c r="J1799" s="221"/>
      <c r="K1799" s="221"/>
      <c r="L1799" s="221"/>
      <c r="M1799" s="221"/>
      <c r="N1799" s="15"/>
      <c r="O1799" s="221"/>
      <c r="P1799" s="221"/>
      <c r="Q1799" s="221"/>
      <c r="R1799" s="221"/>
      <c r="S1799" s="15"/>
      <c r="T1799" s="224"/>
      <c r="U1799" s="15"/>
      <c r="V1799" s="5"/>
      <c r="W1799" s="16"/>
      <c r="X1799" s="16"/>
      <c r="Y1799" s="16"/>
      <c r="Z1799" s="16"/>
      <c r="AA1799" s="16"/>
      <c r="AB1799" s="16"/>
      <c r="AC1799" s="16"/>
      <c r="AD1799" s="16"/>
      <c r="AE1799" s="16"/>
      <c r="AF1799" s="16"/>
      <c r="AG1799" s="16"/>
      <c r="AH1799" s="16"/>
      <c r="AI1799" s="6"/>
    </row>
    <row r="1800" spans="1:35" x14ac:dyDescent="0.25">
      <c r="A1800" s="3"/>
      <c r="B1800" s="221"/>
      <c r="C1800" s="221"/>
      <c r="D1800" s="221"/>
      <c r="E1800" s="15"/>
      <c r="F1800" s="222"/>
      <c r="G1800" s="222"/>
      <c r="H1800" s="222"/>
      <c r="I1800" s="15"/>
      <c r="J1800" s="221"/>
      <c r="K1800" s="221"/>
      <c r="L1800" s="221"/>
      <c r="M1800" s="221"/>
      <c r="N1800" s="15"/>
      <c r="O1800" s="221"/>
      <c r="P1800" s="221"/>
      <c r="Q1800" s="221"/>
      <c r="R1800" s="221"/>
      <c r="S1800" s="15"/>
      <c r="T1800" s="224"/>
      <c r="U1800" s="15"/>
      <c r="V1800" s="5"/>
      <c r="W1800" s="16"/>
      <c r="X1800" s="16"/>
      <c r="Y1800" s="16"/>
      <c r="Z1800" s="16"/>
      <c r="AA1800" s="16"/>
      <c r="AB1800" s="16"/>
      <c r="AC1800" s="16"/>
      <c r="AD1800" s="16"/>
      <c r="AE1800" s="16"/>
      <c r="AF1800" s="16"/>
      <c r="AG1800" s="16"/>
      <c r="AH1800" s="16"/>
      <c r="AI1800" s="6"/>
    </row>
    <row r="1801" spans="1:35" x14ac:dyDescent="0.25">
      <c r="A1801" s="3"/>
      <c r="B1801" s="5"/>
      <c r="C1801" s="5"/>
      <c r="D1801" s="5"/>
      <c r="E1801" s="5"/>
      <c r="F1801" s="17"/>
      <c r="G1801" s="17"/>
      <c r="H1801" s="17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5"/>
      <c r="AH1801" s="5"/>
      <c r="AI1801" s="6"/>
    </row>
    <row r="1802" spans="1:35" x14ac:dyDescent="0.25">
      <c r="A1802" s="3"/>
      <c r="B1802" s="5" t="s">
        <v>47</v>
      </c>
      <c r="C1802" s="18"/>
      <c r="D1802" s="18"/>
      <c r="E1802" s="18"/>
      <c r="F1802" s="5"/>
      <c r="G1802" s="5"/>
      <c r="H1802" s="5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  <c r="AB1802" s="18"/>
      <c r="AC1802" s="18"/>
      <c r="AD1802" s="18"/>
      <c r="AE1802" s="18"/>
      <c r="AF1802" s="18"/>
      <c r="AG1802" s="18"/>
      <c r="AH1802" s="18"/>
      <c r="AI1802" s="6"/>
    </row>
    <row r="1803" spans="1:35" ht="15" customHeight="1" x14ac:dyDescent="0.25">
      <c r="A1803" s="3"/>
      <c r="B1803" s="221" t="str">
        <f>"0x"&amp;DEC2HEX(Sheet3!$I$4,8)</f>
        <v>0x00400320</v>
      </c>
      <c r="C1803" s="221"/>
      <c r="D1803" s="221"/>
      <c r="E1803" s="16"/>
      <c r="F1803" s="322" t="str">
        <f>F1798&amp;BIN2HEX(MID(J1798,3,8),2)&amp;BIN2HEX(RIGHT(J1798,7)&amp;MID(O1798,3,1),2)&amp;BIN2HEX(MID(O1798,4,8),2)&amp;BIN2HEX(RIGHT(O1798,6)&amp;T1798&amp;U1798,2)</f>
        <v>0x00000000000806D0</v>
      </c>
      <c r="G1803" s="322"/>
      <c r="H1803" s="322"/>
      <c r="I1803" s="322"/>
      <c r="J1803" s="5"/>
      <c r="K1803" s="5"/>
      <c r="L1803" s="5"/>
      <c r="M1803" s="5"/>
      <c r="N1803" s="5"/>
      <c r="O1803" s="5"/>
      <c r="P1803" s="16"/>
      <c r="Q1803" s="16"/>
      <c r="R1803" s="19"/>
      <c r="S1803" s="19"/>
      <c r="T1803" s="19"/>
      <c r="U1803" s="19"/>
      <c r="V1803" s="19"/>
      <c r="W1803" s="19"/>
      <c r="X1803" s="19"/>
      <c r="Y1803" s="19"/>
      <c r="Z1803" s="19"/>
      <c r="AA1803" s="19"/>
      <c r="AB1803" s="19"/>
      <c r="AC1803" s="19"/>
      <c r="AD1803" s="19"/>
      <c r="AE1803" s="19"/>
      <c r="AF1803" s="19"/>
      <c r="AG1803" s="5"/>
      <c r="AH1803" s="5"/>
      <c r="AI1803" s="6"/>
    </row>
    <row r="1804" spans="1:35" x14ac:dyDescent="0.25">
      <c r="A1804" s="3"/>
      <c r="B1804" s="221"/>
      <c r="C1804" s="221"/>
      <c r="D1804" s="221"/>
      <c r="E1804" s="5"/>
      <c r="F1804" s="223"/>
      <c r="G1804" s="223"/>
      <c r="H1804" s="223"/>
      <c r="I1804" s="223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5"/>
      <c r="AH1804" s="5"/>
      <c r="AI1804" s="6"/>
    </row>
    <row r="1805" spans="1:35" x14ac:dyDescent="0.25">
      <c r="A1805" s="3"/>
      <c r="B1805" s="221"/>
      <c r="C1805" s="221"/>
      <c r="D1805" s="221"/>
      <c r="E1805" s="5"/>
      <c r="F1805" s="223"/>
      <c r="G1805" s="223"/>
      <c r="H1805" s="223"/>
      <c r="I1805" s="223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5"/>
      <c r="AH1805" s="5"/>
      <c r="AI1805" s="6"/>
    </row>
    <row r="1806" spans="1:35" x14ac:dyDescent="0.25">
      <c r="A1806" s="20"/>
      <c r="B1806" s="21"/>
      <c r="C1806" s="21"/>
      <c r="D1806" s="21"/>
      <c r="E1806" s="21"/>
      <c r="F1806" s="21"/>
      <c r="G1806" s="21"/>
      <c r="H1806" s="21"/>
      <c r="I1806" s="21"/>
      <c r="J1806" s="21"/>
      <c r="K1806" s="21"/>
      <c r="L1806" s="21"/>
      <c r="M1806" s="21"/>
      <c r="N1806" s="21"/>
      <c r="O1806" s="22"/>
      <c r="P1806" s="21"/>
      <c r="Q1806" s="21"/>
      <c r="R1806" s="21"/>
      <c r="S1806" s="21"/>
      <c r="T1806" s="21"/>
      <c r="U1806" s="21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  <c r="AF1806" s="21"/>
      <c r="AG1806" s="21"/>
      <c r="AH1806" s="21"/>
      <c r="AI1806" s="23"/>
    </row>
    <row r="1807" spans="1:35" x14ac:dyDescent="0.25">
      <c r="A1807" s="24"/>
      <c r="B1807" s="28"/>
      <c r="C1807" s="25"/>
      <c r="D1807" s="25"/>
      <c r="E1807" s="25"/>
      <c r="F1807" s="25"/>
      <c r="G1807" s="25"/>
      <c r="H1807" s="25"/>
      <c r="I1807" s="25"/>
      <c r="J1807" s="25"/>
      <c r="K1807" s="25"/>
      <c r="L1807" s="25"/>
      <c r="M1807" s="25"/>
      <c r="N1807" s="25"/>
      <c r="O1807" s="25"/>
      <c r="P1807" s="25"/>
      <c r="Q1807" s="25"/>
      <c r="R1807" s="25"/>
      <c r="S1807" s="25"/>
      <c r="T1807" s="25"/>
      <c r="U1807" s="25"/>
      <c r="V1807" s="25"/>
      <c r="W1807" s="25"/>
      <c r="X1807" s="25"/>
      <c r="Y1807" s="25"/>
      <c r="Z1807" s="25"/>
      <c r="AA1807" s="25"/>
      <c r="AB1807" s="25"/>
      <c r="AC1807" s="25"/>
      <c r="AD1807" s="25"/>
      <c r="AE1807" s="25"/>
      <c r="AF1807" s="25"/>
      <c r="AG1807" s="25"/>
      <c r="AH1807" s="25"/>
      <c r="AI1807" s="26"/>
    </row>
    <row r="1808" spans="1:35" x14ac:dyDescent="0.25">
      <c r="A1808" s="3"/>
      <c r="B1808" s="4" t="s">
        <v>348</v>
      </c>
      <c r="C1808" s="5"/>
      <c r="D1808" s="5"/>
      <c r="E1808" s="5"/>
      <c r="F1808" s="5"/>
      <c r="G1808" s="5"/>
      <c r="H1808" s="5"/>
      <c r="I1808" s="5" t="str">
        <f>"0x"&amp;BIN2HEX(CONCATENATE(C1813,D1813,E1813,F1813,G1813,H1813,I1813,J1813),2)&amp;BIN2HEX(CONCATENATE(K1813,L1813,M1813,N1813,O1813,P1813,Q1813,R1813),2)&amp;BIN2HEX(CONCATENATE(S1813,T1813,U1813,V1813,W1813,X1813,Y1813,Z1813),2)&amp;BIN2HEX(CONCATENATE(AA1813,AB1813,AC1813,AD1813,AE1813,AF1813,AG1813,AH1813),2)&amp;"_"&amp;BIN2HEX(CONCATENATE(C1817,D1817,E1817,F1817,G1817,H1817,I1817,J1817),2)&amp;BIN2HEX(CONCATENATE(K1817,L1817,M1817,N1817,O1817,P1817,Q1817,R1817),2)&amp;BIN2HEX(CONCATENATE(S1817,T1817,U1817,V1817,W1817,X1817,Y1817,Z1817),2)&amp;BIN2HEX(CONCATENATE(AA1817,AB1817,AC1817,AD1817,AE1817,AF1817,AG1817,AH1817),2)</f>
        <v>0x00000000_000806D4</v>
      </c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5"/>
      <c r="AH1808" s="5"/>
      <c r="AI1808" s="6"/>
    </row>
    <row r="1809" spans="1:35" ht="15.75" thickBot="1" x14ac:dyDescent="0.3">
      <c r="A1809" s="3"/>
      <c r="B1809" s="5"/>
      <c r="C1809" s="7">
        <v>0</v>
      </c>
      <c r="D1809" s="7">
        <v>1</v>
      </c>
      <c r="E1809" s="7">
        <v>2</v>
      </c>
      <c r="F1809" s="7">
        <v>3</v>
      </c>
      <c r="G1809" s="7">
        <v>4</v>
      </c>
      <c r="H1809" s="7">
        <v>5</v>
      </c>
      <c r="I1809" s="7">
        <v>6</v>
      </c>
      <c r="J1809" s="7">
        <v>7</v>
      </c>
      <c r="K1809" s="7">
        <v>8</v>
      </c>
      <c r="L1809" s="7">
        <v>9</v>
      </c>
      <c r="M1809" s="7">
        <v>10</v>
      </c>
      <c r="N1809" s="7">
        <v>11</v>
      </c>
      <c r="O1809" s="7">
        <v>12</v>
      </c>
      <c r="P1809" s="7">
        <v>13</v>
      </c>
      <c r="Q1809" s="7">
        <v>14</v>
      </c>
      <c r="R1809" s="7">
        <v>15</v>
      </c>
      <c r="S1809" s="7">
        <v>16</v>
      </c>
      <c r="T1809" s="7">
        <v>17</v>
      </c>
      <c r="U1809" s="7">
        <v>18</v>
      </c>
      <c r="V1809" s="7">
        <v>19</v>
      </c>
      <c r="W1809" s="7">
        <v>20</v>
      </c>
      <c r="X1809" s="7">
        <v>21</v>
      </c>
      <c r="Y1809" s="7">
        <v>22</v>
      </c>
      <c r="Z1809" s="7">
        <v>23</v>
      </c>
      <c r="AA1809" s="7">
        <v>24</v>
      </c>
      <c r="AB1809" s="7">
        <v>25</v>
      </c>
      <c r="AC1809" s="7">
        <v>26</v>
      </c>
      <c r="AD1809" s="7">
        <v>27</v>
      </c>
      <c r="AE1809" s="7">
        <v>28</v>
      </c>
      <c r="AF1809" s="7">
        <v>29</v>
      </c>
      <c r="AG1809" s="7">
        <v>30</v>
      </c>
      <c r="AH1809" s="7">
        <v>31</v>
      </c>
      <c r="AI1809" s="6"/>
    </row>
    <row r="1810" spans="1:35" x14ac:dyDescent="0.25">
      <c r="A1810" s="3"/>
      <c r="B1810" s="5" t="s">
        <v>31</v>
      </c>
      <c r="C1810" s="328" t="s">
        <v>161</v>
      </c>
      <c r="D1810" s="330" t="s">
        <v>63</v>
      </c>
      <c r="E1810" s="331"/>
      <c r="F1810" s="331"/>
      <c r="G1810" s="331"/>
      <c r="H1810" s="331"/>
      <c r="I1810" s="331"/>
      <c r="J1810" s="332"/>
      <c r="K1810" s="336">
        <v>0</v>
      </c>
      <c r="L1810" s="337"/>
      <c r="M1810" s="337"/>
      <c r="N1810" s="337"/>
      <c r="O1810" s="337"/>
      <c r="P1810" s="337"/>
      <c r="Q1810" s="337"/>
      <c r="R1810" s="337"/>
      <c r="S1810" s="337"/>
      <c r="T1810" s="337"/>
      <c r="U1810" s="337"/>
      <c r="V1810" s="337"/>
      <c r="W1810" s="337"/>
      <c r="X1810" s="337"/>
      <c r="Y1810" s="337"/>
      <c r="Z1810" s="337"/>
      <c r="AA1810" s="337"/>
      <c r="AB1810" s="337"/>
      <c r="AC1810" s="337"/>
      <c r="AD1810" s="337"/>
      <c r="AE1810" s="337"/>
      <c r="AF1810" s="337"/>
      <c r="AG1810" s="337"/>
      <c r="AH1810" s="338"/>
      <c r="AI1810" s="6"/>
    </row>
    <row r="1811" spans="1:35" x14ac:dyDescent="0.25">
      <c r="A1811" s="3"/>
      <c r="B1811" s="5" t="s">
        <v>32</v>
      </c>
      <c r="C1811" s="329"/>
      <c r="D1811" s="333"/>
      <c r="E1811" s="334"/>
      <c r="F1811" s="334"/>
      <c r="G1811" s="334"/>
      <c r="H1811" s="334"/>
      <c r="I1811" s="334"/>
      <c r="J1811" s="335"/>
      <c r="K1811" s="339"/>
      <c r="L1811" s="340"/>
      <c r="M1811" s="340"/>
      <c r="N1811" s="340"/>
      <c r="O1811" s="340"/>
      <c r="P1811" s="340"/>
      <c r="Q1811" s="340"/>
      <c r="R1811" s="340"/>
      <c r="S1811" s="340"/>
      <c r="T1811" s="340"/>
      <c r="U1811" s="340"/>
      <c r="V1811" s="340"/>
      <c r="W1811" s="340"/>
      <c r="X1811" s="340"/>
      <c r="Y1811" s="340"/>
      <c r="Z1811" s="340"/>
      <c r="AA1811" s="340"/>
      <c r="AB1811" s="340"/>
      <c r="AC1811" s="340"/>
      <c r="AD1811" s="340"/>
      <c r="AE1811" s="340"/>
      <c r="AF1811" s="340"/>
      <c r="AG1811" s="340"/>
      <c r="AH1811" s="341"/>
      <c r="AI1811" s="6"/>
    </row>
    <row r="1812" spans="1:35" x14ac:dyDescent="0.25">
      <c r="A1812" s="3"/>
      <c r="B1812" s="5" t="s">
        <v>11</v>
      </c>
      <c r="C1812" s="56">
        <v>0</v>
      </c>
      <c r="D1812" s="57">
        <v>0</v>
      </c>
      <c r="E1812" s="57">
        <v>0</v>
      </c>
      <c r="F1812" s="57">
        <v>0</v>
      </c>
      <c r="G1812" s="57">
        <v>0</v>
      </c>
      <c r="H1812" s="57">
        <v>0</v>
      </c>
      <c r="I1812" s="57">
        <v>0</v>
      </c>
      <c r="J1812" s="57">
        <v>0</v>
      </c>
      <c r="K1812" s="57">
        <v>0</v>
      </c>
      <c r="L1812" s="57">
        <v>0</v>
      </c>
      <c r="M1812" s="57">
        <v>0</v>
      </c>
      <c r="N1812" s="57">
        <v>0</v>
      </c>
      <c r="O1812" s="57">
        <v>0</v>
      </c>
      <c r="P1812" s="57">
        <v>0</v>
      </c>
      <c r="Q1812" s="57">
        <v>0</v>
      </c>
      <c r="R1812" s="57">
        <v>0</v>
      </c>
      <c r="S1812" s="57">
        <v>0</v>
      </c>
      <c r="T1812" s="57">
        <v>0</v>
      </c>
      <c r="U1812" s="57">
        <v>0</v>
      </c>
      <c r="V1812" s="57">
        <v>0</v>
      </c>
      <c r="W1812" s="57">
        <v>0</v>
      </c>
      <c r="X1812" s="57">
        <v>0</v>
      </c>
      <c r="Y1812" s="57">
        <v>0</v>
      </c>
      <c r="Z1812" s="57">
        <v>0</v>
      </c>
      <c r="AA1812" s="57">
        <v>0</v>
      </c>
      <c r="AB1812" s="57">
        <v>0</v>
      </c>
      <c r="AC1812" s="57">
        <v>0</v>
      </c>
      <c r="AD1812" s="57">
        <v>0</v>
      </c>
      <c r="AE1812" s="57">
        <v>0</v>
      </c>
      <c r="AF1812" s="57">
        <v>0</v>
      </c>
      <c r="AG1812" s="57">
        <v>0</v>
      </c>
      <c r="AH1812" s="58">
        <v>0</v>
      </c>
      <c r="AI1812" s="6"/>
    </row>
    <row r="1813" spans="1:35" ht="15.75" thickBot="1" x14ac:dyDescent="0.3">
      <c r="A1813" s="3"/>
      <c r="B1813" s="5" t="s">
        <v>12</v>
      </c>
      <c r="C1813" s="145">
        <v>0</v>
      </c>
      <c r="D1813" s="88">
        <v>0</v>
      </c>
      <c r="E1813" s="88">
        <v>0</v>
      </c>
      <c r="F1813" s="88">
        <v>0</v>
      </c>
      <c r="G1813" s="88">
        <v>0</v>
      </c>
      <c r="H1813" s="88">
        <v>0</v>
      </c>
      <c r="I1813" s="88">
        <v>0</v>
      </c>
      <c r="J1813" s="88">
        <v>0</v>
      </c>
      <c r="K1813" s="62">
        <v>0</v>
      </c>
      <c r="L1813" s="62">
        <v>0</v>
      </c>
      <c r="M1813" s="62">
        <v>0</v>
      </c>
      <c r="N1813" s="62">
        <v>0</v>
      </c>
      <c r="O1813" s="62">
        <v>0</v>
      </c>
      <c r="P1813" s="62">
        <v>0</v>
      </c>
      <c r="Q1813" s="62">
        <v>0</v>
      </c>
      <c r="R1813" s="62">
        <v>0</v>
      </c>
      <c r="S1813" s="62">
        <v>0</v>
      </c>
      <c r="T1813" s="62">
        <v>0</v>
      </c>
      <c r="U1813" s="62">
        <v>0</v>
      </c>
      <c r="V1813" s="62">
        <v>0</v>
      </c>
      <c r="W1813" s="62">
        <v>0</v>
      </c>
      <c r="X1813" s="62">
        <v>0</v>
      </c>
      <c r="Y1813" s="62">
        <v>0</v>
      </c>
      <c r="Z1813" s="62">
        <v>0</v>
      </c>
      <c r="AA1813" s="62">
        <v>0</v>
      </c>
      <c r="AB1813" s="62">
        <v>0</v>
      </c>
      <c r="AC1813" s="62">
        <v>0</v>
      </c>
      <c r="AD1813" s="62">
        <v>0</v>
      </c>
      <c r="AE1813" s="62">
        <v>0</v>
      </c>
      <c r="AF1813" s="62">
        <v>0</v>
      </c>
      <c r="AG1813" s="62">
        <v>0</v>
      </c>
      <c r="AH1813" s="146">
        <v>0</v>
      </c>
      <c r="AI1813" s="6"/>
    </row>
    <row r="1814" spans="1:35" x14ac:dyDescent="0.25">
      <c r="A1814" s="3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5"/>
      <c r="AH1814" s="5"/>
      <c r="AI1814" s="6"/>
    </row>
    <row r="1815" spans="1:35" ht="15.75" thickBot="1" x14ac:dyDescent="0.3">
      <c r="A1815" s="3"/>
      <c r="B1815" s="5"/>
      <c r="C1815" s="7">
        <v>32</v>
      </c>
      <c r="D1815" s="7">
        <v>33</v>
      </c>
      <c r="E1815" s="7">
        <v>34</v>
      </c>
      <c r="F1815" s="7">
        <v>35</v>
      </c>
      <c r="G1815" s="7">
        <v>36</v>
      </c>
      <c r="H1815" s="7">
        <v>37</v>
      </c>
      <c r="I1815" s="7">
        <v>38</v>
      </c>
      <c r="J1815" s="7">
        <v>39</v>
      </c>
      <c r="K1815" s="7">
        <v>40</v>
      </c>
      <c r="L1815" s="7">
        <v>41</v>
      </c>
      <c r="M1815" s="7">
        <v>42</v>
      </c>
      <c r="N1815" s="7">
        <v>43</v>
      </c>
      <c r="O1815" s="7">
        <v>44</v>
      </c>
      <c r="P1815" s="7">
        <v>45</v>
      </c>
      <c r="Q1815" s="7">
        <v>46</v>
      </c>
      <c r="R1815" s="7">
        <v>47</v>
      </c>
      <c r="S1815" s="7">
        <v>48</v>
      </c>
      <c r="T1815" s="7">
        <v>49</v>
      </c>
      <c r="U1815" s="7">
        <v>50</v>
      </c>
      <c r="V1815" s="7">
        <v>51</v>
      </c>
      <c r="W1815" s="7">
        <v>52</v>
      </c>
      <c r="X1815" s="7">
        <v>53</v>
      </c>
      <c r="Y1815" s="7">
        <v>54</v>
      </c>
      <c r="Z1815" s="7">
        <v>55</v>
      </c>
      <c r="AA1815" s="7">
        <v>56</v>
      </c>
      <c r="AB1815" s="7">
        <v>57</v>
      </c>
      <c r="AC1815" s="7">
        <v>58</v>
      </c>
      <c r="AD1815" s="7">
        <v>59</v>
      </c>
      <c r="AE1815" s="7">
        <v>60</v>
      </c>
      <c r="AF1815" s="7">
        <v>61</v>
      </c>
      <c r="AG1815" s="7">
        <v>62</v>
      </c>
      <c r="AH1815" s="7">
        <v>63</v>
      </c>
      <c r="AI1815" s="6"/>
    </row>
    <row r="1816" spans="1:35" ht="15.75" thickBot="1" x14ac:dyDescent="0.3">
      <c r="A1816" s="3"/>
      <c r="B1816" s="5"/>
      <c r="C1816" s="147" t="s">
        <v>13</v>
      </c>
      <c r="D1816" s="148" t="s">
        <v>14</v>
      </c>
      <c r="E1816" s="148" t="s">
        <v>15</v>
      </c>
      <c r="F1816" s="148" t="s">
        <v>16</v>
      </c>
      <c r="G1816" s="148" t="s">
        <v>17</v>
      </c>
      <c r="H1816" s="148" t="s">
        <v>18</v>
      </c>
      <c r="I1816" s="148" t="s">
        <v>19</v>
      </c>
      <c r="J1816" s="148" t="s">
        <v>20</v>
      </c>
      <c r="K1816" s="148" t="s">
        <v>21</v>
      </c>
      <c r="L1816" s="148" t="s">
        <v>22</v>
      </c>
      <c r="M1816" s="148" t="s">
        <v>23</v>
      </c>
      <c r="N1816" s="148" t="s">
        <v>24</v>
      </c>
      <c r="O1816" s="148" t="s">
        <v>25</v>
      </c>
      <c r="P1816" s="148" t="s">
        <v>26</v>
      </c>
      <c r="Q1816" s="148" t="s">
        <v>27</v>
      </c>
      <c r="R1816" s="342" t="s">
        <v>30</v>
      </c>
      <c r="S1816" s="343"/>
      <c r="T1816" s="343"/>
      <c r="U1816" s="343"/>
      <c r="V1816" s="343"/>
      <c r="W1816" s="343"/>
      <c r="X1816" s="343"/>
      <c r="Y1816" s="343"/>
      <c r="Z1816" s="343"/>
      <c r="AA1816" s="343"/>
      <c r="AB1816" s="343"/>
      <c r="AC1816" s="343"/>
      <c r="AD1816" s="343"/>
      <c r="AE1816" s="343"/>
      <c r="AF1816" s="344"/>
      <c r="AG1816" s="67" t="s">
        <v>28</v>
      </c>
      <c r="AH1816" s="149" t="s">
        <v>29</v>
      </c>
      <c r="AI1816" s="6"/>
    </row>
    <row r="1817" spans="1:35" ht="15.75" thickBot="1" x14ac:dyDescent="0.3">
      <c r="A1817" s="3"/>
      <c r="B1817" s="5"/>
      <c r="C1817" s="150">
        <v>0</v>
      </c>
      <c r="D1817" s="151">
        <v>0</v>
      </c>
      <c r="E1817" s="151">
        <v>0</v>
      </c>
      <c r="F1817" s="151">
        <v>0</v>
      </c>
      <c r="G1817" s="151">
        <v>0</v>
      </c>
      <c r="H1817" s="151">
        <v>0</v>
      </c>
      <c r="I1817" s="151">
        <v>0</v>
      </c>
      <c r="J1817" s="151">
        <v>0</v>
      </c>
      <c r="K1817" s="151">
        <v>0</v>
      </c>
      <c r="L1817" s="151">
        <v>0</v>
      </c>
      <c r="M1817" s="151">
        <v>0</v>
      </c>
      <c r="N1817" s="151">
        <v>0</v>
      </c>
      <c r="O1817" s="151">
        <v>1</v>
      </c>
      <c r="P1817" s="151">
        <v>0</v>
      </c>
      <c r="Q1817" s="151">
        <v>0</v>
      </c>
      <c r="R1817" s="151">
        <v>0</v>
      </c>
      <c r="S1817" s="151">
        <v>0</v>
      </c>
      <c r="T1817" s="151">
        <v>0</v>
      </c>
      <c r="U1817" s="151">
        <v>0</v>
      </c>
      <c r="V1817" s="151">
        <v>0</v>
      </c>
      <c r="W1817" s="151">
        <v>0</v>
      </c>
      <c r="X1817" s="151">
        <v>1</v>
      </c>
      <c r="Y1817" s="151">
        <v>1</v>
      </c>
      <c r="Z1817" s="151">
        <v>0</v>
      </c>
      <c r="AA1817" s="151">
        <v>1</v>
      </c>
      <c r="AB1817" s="151">
        <v>1</v>
      </c>
      <c r="AC1817" s="151">
        <v>0</v>
      </c>
      <c r="AD1817" s="151">
        <v>1</v>
      </c>
      <c r="AE1817" s="151">
        <v>0</v>
      </c>
      <c r="AF1817" s="151">
        <v>1</v>
      </c>
      <c r="AG1817" s="151">
        <v>0</v>
      </c>
      <c r="AH1817" s="152">
        <v>0</v>
      </c>
      <c r="AI1817" s="6"/>
    </row>
    <row r="1818" spans="1:35" x14ac:dyDescent="0.25">
      <c r="A1818" s="3"/>
      <c r="B1818" s="4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5"/>
      <c r="AH1818" s="5"/>
      <c r="AI1818" s="6"/>
    </row>
    <row r="1819" spans="1:35" x14ac:dyDescent="0.25">
      <c r="A1819" s="3"/>
      <c r="B1819" s="8" t="s">
        <v>43</v>
      </c>
      <c r="C1819" s="9"/>
      <c r="D1819" s="9"/>
      <c r="E1819" s="9"/>
      <c r="F1819" s="225" t="s">
        <v>44</v>
      </c>
      <c r="G1819" s="225"/>
      <c r="H1819" s="225"/>
      <c r="I1819" s="9"/>
      <c r="J1819" s="226" t="s">
        <v>45</v>
      </c>
      <c r="K1819" s="226"/>
      <c r="L1819" s="226"/>
      <c r="M1819" s="226"/>
      <c r="N1819" s="9"/>
      <c r="O1819" s="227" t="s">
        <v>46</v>
      </c>
      <c r="P1819" s="227"/>
      <c r="Q1819" s="227"/>
      <c r="R1819" s="227"/>
      <c r="S1819" s="9"/>
      <c r="T1819" s="1" t="s">
        <v>49</v>
      </c>
      <c r="U1819" s="10" t="s">
        <v>48</v>
      </c>
      <c r="V1819" s="5"/>
      <c r="W1819" s="9"/>
      <c r="X1819" s="9"/>
      <c r="Y1819" s="9"/>
      <c r="Z1819" s="9"/>
      <c r="AA1819" s="9"/>
      <c r="AB1819" s="9"/>
      <c r="AC1819" s="9"/>
      <c r="AD1819" s="9"/>
      <c r="AE1819" s="9"/>
      <c r="AF1819" s="9"/>
      <c r="AG1819" s="9"/>
      <c r="AH1819" s="9"/>
      <c r="AI1819" s="6"/>
    </row>
    <row r="1820" spans="1:35" ht="15" customHeight="1" x14ac:dyDescent="0.25">
      <c r="A1820" s="3"/>
      <c r="B1820" s="221" t="str">
        <f>"0x"&amp;DEC2HEX(Sheet3!$I$4,8)</f>
        <v>0x00400320</v>
      </c>
      <c r="C1820" s="221"/>
      <c r="D1820" s="221"/>
      <c r="E1820" s="12"/>
      <c r="F1820" s="319" t="str">
        <f>"0x"&amp;BIN2HEX(CONCATENATE(C1813,D1813,E1813,F1813,G1813,H1813,I1813,J1813),2)&amp;BIN2HEX(CONCATENATE(K1813,L1813,M1813,N1813,O1813,P1813,Q1813,R1813),2)&amp;BIN2HEX(CONCATENATE(S1813,T1813,U1813,V1813,W1813,X1813,Y1813,Z1813),2)&amp;BIN2HEX(CONCATENATE(AA1813,AB1813,AC1813,AD1813,AE1813,AF1813,AG1813,AH1813),2)</f>
        <v>0x00000000</v>
      </c>
      <c r="G1820" s="319"/>
      <c r="H1820" s="319"/>
      <c r="I1820" s="12"/>
      <c r="J1820" s="319" t="str">
        <f>"0b"&amp;C1817&amp;D1817&amp;E1817&amp;F1817&amp;G1817&amp;H1817&amp;I1817&amp;J1817&amp;K1817&amp;L1817&amp;M1817&amp;N1817&amp;O1817&amp;P1817&amp;Q1817</f>
        <v>0b000000000000100</v>
      </c>
      <c r="K1820" s="319"/>
      <c r="L1820" s="319"/>
      <c r="M1820" s="319"/>
      <c r="N1820" s="12"/>
      <c r="O1820" s="319" t="str">
        <f>"0b"&amp;DEC2BIN(((AF1817+AE1817*2+AD1817*4+AC1817*8+AB1817*16+AA1817*32+Z1817*64+Y1817*128+X1817*256+W1817*512+V1817*1024+U1817*2048+T1817*4096+S1817*2^13+R1817*2^14)/512),6)&amp;DEC2BIN(MOD((AF1817+AE1817*2+AD1817*4+AC1817*8+AB1817*16+AA1817*32+Z1817*64+Y1817*128+X1817*256+W1817*512+V1817*1024+U1817*2048+T1817*4096+S1817*2^13+R1817*2^14),512),9)</f>
        <v>0b000000110110101</v>
      </c>
      <c r="P1820" s="319"/>
      <c r="Q1820" s="319"/>
      <c r="R1820" s="319"/>
      <c r="S1820" s="12"/>
      <c r="T1820" s="224">
        <v>0</v>
      </c>
      <c r="U1820" s="224">
        <f>AH1817</f>
        <v>0</v>
      </c>
      <c r="V1820" s="5"/>
      <c r="W1820" s="14"/>
      <c r="X1820" s="14"/>
      <c r="Y1820" s="14"/>
      <c r="Z1820" s="14"/>
      <c r="AA1820" s="14"/>
      <c r="AB1820" s="14"/>
      <c r="AC1820" s="14"/>
      <c r="AD1820" s="14"/>
      <c r="AE1820" s="14"/>
      <c r="AF1820" s="14"/>
      <c r="AG1820" s="14"/>
      <c r="AH1820" s="14"/>
      <c r="AI1820" s="6"/>
    </row>
    <row r="1821" spans="1:35" x14ac:dyDescent="0.25">
      <c r="A1821" s="3"/>
      <c r="B1821" s="221"/>
      <c r="C1821" s="221"/>
      <c r="D1821" s="221"/>
      <c r="E1821" s="15"/>
      <c r="F1821" s="222"/>
      <c r="G1821" s="222"/>
      <c r="H1821" s="222"/>
      <c r="I1821" s="15"/>
      <c r="J1821" s="221"/>
      <c r="K1821" s="221"/>
      <c r="L1821" s="221"/>
      <c r="M1821" s="221"/>
      <c r="N1821" s="15"/>
      <c r="O1821" s="221"/>
      <c r="P1821" s="221"/>
      <c r="Q1821" s="221"/>
      <c r="R1821" s="221"/>
      <c r="S1821" s="15"/>
      <c r="T1821" s="224"/>
      <c r="U1821" s="15"/>
      <c r="V1821" s="5"/>
      <c r="W1821" s="16"/>
      <c r="X1821" s="16"/>
      <c r="Y1821" s="16"/>
      <c r="Z1821" s="16"/>
      <c r="AA1821" s="16"/>
      <c r="AB1821" s="16"/>
      <c r="AC1821" s="16"/>
      <c r="AD1821" s="16"/>
      <c r="AE1821" s="16"/>
      <c r="AF1821" s="16"/>
      <c r="AG1821" s="16"/>
      <c r="AH1821" s="16"/>
      <c r="AI1821" s="6"/>
    </row>
    <row r="1822" spans="1:35" x14ac:dyDescent="0.25">
      <c r="A1822" s="3"/>
      <c r="B1822" s="221"/>
      <c r="C1822" s="221"/>
      <c r="D1822" s="221"/>
      <c r="E1822" s="15"/>
      <c r="F1822" s="222"/>
      <c r="G1822" s="222"/>
      <c r="H1822" s="222"/>
      <c r="I1822" s="15"/>
      <c r="J1822" s="221"/>
      <c r="K1822" s="221"/>
      <c r="L1822" s="221"/>
      <c r="M1822" s="221"/>
      <c r="N1822" s="15"/>
      <c r="O1822" s="221"/>
      <c r="P1822" s="221"/>
      <c r="Q1822" s="221"/>
      <c r="R1822" s="221"/>
      <c r="S1822" s="15"/>
      <c r="T1822" s="224"/>
      <c r="U1822" s="15"/>
      <c r="V1822" s="5"/>
      <c r="W1822" s="16"/>
      <c r="X1822" s="16"/>
      <c r="Y1822" s="16"/>
      <c r="Z1822" s="16"/>
      <c r="AA1822" s="16"/>
      <c r="AB1822" s="16"/>
      <c r="AC1822" s="16"/>
      <c r="AD1822" s="16"/>
      <c r="AE1822" s="16"/>
      <c r="AF1822" s="16"/>
      <c r="AG1822" s="16"/>
      <c r="AH1822" s="16"/>
      <c r="AI1822" s="6"/>
    </row>
    <row r="1823" spans="1:35" x14ac:dyDescent="0.25">
      <c r="A1823" s="3"/>
      <c r="B1823" s="5"/>
      <c r="C1823" s="5"/>
      <c r="D1823" s="5"/>
      <c r="E1823" s="5"/>
      <c r="F1823" s="17"/>
      <c r="G1823" s="17"/>
      <c r="H1823" s="17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5"/>
      <c r="AH1823" s="5"/>
      <c r="AI1823" s="6"/>
    </row>
    <row r="1824" spans="1:35" x14ac:dyDescent="0.25">
      <c r="A1824" s="3"/>
      <c r="B1824" s="5" t="s">
        <v>47</v>
      </c>
      <c r="C1824" s="18"/>
      <c r="D1824" s="18"/>
      <c r="E1824" s="18"/>
      <c r="F1824" s="5"/>
      <c r="G1824" s="5"/>
      <c r="H1824" s="5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  <c r="AB1824" s="18"/>
      <c r="AC1824" s="18"/>
      <c r="AD1824" s="18"/>
      <c r="AE1824" s="18"/>
      <c r="AF1824" s="18"/>
      <c r="AG1824" s="18"/>
      <c r="AH1824" s="18"/>
      <c r="AI1824" s="6"/>
    </row>
    <row r="1825" spans="1:35" ht="15" customHeight="1" x14ac:dyDescent="0.25">
      <c r="A1825" s="3"/>
      <c r="B1825" s="221" t="str">
        <f>"0x"&amp;DEC2HEX(Sheet3!$I$4,8)</f>
        <v>0x00400320</v>
      </c>
      <c r="C1825" s="221"/>
      <c r="D1825" s="221"/>
      <c r="E1825" s="16"/>
      <c r="F1825" s="322" t="str">
        <f>F1820&amp;BIN2HEX(MID(J1820,3,8),2)&amp;BIN2HEX(RIGHT(J1820,7)&amp;MID(O1820,3,1),2)&amp;BIN2HEX(MID(O1820,4,8),2)&amp;BIN2HEX(RIGHT(O1820,6)&amp;T1820&amp;U1820,2)</f>
        <v>0x00000000000806D4</v>
      </c>
      <c r="G1825" s="322"/>
      <c r="H1825" s="322"/>
      <c r="I1825" s="322"/>
      <c r="J1825" s="5"/>
      <c r="K1825" s="5"/>
      <c r="L1825" s="5"/>
      <c r="M1825" s="5"/>
      <c r="N1825" s="5"/>
      <c r="O1825" s="5"/>
      <c r="P1825" s="16"/>
      <c r="Q1825" s="16"/>
      <c r="R1825" s="19"/>
      <c r="S1825" s="19"/>
      <c r="T1825" s="19"/>
      <c r="U1825" s="19"/>
      <c r="V1825" s="19"/>
      <c r="W1825" s="19"/>
      <c r="X1825" s="19"/>
      <c r="Y1825" s="19"/>
      <c r="Z1825" s="19"/>
      <c r="AA1825" s="19"/>
      <c r="AB1825" s="19"/>
      <c r="AC1825" s="19"/>
      <c r="AD1825" s="19"/>
      <c r="AE1825" s="19"/>
      <c r="AF1825" s="19"/>
      <c r="AG1825" s="5"/>
      <c r="AH1825" s="5"/>
      <c r="AI1825" s="6"/>
    </row>
    <row r="1826" spans="1:35" x14ac:dyDescent="0.25">
      <c r="A1826" s="3"/>
      <c r="B1826" s="221"/>
      <c r="C1826" s="221"/>
      <c r="D1826" s="221"/>
      <c r="E1826" s="5"/>
      <c r="F1826" s="223"/>
      <c r="G1826" s="223"/>
      <c r="H1826" s="223"/>
      <c r="I1826" s="223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5"/>
      <c r="AH1826" s="5"/>
      <c r="AI1826" s="6"/>
    </row>
    <row r="1827" spans="1:35" x14ac:dyDescent="0.25">
      <c r="A1827" s="3"/>
      <c r="B1827" s="221"/>
      <c r="C1827" s="221"/>
      <c r="D1827" s="221"/>
      <c r="E1827" s="5"/>
      <c r="F1827" s="223"/>
      <c r="G1827" s="223"/>
      <c r="H1827" s="223"/>
      <c r="I1827" s="223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5"/>
      <c r="AH1827" s="5"/>
      <c r="AI1827" s="6"/>
    </row>
    <row r="1828" spans="1:35" x14ac:dyDescent="0.25">
      <c r="A1828" s="20"/>
      <c r="B1828" s="21"/>
      <c r="C1828" s="21"/>
      <c r="D1828" s="21"/>
      <c r="E1828" s="21"/>
      <c r="F1828" s="21"/>
      <c r="G1828" s="21"/>
      <c r="H1828" s="21"/>
      <c r="I1828" s="21"/>
      <c r="J1828" s="21"/>
      <c r="K1828" s="21"/>
      <c r="L1828" s="21"/>
      <c r="M1828" s="21"/>
      <c r="N1828" s="21"/>
      <c r="O1828" s="22"/>
      <c r="P1828" s="21"/>
      <c r="Q1828" s="21"/>
      <c r="R1828" s="21"/>
      <c r="S1828" s="21"/>
      <c r="T1828" s="21"/>
      <c r="U1828" s="21"/>
      <c r="V1828" s="21"/>
      <c r="W1828" s="21"/>
      <c r="X1828" s="21"/>
      <c r="Y1828" s="21"/>
      <c r="Z1828" s="21"/>
      <c r="AA1828" s="21"/>
      <c r="AB1828" s="21"/>
      <c r="AC1828" s="21"/>
      <c r="AD1828" s="21"/>
      <c r="AE1828" s="21"/>
      <c r="AF1828" s="21"/>
      <c r="AG1828" s="21"/>
      <c r="AH1828" s="21"/>
      <c r="AI1828" s="23"/>
    </row>
    <row r="1829" spans="1:35" x14ac:dyDescent="0.25">
      <c r="A1829" s="24"/>
      <c r="B1829" s="28"/>
      <c r="C1829" s="25"/>
      <c r="D1829" s="25"/>
      <c r="E1829" s="25"/>
      <c r="F1829" s="25"/>
      <c r="G1829" s="25"/>
      <c r="H1829" s="25"/>
      <c r="I1829" s="25"/>
      <c r="J1829" s="25"/>
      <c r="K1829" s="25"/>
      <c r="L1829" s="25"/>
      <c r="M1829" s="25"/>
      <c r="N1829" s="25"/>
      <c r="O1829" s="25"/>
      <c r="P1829" s="25"/>
      <c r="Q1829" s="25"/>
      <c r="R1829" s="25"/>
      <c r="S1829" s="25"/>
      <c r="T1829" s="25"/>
      <c r="U1829" s="25"/>
      <c r="V1829" s="25"/>
      <c r="W1829" s="25"/>
      <c r="X1829" s="25"/>
      <c r="Y1829" s="25"/>
      <c r="Z1829" s="25"/>
      <c r="AA1829" s="25"/>
      <c r="AB1829" s="25"/>
      <c r="AC1829" s="25"/>
      <c r="AD1829" s="25"/>
      <c r="AE1829" s="25"/>
      <c r="AF1829" s="25"/>
      <c r="AG1829" s="25"/>
      <c r="AH1829" s="25"/>
      <c r="AI1829" s="26"/>
    </row>
    <row r="1830" spans="1:35" x14ac:dyDescent="0.25">
      <c r="A1830" s="3"/>
      <c r="B1830" s="4" t="s">
        <v>349</v>
      </c>
      <c r="C1830" s="5"/>
      <c r="D1830" s="5"/>
      <c r="E1830" s="5"/>
      <c r="F1830" s="5"/>
      <c r="G1830" s="5"/>
      <c r="H1830" s="5"/>
      <c r="I1830" s="5" t="str">
        <f>"0x"&amp;BIN2HEX(CONCATENATE(C1835,D1835,E1835,F1835,G1835,H1835,I1835,J1835),2)&amp;BIN2HEX(CONCATENATE(K1835,L1835,M1835,N1835,O1835,P1835,Q1835,R1835),2)&amp;BIN2HEX(CONCATENATE(S1835,T1835,U1835,V1835,W1835,X1835,Y1835,Z1835),2)&amp;BIN2HEX(CONCATENATE(AA1835,AB1835,AC1835,AD1835,AE1835,AF1835,AG1835,AH1835),2)&amp;"_"&amp;BIN2HEX(CONCATENATE(C1839,D1839,E1839,F1839,G1839,H1839,I1839,J1839),2)&amp;BIN2HEX(CONCATENATE(K1839,L1839,M1839,N1839,O1839,P1839,Q1839,R1839),2)&amp;BIN2HEX(CONCATENATE(S1839,T1839,U1839,V1839,W1839,X1839,Y1839,Z1839),2)&amp;BIN2HEX(CONCATENATE(AA1839,AB1839,AC1839,AD1839,AE1839,AF1839,AG1839,AH1839),2)</f>
        <v>0x00000000_000806D8</v>
      </c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5"/>
      <c r="AH1830" s="5"/>
      <c r="AI1830" s="6"/>
    </row>
    <row r="1831" spans="1:35" ht="15.75" thickBot="1" x14ac:dyDescent="0.3">
      <c r="A1831" s="3"/>
      <c r="B1831" s="5"/>
      <c r="C1831" s="7">
        <v>0</v>
      </c>
      <c r="D1831" s="7">
        <v>1</v>
      </c>
      <c r="E1831" s="7">
        <v>2</v>
      </c>
      <c r="F1831" s="7">
        <v>3</v>
      </c>
      <c r="G1831" s="7">
        <v>4</v>
      </c>
      <c r="H1831" s="7">
        <v>5</v>
      </c>
      <c r="I1831" s="7">
        <v>6</v>
      </c>
      <c r="J1831" s="7">
        <v>7</v>
      </c>
      <c r="K1831" s="7">
        <v>8</v>
      </c>
      <c r="L1831" s="7">
        <v>9</v>
      </c>
      <c r="M1831" s="7">
        <v>10</v>
      </c>
      <c r="N1831" s="7">
        <v>11</v>
      </c>
      <c r="O1831" s="7">
        <v>12</v>
      </c>
      <c r="P1831" s="7">
        <v>13</v>
      </c>
      <c r="Q1831" s="7">
        <v>14</v>
      </c>
      <c r="R1831" s="7">
        <v>15</v>
      </c>
      <c r="S1831" s="7">
        <v>16</v>
      </c>
      <c r="T1831" s="7">
        <v>17</v>
      </c>
      <c r="U1831" s="7">
        <v>18</v>
      </c>
      <c r="V1831" s="7">
        <v>19</v>
      </c>
      <c r="W1831" s="7">
        <v>20</v>
      </c>
      <c r="X1831" s="7">
        <v>21</v>
      </c>
      <c r="Y1831" s="7">
        <v>22</v>
      </c>
      <c r="Z1831" s="7">
        <v>23</v>
      </c>
      <c r="AA1831" s="7">
        <v>24</v>
      </c>
      <c r="AB1831" s="7">
        <v>25</v>
      </c>
      <c r="AC1831" s="7">
        <v>26</v>
      </c>
      <c r="AD1831" s="7">
        <v>27</v>
      </c>
      <c r="AE1831" s="7">
        <v>28</v>
      </c>
      <c r="AF1831" s="7">
        <v>29</v>
      </c>
      <c r="AG1831" s="7">
        <v>30</v>
      </c>
      <c r="AH1831" s="7">
        <v>31</v>
      </c>
      <c r="AI1831" s="6"/>
    </row>
    <row r="1832" spans="1:35" x14ac:dyDescent="0.25">
      <c r="A1832" s="3"/>
      <c r="B1832" s="5" t="s">
        <v>31</v>
      </c>
      <c r="C1832" s="328" t="s">
        <v>161</v>
      </c>
      <c r="D1832" s="330" t="s">
        <v>63</v>
      </c>
      <c r="E1832" s="331"/>
      <c r="F1832" s="331"/>
      <c r="G1832" s="331"/>
      <c r="H1832" s="331"/>
      <c r="I1832" s="331"/>
      <c r="J1832" s="332"/>
      <c r="K1832" s="336">
        <v>0</v>
      </c>
      <c r="L1832" s="337"/>
      <c r="M1832" s="337"/>
      <c r="N1832" s="337"/>
      <c r="O1832" s="337"/>
      <c r="P1832" s="337"/>
      <c r="Q1832" s="337"/>
      <c r="R1832" s="337"/>
      <c r="S1832" s="337"/>
      <c r="T1832" s="337"/>
      <c r="U1832" s="337"/>
      <c r="V1832" s="337"/>
      <c r="W1832" s="337"/>
      <c r="X1832" s="337"/>
      <c r="Y1832" s="337"/>
      <c r="Z1832" s="337"/>
      <c r="AA1832" s="337"/>
      <c r="AB1832" s="337"/>
      <c r="AC1832" s="337"/>
      <c r="AD1832" s="337"/>
      <c r="AE1832" s="337"/>
      <c r="AF1832" s="337"/>
      <c r="AG1832" s="337"/>
      <c r="AH1832" s="338"/>
      <c r="AI1832" s="6"/>
    </row>
    <row r="1833" spans="1:35" x14ac:dyDescent="0.25">
      <c r="A1833" s="3"/>
      <c r="B1833" s="5" t="s">
        <v>32</v>
      </c>
      <c r="C1833" s="329"/>
      <c r="D1833" s="333"/>
      <c r="E1833" s="334"/>
      <c r="F1833" s="334"/>
      <c r="G1833" s="334"/>
      <c r="H1833" s="334"/>
      <c r="I1833" s="334"/>
      <c r="J1833" s="335"/>
      <c r="K1833" s="339"/>
      <c r="L1833" s="340"/>
      <c r="M1833" s="340"/>
      <c r="N1833" s="340"/>
      <c r="O1833" s="340"/>
      <c r="P1833" s="340"/>
      <c r="Q1833" s="340"/>
      <c r="R1833" s="340"/>
      <c r="S1833" s="340"/>
      <c r="T1833" s="340"/>
      <c r="U1833" s="340"/>
      <c r="V1833" s="340"/>
      <c r="W1833" s="340"/>
      <c r="X1833" s="340"/>
      <c r="Y1833" s="340"/>
      <c r="Z1833" s="340"/>
      <c r="AA1833" s="340"/>
      <c r="AB1833" s="340"/>
      <c r="AC1833" s="340"/>
      <c r="AD1833" s="340"/>
      <c r="AE1833" s="340"/>
      <c r="AF1833" s="340"/>
      <c r="AG1833" s="340"/>
      <c r="AH1833" s="341"/>
      <c r="AI1833" s="6"/>
    </row>
    <row r="1834" spans="1:35" x14ac:dyDescent="0.25">
      <c r="A1834" s="3"/>
      <c r="B1834" s="5" t="s">
        <v>11</v>
      </c>
      <c r="C1834" s="56">
        <v>0</v>
      </c>
      <c r="D1834" s="57">
        <v>0</v>
      </c>
      <c r="E1834" s="57">
        <v>0</v>
      </c>
      <c r="F1834" s="57">
        <v>0</v>
      </c>
      <c r="G1834" s="57">
        <v>0</v>
      </c>
      <c r="H1834" s="57">
        <v>0</v>
      </c>
      <c r="I1834" s="57">
        <v>0</v>
      </c>
      <c r="J1834" s="57">
        <v>0</v>
      </c>
      <c r="K1834" s="57">
        <v>0</v>
      </c>
      <c r="L1834" s="57">
        <v>0</v>
      </c>
      <c r="M1834" s="57">
        <v>0</v>
      </c>
      <c r="N1834" s="57">
        <v>0</v>
      </c>
      <c r="O1834" s="57">
        <v>0</v>
      </c>
      <c r="P1834" s="57">
        <v>0</v>
      </c>
      <c r="Q1834" s="57">
        <v>0</v>
      </c>
      <c r="R1834" s="57">
        <v>0</v>
      </c>
      <c r="S1834" s="57">
        <v>0</v>
      </c>
      <c r="T1834" s="57">
        <v>0</v>
      </c>
      <c r="U1834" s="57">
        <v>0</v>
      </c>
      <c r="V1834" s="57">
        <v>0</v>
      </c>
      <c r="W1834" s="57">
        <v>0</v>
      </c>
      <c r="X1834" s="57">
        <v>0</v>
      </c>
      <c r="Y1834" s="57">
        <v>0</v>
      </c>
      <c r="Z1834" s="57">
        <v>0</v>
      </c>
      <c r="AA1834" s="57">
        <v>0</v>
      </c>
      <c r="AB1834" s="57">
        <v>0</v>
      </c>
      <c r="AC1834" s="57">
        <v>0</v>
      </c>
      <c r="AD1834" s="57">
        <v>0</v>
      </c>
      <c r="AE1834" s="57">
        <v>0</v>
      </c>
      <c r="AF1834" s="57">
        <v>0</v>
      </c>
      <c r="AG1834" s="57">
        <v>0</v>
      </c>
      <c r="AH1834" s="58">
        <v>0</v>
      </c>
      <c r="AI1834" s="6"/>
    </row>
    <row r="1835" spans="1:35" ht="15.75" thickBot="1" x14ac:dyDescent="0.3">
      <c r="A1835" s="3"/>
      <c r="B1835" s="5" t="s">
        <v>12</v>
      </c>
      <c r="C1835" s="145">
        <v>0</v>
      </c>
      <c r="D1835" s="88">
        <v>0</v>
      </c>
      <c r="E1835" s="88">
        <v>0</v>
      </c>
      <c r="F1835" s="88">
        <v>0</v>
      </c>
      <c r="G1835" s="88">
        <v>0</v>
      </c>
      <c r="H1835" s="88">
        <v>0</v>
      </c>
      <c r="I1835" s="88">
        <v>0</v>
      </c>
      <c r="J1835" s="88">
        <v>0</v>
      </c>
      <c r="K1835" s="62">
        <v>0</v>
      </c>
      <c r="L1835" s="62">
        <v>0</v>
      </c>
      <c r="M1835" s="62">
        <v>0</v>
      </c>
      <c r="N1835" s="62">
        <v>0</v>
      </c>
      <c r="O1835" s="62">
        <v>0</v>
      </c>
      <c r="P1835" s="62">
        <v>0</v>
      </c>
      <c r="Q1835" s="62">
        <v>0</v>
      </c>
      <c r="R1835" s="62">
        <v>0</v>
      </c>
      <c r="S1835" s="62">
        <v>0</v>
      </c>
      <c r="T1835" s="62">
        <v>0</v>
      </c>
      <c r="U1835" s="62">
        <v>0</v>
      </c>
      <c r="V1835" s="62">
        <v>0</v>
      </c>
      <c r="W1835" s="62">
        <v>0</v>
      </c>
      <c r="X1835" s="62">
        <v>0</v>
      </c>
      <c r="Y1835" s="62">
        <v>0</v>
      </c>
      <c r="Z1835" s="62">
        <v>0</v>
      </c>
      <c r="AA1835" s="62">
        <v>0</v>
      </c>
      <c r="AB1835" s="62">
        <v>0</v>
      </c>
      <c r="AC1835" s="62">
        <v>0</v>
      </c>
      <c r="AD1835" s="62">
        <v>0</v>
      </c>
      <c r="AE1835" s="62">
        <v>0</v>
      </c>
      <c r="AF1835" s="62">
        <v>0</v>
      </c>
      <c r="AG1835" s="62">
        <v>0</v>
      </c>
      <c r="AH1835" s="146">
        <v>0</v>
      </c>
      <c r="AI1835" s="6"/>
    </row>
    <row r="1836" spans="1:35" x14ac:dyDescent="0.25">
      <c r="A1836" s="3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5"/>
      <c r="AH1836" s="5"/>
      <c r="AI1836" s="6"/>
    </row>
    <row r="1837" spans="1:35" ht="15.75" thickBot="1" x14ac:dyDescent="0.3">
      <c r="A1837" s="3"/>
      <c r="B1837" s="5"/>
      <c r="C1837" s="7">
        <v>32</v>
      </c>
      <c r="D1837" s="7">
        <v>33</v>
      </c>
      <c r="E1837" s="7">
        <v>34</v>
      </c>
      <c r="F1837" s="7">
        <v>35</v>
      </c>
      <c r="G1837" s="7">
        <v>36</v>
      </c>
      <c r="H1837" s="7">
        <v>37</v>
      </c>
      <c r="I1837" s="7">
        <v>38</v>
      </c>
      <c r="J1837" s="7">
        <v>39</v>
      </c>
      <c r="K1837" s="7">
        <v>40</v>
      </c>
      <c r="L1837" s="7">
        <v>41</v>
      </c>
      <c r="M1837" s="7">
        <v>42</v>
      </c>
      <c r="N1837" s="7">
        <v>43</v>
      </c>
      <c r="O1837" s="7">
        <v>44</v>
      </c>
      <c r="P1837" s="7">
        <v>45</v>
      </c>
      <c r="Q1837" s="7">
        <v>46</v>
      </c>
      <c r="R1837" s="7">
        <v>47</v>
      </c>
      <c r="S1837" s="7">
        <v>48</v>
      </c>
      <c r="T1837" s="7">
        <v>49</v>
      </c>
      <c r="U1837" s="7">
        <v>50</v>
      </c>
      <c r="V1837" s="7">
        <v>51</v>
      </c>
      <c r="W1837" s="7">
        <v>52</v>
      </c>
      <c r="X1837" s="7">
        <v>53</v>
      </c>
      <c r="Y1837" s="7">
        <v>54</v>
      </c>
      <c r="Z1837" s="7">
        <v>55</v>
      </c>
      <c r="AA1837" s="7">
        <v>56</v>
      </c>
      <c r="AB1837" s="7">
        <v>57</v>
      </c>
      <c r="AC1837" s="7">
        <v>58</v>
      </c>
      <c r="AD1837" s="7">
        <v>59</v>
      </c>
      <c r="AE1837" s="7">
        <v>60</v>
      </c>
      <c r="AF1837" s="7">
        <v>61</v>
      </c>
      <c r="AG1837" s="7">
        <v>62</v>
      </c>
      <c r="AH1837" s="7">
        <v>63</v>
      </c>
      <c r="AI1837" s="6"/>
    </row>
    <row r="1838" spans="1:35" ht="15.75" thickBot="1" x14ac:dyDescent="0.3">
      <c r="A1838" s="3"/>
      <c r="B1838" s="5"/>
      <c r="C1838" s="147" t="s">
        <v>13</v>
      </c>
      <c r="D1838" s="148" t="s">
        <v>14</v>
      </c>
      <c r="E1838" s="148" t="s">
        <v>15</v>
      </c>
      <c r="F1838" s="148" t="s">
        <v>16</v>
      </c>
      <c r="G1838" s="148" t="s">
        <v>17</v>
      </c>
      <c r="H1838" s="148" t="s">
        <v>18</v>
      </c>
      <c r="I1838" s="148" t="s">
        <v>19</v>
      </c>
      <c r="J1838" s="148" t="s">
        <v>20</v>
      </c>
      <c r="K1838" s="148" t="s">
        <v>21</v>
      </c>
      <c r="L1838" s="148" t="s">
        <v>22</v>
      </c>
      <c r="M1838" s="148" t="s">
        <v>23</v>
      </c>
      <c r="N1838" s="148" t="s">
        <v>24</v>
      </c>
      <c r="O1838" s="148" t="s">
        <v>25</v>
      </c>
      <c r="P1838" s="148" t="s">
        <v>26</v>
      </c>
      <c r="Q1838" s="148" t="s">
        <v>27</v>
      </c>
      <c r="R1838" s="342" t="s">
        <v>30</v>
      </c>
      <c r="S1838" s="343"/>
      <c r="T1838" s="343"/>
      <c r="U1838" s="343"/>
      <c r="V1838" s="343"/>
      <c r="W1838" s="343"/>
      <c r="X1838" s="343"/>
      <c r="Y1838" s="343"/>
      <c r="Z1838" s="343"/>
      <c r="AA1838" s="343"/>
      <c r="AB1838" s="343"/>
      <c r="AC1838" s="343"/>
      <c r="AD1838" s="343"/>
      <c r="AE1838" s="343"/>
      <c r="AF1838" s="344"/>
      <c r="AG1838" s="67" t="s">
        <v>28</v>
      </c>
      <c r="AH1838" s="149" t="s">
        <v>29</v>
      </c>
      <c r="AI1838" s="6"/>
    </row>
    <row r="1839" spans="1:35" ht="15.75" thickBot="1" x14ac:dyDescent="0.3">
      <c r="A1839" s="3"/>
      <c r="B1839" s="5"/>
      <c r="C1839" s="150">
        <v>0</v>
      </c>
      <c r="D1839" s="151">
        <v>0</v>
      </c>
      <c r="E1839" s="151">
        <v>0</v>
      </c>
      <c r="F1839" s="151">
        <v>0</v>
      </c>
      <c r="G1839" s="151">
        <v>0</v>
      </c>
      <c r="H1839" s="151">
        <v>0</v>
      </c>
      <c r="I1839" s="151">
        <v>0</v>
      </c>
      <c r="J1839" s="151">
        <v>0</v>
      </c>
      <c r="K1839" s="151">
        <v>0</v>
      </c>
      <c r="L1839" s="151">
        <v>0</v>
      </c>
      <c r="M1839" s="151">
        <v>0</v>
      </c>
      <c r="N1839" s="151">
        <v>0</v>
      </c>
      <c r="O1839" s="151">
        <v>1</v>
      </c>
      <c r="P1839" s="151">
        <v>0</v>
      </c>
      <c r="Q1839" s="151">
        <v>0</v>
      </c>
      <c r="R1839" s="151">
        <v>0</v>
      </c>
      <c r="S1839" s="151">
        <v>0</v>
      </c>
      <c r="T1839" s="151">
        <v>0</v>
      </c>
      <c r="U1839" s="151">
        <v>0</v>
      </c>
      <c r="V1839" s="151">
        <v>0</v>
      </c>
      <c r="W1839" s="151">
        <v>0</v>
      </c>
      <c r="X1839" s="151">
        <v>1</v>
      </c>
      <c r="Y1839" s="151">
        <v>1</v>
      </c>
      <c r="Z1839" s="151">
        <v>0</v>
      </c>
      <c r="AA1839" s="151">
        <v>1</v>
      </c>
      <c r="AB1839" s="151">
        <v>1</v>
      </c>
      <c r="AC1839" s="151">
        <v>0</v>
      </c>
      <c r="AD1839" s="151">
        <v>1</v>
      </c>
      <c r="AE1839" s="151">
        <v>1</v>
      </c>
      <c r="AF1839" s="151">
        <v>0</v>
      </c>
      <c r="AG1839" s="151">
        <v>0</v>
      </c>
      <c r="AH1839" s="152">
        <v>0</v>
      </c>
      <c r="AI1839" s="6"/>
    </row>
    <row r="1840" spans="1:35" x14ac:dyDescent="0.25">
      <c r="A1840" s="3"/>
      <c r="B1840" s="4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5"/>
      <c r="AI1840" s="6"/>
    </row>
    <row r="1841" spans="1:35" x14ac:dyDescent="0.25">
      <c r="A1841" s="3"/>
      <c r="B1841" s="8" t="s">
        <v>43</v>
      </c>
      <c r="C1841" s="9"/>
      <c r="D1841" s="9"/>
      <c r="E1841" s="9"/>
      <c r="F1841" s="225" t="s">
        <v>44</v>
      </c>
      <c r="G1841" s="225"/>
      <c r="H1841" s="225"/>
      <c r="I1841" s="9"/>
      <c r="J1841" s="226" t="s">
        <v>45</v>
      </c>
      <c r="K1841" s="226"/>
      <c r="L1841" s="226"/>
      <c r="M1841" s="226"/>
      <c r="N1841" s="9"/>
      <c r="O1841" s="227" t="s">
        <v>46</v>
      </c>
      <c r="P1841" s="227"/>
      <c r="Q1841" s="227"/>
      <c r="R1841" s="227"/>
      <c r="S1841" s="9"/>
      <c r="T1841" s="1" t="s">
        <v>49</v>
      </c>
      <c r="U1841" s="10" t="s">
        <v>48</v>
      </c>
      <c r="V1841" s="5"/>
      <c r="W1841" s="9"/>
      <c r="X1841" s="9"/>
      <c r="Y1841" s="9"/>
      <c r="Z1841" s="9"/>
      <c r="AA1841" s="9"/>
      <c r="AB1841" s="9"/>
      <c r="AC1841" s="9"/>
      <c r="AD1841" s="9"/>
      <c r="AE1841" s="9"/>
      <c r="AF1841" s="9"/>
      <c r="AG1841" s="9"/>
      <c r="AH1841" s="9"/>
      <c r="AI1841" s="6"/>
    </row>
    <row r="1842" spans="1:35" ht="15" customHeight="1" x14ac:dyDescent="0.25">
      <c r="A1842" s="3"/>
      <c r="B1842" s="221" t="str">
        <f>"0x"&amp;DEC2HEX(Sheet3!$I$4,8)</f>
        <v>0x00400320</v>
      </c>
      <c r="C1842" s="221"/>
      <c r="D1842" s="221"/>
      <c r="E1842" s="12"/>
      <c r="F1842" s="319" t="str">
        <f>"0x"&amp;BIN2HEX(CONCATENATE(C1835,D1835,E1835,F1835,G1835,H1835,I1835,J1835),2)&amp;BIN2HEX(CONCATENATE(K1835,L1835,M1835,N1835,O1835,P1835,Q1835,R1835),2)&amp;BIN2HEX(CONCATENATE(S1835,T1835,U1835,V1835,W1835,X1835,Y1835,Z1835),2)&amp;BIN2HEX(CONCATENATE(AA1835,AB1835,AC1835,AD1835,AE1835,AF1835,AG1835,AH1835),2)</f>
        <v>0x00000000</v>
      </c>
      <c r="G1842" s="319"/>
      <c r="H1842" s="319"/>
      <c r="I1842" s="12"/>
      <c r="J1842" s="319" t="str">
        <f>"0b"&amp;C1839&amp;D1839&amp;E1839&amp;F1839&amp;G1839&amp;H1839&amp;I1839&amp;J1839&amp;K1839&amp;L1839&amp;M1839&amp;N1839&amp;O1839&amp;P1839&amp;Q1839</f>
        <v>0b000000000000100</v>
      </c>
      <c r="K1842" s="319"/>
      <c r="L1842" s="319"/>
      <c r="M1842" s="319"/>
      <c r="N1842" s="12"/>
      <c r="O1842" s="319" t="str">
        <f>"0b"&amp;DEC2BIN(((AF1839+AE1839*2+AD1839*4+AC1839*8+AB1839*16+AA1839*32+Z1839*64+Y1839*128+X1839*256+W1839*512+V1839*1024+U1839*2048+T1839*4096+S1839*2^13+R1839*2^14)/512),6)&amp;DEC2BIN(MOD((AF1839+AE1839*2+AD1839*4+AC1839*8+AB1839*16+AA1839*32+Z1839*64+Y1839*128+X1839*256+W1839*512+V1839*1024+U1839*2048+T1839*4096+S1839*2^13+R1839*2^14),512),9)</f>
        <v>0b000000110110110</v>
      </c>
      <c r="P1842" s="319"/>
      <c r="Q1842" s="319"/>
      <c r="R1842" s="319"/>
      <c r="S1842" s="12"/>
      <c r="T1842" s="224">
        <v>0</v>
      </c>
      <c r="U1842" s="224">
        <f>AH1839</f>
        <v>0</v>
      </c>
      <c r="V1842" s="5"/>
      <c r="W1842" s="14"/>
      <c r="X1842" s="14"/>
      <c r="Y1842" s="14"/>
      <c r="Z1842" s="14"/>
      <c r="AA1842" s="14"/>
      <c r="AB1842" s="14"/>
      <c r="AC1842" s="14"/>
      <c r="AD1842" s="14"/>
      <c r="AE1842" s="14"/>
      <c r="AF1842" s="14"/>
      <c r="AG1842" s="14"/>
      <c r="AH1842" s="14"/>
      <c r="AI1842" s="6"/>
    </row>
    <row r="1843" spans="1:35" x14ac:dyDescent="0.25">
      <c r="A1843" s="3"/>
      <c r="B1843" s="221"/>
      <c r="C1843" s="221"/>
      <c r="D1843" s="221"/>
      <c r="E1843" s="15"/>
      <c r="F1843" s="222"/>
      <c r="G1843" s="222"/>
      <c r="H1843" s="222"/>
      <c r="I1843" s="15"/>
      <c r="J1843" s="221"/>
      <c r="K1843" s="221"/>
      <c r="L1843" s="221"/>
      <c r="M1843" s="221"/>
      <c r="N1843" s="15"/>
      <c r="O1843" s="221"/>
      <c r="P1843" s="221"/>
      <c r="Q1843" s="221"/>
      <c r="R1843" s="221"/>
      <c r="S1843" s="15"/>
      <c r="T1843" s="224"/>
      <c r="U1843" s="15"/>
      <c r="V1843" s="5"/>
      <c r="W1843" s="16"/>
      <c r="X1843" s="16"/>
      <c r="Y1843" s="16"/>
      <c r="Z1843" s="16"/>
      <c r="AA1843" s="16"/>
      <c r="AB1843" s="16"/>
      <c r="AC1843" s="16"/>
      <c r="AD1843" s="16"/>
      <c r="AE1843" s="16"/>
      <c r="AF1843" s="16"/>
      <c r="AG1843" s="16"/>
      <c r="AH1843" s="16"/>
      <c r="AI1843" s="6"/>
    </row>
    <row r="1844" spans="1:35" x14ac:dyDescent="0.25">
      <c r="A1844" s="3"/>
      <c r="B1844" s="221"/>
      <c r="C1844" s="221"/>
      <c r="D1844" s="221"/>
      <c r="E1844" s="15"/>
      <c r="F1844" s="222"/>
      <c r="G1844" s="222"/>
      <c r="H1844" s="222"/>
      <c r="I1844" s="15"/>
      <c r="J1844" s="221"/>
      <c r="K1844" s="221"/>
      <c r="L1844" s="221"/>
      <c r="M1844" s="221"/>
      <c r="N1844" s="15"/>
      <c r="O1844" s="221"/>
      <c r="P1844" s="221"/>
      <c r="Q1844" s="221"/>
      <c r="R1844" s="221"/>
      <c r="S1844" s="15"/>
      <c r="T1844" s="224"/>
      <c r="U1844" s="15"/>
      <c r="V1844" s="5"/>
      <c r="W1844" s="16"/>
      <c r="X1844" s="16"/>
      <c r="Y1844" s="16"/>
      <c r="Z1844" s="16"/>
      <c r="AA1844" s="16"/>
      <c r="AB1844" s="16"/>
      <c r="AC1844" s="16"/>
      <c r="AD1844" s="16"/>
      <c r="AE1844" s="16"/>
      <c r="AF1844" s="16"/>
      <c r="AG1844" s="16"/>
      <c r="AH1844" s="16"/>
      <c r="AI1844" s="6"/>
    </row>
    <row r="1845" spans="1:35" x14ac:dyDescent="0.25">
      <c r="A1845" s="3"/>
      <c r="B1845" s="5"/>
      <c r="C1845" s="5"/>
      <c r="D1845" s="5"/>
      <c r="E1845" s="5"/>
      <c r="F1845" s="17"/>
      <c r="G1845" s="17"/>
      <c r="H1845" s="17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5"/>
      <c r="AH1845" s="5"/>
      <c r="AI1845" s="6"/>
    </row>
    <row r="1846" spans="1:35" x14ac:dyDescent="0.25">
      <c r="A1846" s="3"/>
      <c r="B1846" s="5" t="s">
        <v>47</v>
      </c>
      <c r="C1846" s="18"/>
      <c r="D1846" s="18"/>
      <c r="E1846" s="18"/>
      <c r="F1846" s="5"/>
      <c r="G1846" s="5"/>
      <c r="H1846" s="5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  <c r="AB1846" s="18"/>
      <c r="AC1846" s="18"/>
      <c r="AD1846" s="18"/>
      <c r="AE1846" s="18"/>
      <c r="AF1846" s="18"/>
      <c r="AG1846" s="18"/>
      <c r="AH1846" s="18"/>
      <c r="AI1846" s="6"/>
    </row>
    <row r="1847" spans="1:35" ht="15" customHeight="1" x14ac:dyDescent="0.25">
      <c r="A1847" s="3"/>
      <c r="B1847" s="221" t="str">
        <f>"0x"&amp;DEC2HEX(Sheet3!$I$4,8)</f>
        <v>0x00400320</v>
      </c>
      <c r="C1847" s="221"/>
      <c r="D1847" s="221"/>
      <c r="E1847" s="16"/>
      <c r="F1847" s="322" t="str">
        <f>F1842&amp;BIN2HEX(MID(J1842,3,8),2)&amp;BIN2HEX(RIGHT(J1842,7)&amp;MID(O1842,3,1),2)&amp;BIN2HEX(MID(O1842,4,8),2)&amp;BIN2HEX(RIGHT(O1842,6)&amp;T1842&amp;U1842,2)</f>
        <v>0x00000000000806D8</v>
      </c>
      <c r="G1847" s="322"/>
      <c r="H1847" s="322"/>
      <c r="I1847" s="322"/>
      <c r="J1847" s="5"/>
      <c r="K1847" s="5"/>
      <c r="L1847" s="5"/>
      <c r="M1847" s="5"/>
      <c r="N1847" s="5"/>
      <c r="O1847" s="5"/>
      <c r="P1847" s="16"/>
      <c r="Q1847" s="16"/>
      <c r="R1847" s="19"/>
      <c r="S1847" s="19"/>
      <c r="T1847" s="19"/>
      <c r="U1847" s="19"/>
      <c r="V1847" s="19"/>
      <c r="W1847" s="19"/>
      <c r="X1847" s="19"/>
      <c r="Y1847" s="19"/>
      <c r="Z1847" s="19"/>
      <c r="AA1847" s="19"/>
      <c r="AB1847" s="19"/>
      <c r="AC1847" s="19"/>
      <c r="AD1847" s="19"/>
      <c r="AE1847" s="19"/>
      <c r="AF1847" s="19"/>
      <c r="AG1847" s="5"/>
      <c r="AH1847" s="5"/>
      <c r="AI1847" s="6"/>
    </row>
    <row r="1848" spans="1:35" x14ac:dyDescent="0.25">
      <c r="A1848" s="3"/>
      <c r="B1848" s="221"/>
      <c r="C1848" s="221"/>
      <c r="D1848" s="221"/>
      <c r="E1848" s="5"/>
      <c r="F1848" s="223"/>
      <c r="G1848" s="223"/>
      <c r="H1848" s="223"/>
      <c r="I1848" s="223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5"/>
      <c r="AH1848" s="5"/>
      <c r="AI1848" s="6"/>
    </row>
    <row r="1849" spans="1:35" x14ac:dyDescent="0.25">
      <c r="A1849" s="3"/>
      <c r="B1849" s="221"/>
      <c r="C1849" s="221"/>
      <c r="D1849" s="221"/>
      <c r="E1849" s="5"/>
      <c r="F1849" s="223"/>
      <c r="G1849" s="223"/>
      <c r="H1849" s="223"/>
      <c r="I1849" s="223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5"/>
      <c r="AH1849" s="5"/>
      <c r="AI1849" s="6"/>
    </row>
    <row r="1850" spans="1:35" x14ac:dyDescent="0.25">
      <c r="A1850" s="20"/>
      <c r="B1850" s="21"/>
      <c r="C1850" s="21"/>
      <c r="D1850" s="21"/>
      <c r="E1850" s="21"/>
      <c r="F1850" s="21"/>
      <c r="G1850" s="21"/>
      <c r="H1850" s="21"/>
      <c r="I1850" s="21"/>
      <c r="J1850" s="21"/>
      <c r="K1850" s="21"/>
      <c r="L1850" s="21"/>
      <c r="M1850" s="21"/>
      <c r="N1850" s="21"/>
      <c r="O1850" s="22"/>
      <c r="P1850" s="21"/>
      <c r="Q1850" s="21"/>
      <c r="R1850" s="21"/>
      <c r="S1850" s="21"/>
      <c r="T1850" s="21"/>
      <c r="U1850" s="21"/>
      <c r="V1850" s="21"/>
      <c r="W1850" s="21"/>
      <c r="X1850" s="21"/>
      <c r="Y1850" s="21"/>
      <c r="Z1850" s="21"/>
      <c r="AA1850" s="21"/>
      <c r="AB1850" s="21"/>
      <c r="AC1850" s="21"/>
      <c r="AD1850" s="21"/>
      <c r="AE1850" s="21"/>
      <c r="AF1850" s="21"/>
      <c r="AG1850" s="21"/>
      <c r="AH1850" s="21"/>
      <c r="AI1850" s="23"/>
    </row>
    <row r="1851" spans="1:35" x14ac:dyDescent="0.25">
      <c r="A1851" s="24"/>
      <c r="B1851" s="28"/>
      <c r="C1851" s="25"/>
      <c r="D1851" s="25"/>
      <c r="E1851" s="25"/>
      <c r="F1851" s="25"/>
      <c r="G1851" s="25"/>
      <c r="H1851" s="25"/>
      <c r="I1851" s="25"/>
      <c r="J1851" s="25"/>
      <c r="K1851" s="25"/>
      <c r="L1851" s="25"/>
      <c r="M1851" s="25"/>
      <c r="N1851" s="25"/>
      <c r="O1851" s="25"/>
      <c r="P1851" s="25"/>
      <c r="Q1851" s="25"/>
      <c r="R1851" s="25"/>
      <c r="S1851" s="25"/>
      <c r="T1851" s="25"/>
      <c r="U1851" s="25"/>
      <c r="V1851" s="25"/>
      <c r="W1851" s="25"/>
      <c r="X1851" s="25"/>
      <c r="Y1851" s="25"/>
      <c r="Z1851" s="25"/>
      <c r="AA1851" s="25"/>
      <c r="AB1851" s="25"/>
      <c r="AC1851" s="25"/>
      <c r="AD1851" s="25"/>
      <c r="AE1851" s="25"/>
      <c r="AF1851" s="25"/>
      <c r="AG1851" s="25"/>
      <c r="AH1851" s="25"/>
      <c r="AI1851" s="26"/>
    </row>
    <row r="1852" spans="1:35" x14ac:dyDescent="0.25">
      <c r="A1852" s="3"/>
      <c r="B1852" s="4" t="s">
        <v>350</v>
      </c>
      <c r="C1852" s="5"/>
      <c r="D1852" s="5"/>
      <c r="E1852" s="5"/>
      <c r="F1852" s="5"/>
      <c r="G1852" s="5"/>
      <c r="H1852" s="5"/>
      <c r="I1852" s="5" t="str">
        <f>"0x"&amp;BIN2HEX(CONCATENATE(C1857,D1857,E1857,F1857,G1857,H1857,I1857,J1857),2)&amp;BIN2HEX(CONCATENATE(K1857,L1857,M1857,N1857,O1857,P1857,Q1857,R1857),2)&amp;BIN2HEX(CONCATENATE(S1857,T1857,U1857,V1857,W1857,X1857,Y1857,Z1857),2)&amp;BIN2HEX(CONCATENATE(AA1857,AB1857,AC1857,AD1857,AE1857,AF1857,AG1857,AH1857),2)&amp;"_"&amp;BIN2HEX(CONCATENATE(C1861,D1861,E1861,F1861,G1861,H1861,I1861,J1861),2)&amp;BIN2HEX(CONCATENATE(K1861,L1861,M1861,N1861,O1861,P1861,Q1861,R1861),2)&amp;BIN2HEX(CONCATENATE(S1861,T1861,U1861,V1861,W1861,X1861,Y1861,Z1861),2)&amp;BIN2HEX(CONCATENATE(AA1861,AB1861,AC1861,AD1861,AE1861,AF1861,AG1861,AH1861),2)</f>
        <v>0x00000000_000806DC</v>
      </c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5"/>
      <c r="AI1852" s="6"/>
    </row>
    <row r="1853" spans="1:35" ht="15.75" thickBot="1" x14ac:dyDescent="0.3">
      <c r="A1853" s="3"/>
      <c r="B1853" s="5"/>
      <c r="C1853" s="7">
        <v>0</v>
      </c>
      <c r="D1853" s="7">
        <v>1</v>
      </c>
      <c r="E1853" s="7">
        <v>2</v>
      </c>
      <c r="F1853" s="7">
        <v>3</v>
      </c>
      <c r="G1853" s="7">
        <v>4</v>
      </c>
      <c r="H1853" s="7">
        <v>5</v>
      </c>
      <c r="I1853" s="7">
        <v>6</v>
      </c>
      <c r="J1853" s="7">
        <v>7</v>
      </c>
      <c r="K1853" s="7">
        <v>8</v>
      </c>
      <c r="L1853" s="7">
        <v>9</v>
      </c>
      <c r="M1853" s="7">
        <v>10</v>
      </c>
      <c r="N1853" s="7">
        <v>11</v>
      </c>
      <c r="O1853" s="7">
        <v>12</v>
      </c>
      <c r="P1853" s="7">
        <v>13</v>
      </c>
      <c r="Q1853" s="7">
        <v>14</v>
      </c>
      <c r="R1853" s="7">
        <v>15</v>
      </c>
      <c r="S1853" s="7">
        <v>16</v>
      </c>
      <c r="T1853" s="7">
        <v>17</v>
      </c>
      <c r="U1853" s="7">
        <v>18</v>
      </c>
      <c r="V1853" s="7">
        <v>19</v>
      </c>
      <c r="W1853" s="7">
        <v>20</v>
      </c>
      <c r="X1853" s="7">
        <v>21</v>
      </c>
      <c r="Y1853" s="7">
        <v>22</v>
      </c>
      <c r="Z1853" s="7">
        <v>23</v>
      </c>
      <c r="AA1853" s="7">
        <v>24</v>
      </c>
      <c r="AB1853" s="7">
        <v>25</v>
      </c>
      <c r="AC1853" s="7">
        <v>26</v>
      </c>
      <c r="AD1853" s="7">
        <v>27</v>
      </c>
      <c r="AE1853" s="7">
        <v>28</v>
      </c>
      <c r="AF1853" s="7">
        <v>29</v>
      </c>
      <c r="AG1853" s="7">
        <v>30</v>
      </c>
      <c r="AH1853" s="7">
        <v>31</v>
      </c>
      <c r="AI1853" s="6"/>
    </row>
    <row r="1854" spans="1:35" x14ac:dyDescent="0.25">
      <c r="A1854" s="3"/>
      <c r="B1854" s="5" t="s">
        <v>31</v>
      </c>
      <c r="C1854" s="328" t="s">
        <v>161</v>
      </c>
      <c r="D1854" s="330" t="s">
        <v>63</v>
      </c>
      <c r="E1854" s="331"/>
      <c r="F1854" s="331"/>
      <c r="G1854" s="331"/>
      <c r="H1854" s="331"/>
      <c r="I1854" s="331"/>
      <c r="J1854" s="332"/>
      <c r="K1854" s="336">
        <v>0</v>
      </c>
      <c r="L1854" s="337"/>
      <c r="M1854" s="337"/>
      <c r="N1854" s="337"/>
      <c r="O1854" s="337"/>
      <c r="P1854" s="337"/>
      <c r="Q1854" s="337"/>
      <c r="R1854" s="337"/>
      <c r="S1854" s="337"/>
      <c r="T1854" s="337"/>
      <c r="U1854" s="337"/>
      <c r="V1854" s="337"/>
      <c r="W1854" s="337"/>
      <c r="X1854" s="337"/>
      <c r="Y1854" s="337"/>
      <c r="Z1854" s="337"/>
      <c r="AA1854" s="337"/>
      <c r="AB1854" s="337"/>
      <c r="AC1854" s="337"/>
      <c r="AD1854" s="337"/>
      <c r="AE1854" s="337"/>
      <c r="AF1854" s="337"/>
      <c r="AG1854" s="337"/>
      <c r="AH1854" s="338"/>
      <c r="AI1854" s="6"/>
    </row>
    <row r="1855" spans="1:35" x14ac:dyDescent="0.25">
      <c r="A1855" s="3"/>
      <c r="B1855" s="5" t="s">
        <v>32</v>
      </c>
      <c r="C1855" s="329"/>
      <c r="D1855" s="333"/>
      <c r="E1855" s="334"/>
      <c r="F1855" s="334"/>
      <c r="G1855" s="334"/>
      <c r="H1855" s="334"/>
      <c r="I1855" s="334"/>
      <c r="J1855" s="335"/>
      <c r="K1855" s="339"/>
      <c r="L1855" s="340"/>
      <c r="M1855" s="340"/>
      <c r="N1855" s="340"/>
      <c r="O1855" s="340"/>
      <c r="P1855" s="340"/>
      <c r="Q1855" s="340"/>
      <c r="R1855" s="340"/>
      <c r="S1855" s="340"/>
      <c r="T1855" s="340"/>
      <c r="U1855" s="340"/>
      <c r="V1855" s="340"/>
      <c r="W1855" s="340"/>
      <c r="X1855" s="340"/>
      <c r="Y1855" s="340"/>
      <c r="Z1855" s="340"/>
      <c r="AA1855" s="340"/>
      <c r="AB1855" s="340"/>
      <c r="AC1855" s="340"/>
      <c r="AD1855" s="340"/>
      <c r="AE1855" s="340"/>
      <c r="AF1855" s="340"/>
      <c r="AG1855" s="340"/>
      <c r="AH1855" s="341"/>
      <c r="AI1855" s="6"/>
    </row>
    <row r="1856" spans="1:35" x14ac:dyDescent="0.25">
      <c r="A1856" s="3"/>
      <c r="B1856" s="5" t="s">
        <v>11</v>
      </c>
      <c r="C1856" s="56">
        <v>0</v>
      </c>
      <c r="D1856" s="57">
        <v>0</v>
      </c>
      <c r="E1856" s="57">
        <v>0</v>
      </c>
      <c r="F1856" s="57">
        <v>0</v>
      </c>
      <c r="G1856" s="57">
        <v>0</v>
      </c>
      <c r="H1856" s="57">
        <v>0</v>
      </c>
      <c r="I1856" s="57">
        <v>0</v>
      </c>
      <c r="J1856" s="57">
        <v>0</v>
      </c>
      <c r="K1856" s="57">
        <v>0</v>
      </c>
      <c r="L1856" s="57">
        <v>0</v>
      </c>
      <c r="M1856" s="57">
        <v>0</v>
      </c>
      <c r="N1856" s="57">
        <v>0</v>
      </c>
      <c r="O1856" s="57">
        <v>0</v>
      </c>
      <c r="P1856" s="57">
        <v>0</v>
      </c>
      <c r="Q1856" s="57">
        <v>0</v>
      </c>
      <c r="R1856" s="57">
        <v>0</v>
      </c>
      <c r="S1856" s="57">
        <v>0</v>
      </c>
      <c r="T1856" s="57">
        <v>0</v>
      </c>
      <c r="U1856" s="57">
        <v>0</v>
      </c>
      <c r="V1856" s="57">
        <v>0</v>
      </c>
      <c r="W1856" s="57">
        <v>0</v>
      </c>
      <c r="X1856" s="57">
        <v>0</v>
      </c>
      <c r="Y1856" s="57">
        <v>0</v>
      </c>
      <c r="Z1856" s="57">
        <v>0</v>
      </c>
      <c r="AA1856" s="57">
        <v>0</v>
      </c>
      <c r="AB1856" s="57">
        <v>0</v>
      </c>
      <c r="AC1856" s="57">
        <v>0</v>
      </c>
      <c r="AD1856" s="57">
        <v>0</v>
      </c>
      <c r="AE1856" s="57">
        <v>0</v>
      </c>
      <c r="AF1856" s="57">
        <v>0</v>
      </c>
      <c r="AG1856" s="57">
        <v>0</v>
      </c>
      <c r="AH1856" s="58">
        <v>0</v>
      </c>
      <c r="AI1856" s="6"/>
    </row>
    <row r="1857" spans="1:35" ht="15.75" thickBot="1" x14ac:dyDescent="0.3">
      <c r="A1857" s="3"/>
      <c r="B1857" s="5" t="s">
        <v>12</v>
      </c>
      <c r="C1857" s="145">
        <v>0</v>
      </c>
      <c r="D1857" s="88">
        <v>0</v>
      </c>
      <c r="E1857" s="88">
        <v>0</v>
      </c>
      <c r="F1857" s="88">
        <v>0</v>
      </c>
      <c r="G1857" s="88">
        <v>0</v>
      </c>
      <c r="H1857" s="88">
        <v>0</v>
      </c>
      <c r="I1857" s="88">
        <v>0</v>
      </c>
      <c r="J1857" s="88">
        <v>0</v>
      </c>
      <c r="K1857" s="62">
        <v>0</v>
      </c>
      <c r="L1857" s="62">
        <v>0</v>
      </c>
      <c r="M1857" s="62">
        <v>0</v>
      </c>
      <c r="N1857" s="62">
        <v>0</v>
      </c>
      <c r="O1857" s="62">
        <v>0</v>
      </c>
      <c r="P1857" s="62">
        <v>0</v>
      </c>
      <c r="Q1857" s="62">
        <v>0</v>
      </c>
      <c r="R1857" s="62">
        <v>0</v>
      </c>
      <c r="S1857" s="62">
        <v>0</v>
      </c>
      <c r="T1857" s="62">
        <v>0</v>
      </c>
      <c r="U1857" s="62">
        <v>0</v>
      </c>
      <c r="V1857" s="62">
        <v>0</v>
      </c>
      <c r="W1857" s="62">
        <v>0</v>
      </c>
      <c r="X1857" s="62">
        <v>0</v>
      </c>
      <c r="Y1857" s="62">
        <v>0</v>
      </c>
      <c r="Z1857" s="62">
        <v>0</v>
      </c>
      <c r="AA1857" s="62">
        <v>0</v>
      </c>
      <c r="AB1857" s="62">
        <v>0</v>
      </c>
      <c r="AC1857" s="62">
        <v>0</v>
      </c>
      <c r="AD1857" s="62">
        <v>0</v>
      </c>
      <c r="AE1857" s="62">
        <v>0</v>
      </c>
      <c r="AF1857" s="62">
        <v>0</v>
      </c>
      <c r="AG1857" s="62">
        <v>0</v>
      </c>
      <c r="AH1857" s="146">
        <v>0</v>
      </c>
      <c r="AI1857" s="6"/>
    </row>
    <row r="1858" spans="1:35" x14ac:dyDescent="0.25">
      <c r="A1858" s="3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5"/>
      <c r="AH1858" s="5"/>
      <c r="AI1858" s="6"/>
    </row>
    <row r="1859" spans="1:35" ht="15.75" thickBot="1" x14ac:dyDescent="0.3">
      <c r="A1859" s="3"/>
      <c r="B1859" s="5"/>
      <c r="C1859" s="7">
        <v>32</v>
      </c>
      <c r="D1859" s="7">
        <v>33</v>
      </c>
      <c r="E1859" s="7">
        <v>34</v>
      </c>
      <c r="F1859" s="7">
        <v>35</v>
      </c>
      <c r="G1859" s="7">
        <v>36</v>
      </c>
      <c r="H1859" s="7">
        <v>37</v>
      </c>
      <c r="I1859" s="7">
        <v>38</v>
      </c>
      <c r="J1859" s="7">
        <v>39</v>
      </c>
      <c r="K1859" s="7">
        <v>40</v>
      </c>
      <c r="L1859" s="7">
        <v>41</v>
      </c>
      <c r="M1859" s="7">
        <v>42</v>
      </c>
      <c r="N1859" s="7">
        <v>43</v>
      </c>
      <c r="O1859" s="7">
        <v>44</v>
      </c>
      <c r="P1859" s="7">
        <v>45</v>
      </c>
      <c r="Q1859" s="7">
        <v>46</v>
      </c>
      <c r="R1859" s="7">
        <v>47</v>
      </c>
      <c r="S1859" s="7">
        <v>48</v>
      </c>
      <c r="T1859" s="7">
        <v>49</v>
      </c>
      <c r="U1859" s="7">
        <v>50</v>
      </c>
      <c r="V1859" s="7">
        <v>51</v>
      </c>
      <c r="W1859" s="7">
        <v>52</v>
      </c>
      <c r="X1859" s="7">
        <v>53</v>
      </c>
      <c r="Y1859" s="7">
        <v>54</v>
      </c>
      <c r="Z1859" s="7">
        <v>55</v>
      </c>
      <c r="AA1859" s="7">
        <v>56</v>
      </c>
      <c r="AB1859" s="7">
        <v>57</v>
      </c>
      <c r="AC1859" s="7">
        <v>58</v>
      </c>
      <c r="AD1859" s="7">
        <v>59</v>
      </c>
      <c r="AE1859" s="7">
        <v>60</v>
      </c>
      <c r="AF1859" s="7">
        <v>61</v>
      </c>
      <c r="AG1859" s="7">
        <v>62</v>
      </c>
      <c r="AH1859" s="7">
        <v>63</v>
      </c>
      <c r="AI1859" s="6"/>
    </row>
    <row r="1860" spans="1:35" ht="15.75" thickBot="1" x14ac:dyDescent="0.3">
      <c r="A1860" s="3"/>
      <c r="B1860" s="5"/>
      <c r="C1860" s="147" t="s">
        <v>13</v>
      </c>
      <c r="D1860" s="148" t="s">
        <v>14</v>
      </c>
      <c r="E1860" s="148" t="s">
        <v>15</v>
      </c>
      <c r="F1860" s="148" t="s">
        <v>16</v>
      </c>
      <c r="G1860" s="148" t="s">
        <v>17</v>
      </c>
      <c r="H1860" s="148" t="s">
        <v>18</v>
      </c>
      <c r="I1860" s="148" t="s">
        <v>19</v>
      </c>
      <c r="J1860" s="148" t="s">
        <v>20</v>
      </c>
      <c r="K1860" s="148" t="s">
        <v>21</v>
      </c>
      <c r="L1860" s="148" t="s">
        <v>22</v>
      </c>
      <c r="M1860" s="148" t="s">
        <v>23</v>
      </c>
      <c r="N1860" s="148" t="s">
        <v>24</v>
      </c>
      <c r="O1860" s="148" t="s">
        <v>25</v>
      </c>
      <c r="P1860" s="148" t="s">
        <v>26</v>
      </c>
      <c r="Q1860" s="148" t="s">
        <v>27</v>
      </c>
      <c r="R1860" s="342" t="s">
        <v>30</v>
      </c>
      <c r="S1860" s="343"/>
      <c r="T1860" s="343"/>
      <c r="U1860" s="343"/>
      <c r="V1860" s="343"/>
      <c r="W1860" s="343"/>
      <c r="X1860" s="343"/>
      <c r="Y1860" s="343"/>
      <c r="Z1860" s="343"/>
      <c r="AA1860" s="343"/>
      <c r="AB1860" s="343"/>
      <c r="AC1860" s="343"/>
      <c r="AD1860" s="343"/>
      <c r="AE1860" s="343"/>
      <c r="AF1860" s="344"/>
      <c r="AG1860" s="67" t="s">
        <v>28</v>
      </c>
      <c r="AH1860" s="149" t="s">
        <v>29</v>
      </c>
      <c r="AI1860" s="6"/>
    </row>
    <row r="1861" spans="1:35" ht="15.75" thickBot="1" x14ac:dyDescent="0.3">
      <c r="A1861" s="3"/>
      <c r="B1861" s="5"/>
      <c r="C1861" s="150">
        <v>0</v>
      </c>
      <c r="D1861" s="151">
        <v>0</v>
      </c>
      <c r="E1861" s="151">
        <v>0</v>
      </c>
      <c r="F1861" s="151">
        <v>0</v>
      </c>
      <c r="G1861" s="151">
        <v>0</v>
      </c>
      <c r="H1861" s="151">
        <v>0</v>
      </c>
      <c r="I1861" s="151">
        <v>0</v>
      </c>
      <c r="J1861" s="151">
        <v>0</v>
      </c>
      <c r="K1861" s="151">
        <v>0</v>
      </c>
      <c r="L1861" s="151">
        <v>0</v>
      </c>
      <c r="M1861" s="151">
        <v>0</v>
      </c>
      <c r="N1861" s="151">
        <v>0</v>
      </c>
      <c r="O1861" s="151">
        <v>1</v>
      </c>
      <c r="P1861" s="151">
        <v>0</v>
      </c>
      <c r="Q1861" s="151">
        <v>0</v>
      </c>
      <c r="R1861" s="151">
        <v>0</v>
      </c>
      <c r="S1861" s="151">
        <v>0</v>
      </c>
      <c r="T1861" s="151">
        <v>0</v>
      </c>
      <c r="U1861" s="151">
        <v>0</v>
      </c>
      <c r="V1861" s="151">
        <v>0</v>
      </c>
      <c r="W1861" s="151">
        <v>0</v>
      </c>
      <c r="X1861" s="151">
        <v>1</v>
      </c>
      <c r="Y1861" s="151">
        <v>1</v>
      </c>
      <c r="Z1861" s="151">
        <v>0</v>
      </c>
      <c r="AA1861" s="151">
        <v>1</v>
      </c>
      <c r="AB1861" s="151">
        <v>1</v>
      </c>
      <c r="AC1861" s="151">
        <v>0</v>
      </c>
      <c r="AD1861" s="151">
        <v>1</v>
      </c>
      <c r="AE1861" s="151">
        <v>1</v>
      </c>
      <c r="AF1861" s="151">
        <v>1</v>
      </c>
      <c r="AG1861" s="151">
        <v>0</v>
      </c>
      <c r="AH1861" s="152">
        <v>0</v>
      </c>
      <c r="AI1861" s="6"/>
    </row>
    <row r="1862" spans="1:35" x14ac:dyDescent="0.25">
      <c r="A1862" s="3"/>
      <c r="B1862" s="4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5"/>
      <c r="AH1862" s="5"/>
      <c r="AI1862" s="6"/>
    </row>
    <row r="1863" spans="1:35" x14ac:dyDescent="0.25">
      <c r="A1863" s="3"/>
      <c r="B1863" s="8" t="s">
        <v>43</v>
      </c>
      <c r="C1863" s="9"/>
      <c r="D1863" s="9"/>
      <c r="E1863" s="9"/>
      <c r="F1863" s="225" t="s">
        <v>44</v>
      </c>
      <c r="G1863" s="225"/>
      <c r="H1863" s="225"/>
      <c r="I1863" s="9"/>
      <c r="J1863" s="226" t="s">
        <v>45</v>
      </c>
      <c r="K1863" s="226"/>
      <c r="L1863" s="226"/>
      <c r="M1863" s="226"/>
      <c r="N1863" s="9"/>
      <c r="O1863" s="227" t="s">
        <v>46</v>
      </c>
      <c r="P1863" s="227"/>
      <c r="Q1863" s="227"/>
      <c r="R1863" s="227"/>
      <c r="S1863" s="9"/>
      <c r="T1863" s="1" t="s">
        <v>49</v>
      </c>
      <c r="U1863" s="10" t="s">
        <v>48</v>
      </c>
      <c r="V1863" s="5"/>
      <c r="W1863" s="9"/>
      <c r="X1863" s="9"/>
      <c r="Y1863" s="9"/>
      <c r="Z1863" s="9"/>
      <c r="AA1863" s="9"/>
      <c r="AB1863" s="9"/>
      <c r="AC1863" s="9"/>
      <c r="AD1863" s="9"/>
      <c r="AE1863" s="9"/>
      <c r="AF1863" s="9"/>
      <c r="AG1863" s="9"/>
      <c r="AH1863" s="9"/>
      <c r="AI1863" s="6"/>
    </row>
    <row r="1864" spans="1:35" ht="15" customHeight="1" x14ac:dyDescent="0.25">
      <c r="A1864" s="3"/>
      <c r="B1864" s="221" t="str">
        <f>"0x"&amp;DEC2HEX(Sheet3!$I$4,8)</f>
        <v>0x00400320</v>
      </c>
      <c r="C1864" s="221"/>
      <c r="D1864" s="221"/>
      <c r="E1864" s="12"/>
      <c r="F1864" s="319" t="str">
        <f>"0x"&amp;BIN2HEX(CONCATENATE(C1857,D1857,E1857,F1857,G1857,H1857,I1857,J1857),2)&amp;BIN2HEX(CONCATENATE(K1857,L1857,M1857,N1857,O1857,P1857,Q1857,R1857),2)&amp;BIN2HEX(CONCATENATE(S1857,T1857,U1857,V1857,W1857,X1857,Y1857,Z1857),2)&amp;BIN2HEX(CONCATENATE(AA1857,AB1857,AC1857,AD1857,AE1857,AF1857,AG1857,AH1857),2)</f>
        <v>0x00000000</v>
      </c>
      <c r="G1864" s="319"/>
      <c r="H1864" s="319"/>
      <c r="I1864" s="12"/>
      <c r="J1864" s="319" t="str">
        <f>"0b"&amp;C1861&amp;D1861&amp;E1861&amp;F1861&amp;G1861&amp;H1861&amp;I1861&amp;J1861&amp;K1861&amp;L1861&amp;M1861&amp;N1861&amp;O1861&amp;P1861&amp;Q1861</f>
        <v>0b000000000000100</v>
      </c>
      <c r="K1864" s="319"/>
      <c r="L1864" s="319"/>
      <c r="M1864" s="319"/>
      <c r="N1864" s="12"/>
      <c r="O1864" s="319" t="str">
        <f>"0b"&amp;DEC2BIN(((AF1861+AE1861*2+AD1861*4+AC1861*8+AB1861*16+AA1861*32+Z1861*64+Y1861*128+X1861*256+W1861*512+V1861*1024+U1861*2048+T1861*4096+S1861*2^13+R1861*2^14)/512),6)&amp;DEC2BIN(MOD((AF1861+AE1861*2+AD1861*4+AC1861*8+AB1861*16+AA1861*32+Z1861*64+Y1861*128+X1861*256+W1861*512+V1861*1024+U1861*2048+T1861*4096+S1861*2^13+R1861*2^14),512),9)</f>
        <v>0b000000110110111</v>
      </c>
      <c r="P1864" s="319"/>
      <c r="Q1864" s="319"/>
      <c r="R1864" s="319"/>
      <c r="S1864" s="12"/>
      <c r="T1864" s="224">
        <v>0</v>
      </c>
      <c r="U1864" s="224">
        <f>AH1861</f>
        <v>0</v>
      </c>
      <c r="V1864" s="5"/>
      <c r="W1864" s="14"/>
      <c r="X1864" s="14"/>
      <c r="Y1864" s="14"/>
      <c r="Z1864" s="14"/>
      <c r="AA1864" s="14"/>
      <c r="AB1864" s="14"/>
      <c r="AC1864" s="14"/>
      <c r="AD1864" s="14"/>
      <c r="AE1864" s="14"/>
      <c r="AF1864" s="14"/>
      <c r="AG1864" s="14"/>
      <c r="AH1864" s="14"/>
      <c r="AI1864" s="6"/>
    </row>
    <row r="1865" spans="1:35" x14ac:dyDescent="0.25">
      <c r="A1865" s="3"/>
      <c r="B1865" s="221"/>
      <c r="C1865" s="221"/>
      <c r="D1865" s="221"/>
      <c r="E1865" s="15"/>
      <c r="F1865" s="222"/>
      <c r="G1865" s="222"/>
      <c r="H1865" s="222"/>
      <c r="I1865" s="15"/>
      <c r="J1865" s="221"/>
      <c r="K1865" s="221"/>
      <c r="L1865" s="221"/>
      <c r="M1865" s="221"/>
      <c r="N1865" s="15"/>
      <c r="O1865" s="221"/>
      <c r="P1865" s="221"/>
      <c r="Q1865" s="221"/>
      <c r="R1865" s="221"/>
      <c r="S1865" s="15"/>
      <c r="T1865" s="224"/>
      <c r="U1865" s="15"/>
      <c r="V1865" s="5"/>
      <c r="W1865" s="16"/>
      <c r="X1865" s="16"/>
      <c r="Y1865" s="16"/>
      <c r="Z1865" s="16"/>
      <c r="AA1865" s="16"/>
      <c r="AB1865" s="16"/>
      <c r="AC1865" s="16"/>
      <c r="AD1865" s="16"/>
      <c r="AE1865" s="16"/>
      <c r="AF1865" s="16"/>
      <c r="AG1865" s="16"/>
      <c r="AH1865" s="16"/>
      <c r="AI1865" s="6"/>
    </row>
    <row r="1866" spans="1:35" x14ac:dyDescent="0.25">
      <c r="A1866" s="3"/>
      <c r="B1866" s="221"/>
      <c r="C1866" s="221"/>
      <c r="D1866" s="221"/>
      <c r="E1866" s="15"/>
      <c r="F1866" s="222"/>
      <c r="G1866" s="222"/>
      <c r="H1866" s="222"/>
      <c r="I1866" s="15"/>
      <c r="J1866" s="221"/>
      <c r="K1866" s="221"/>
      <c r="L1866" s="221"/>
      <c r="M1866" s="221"/>
      <c r="N1866" s="15"/>
      <c r="O1866" s="221"/>
      <c r="P1866" s="221"/>
      <c r="Q1866" s="221"/>
      <c r="R1866" s="221"/>
      <c r="S1866" s="15"/>
      <c r="T1866" s="224"/>
      <c r="U1866" s="15"/>
      <c r="V1866" s="5"/>
      <c r="W1866" s="16"/>
      <c r="X1866" s="16"/>
      <c r="Y1866" s="16"/>
      <c r="Z1866" s="16"/>
      <c r="AA1866" s="16"/>
      <c r="AB1866" s="16"/>
      <c r="AC1866" s="16"/>
      <c r="AD1866" s="16"/>
      <c r="AE1866" s="16"/>
      <c r="AF1866" s="16"/>
      <c r="AG1866" s="16"/>
      <c r="AH1866" s="16"/>
      <c r="AI1866" s="6"/>
    </row>
    <row r="1867" spans="1:35" x14ac:dyDescent="0.25">
      <c r="A1867" s="3"/>
      <c r="B1867" s="5"/>
      <c r="C1867" s="5"/>
      <c r="D1867" s="5"/>
      <c r="E1867" s="5"/>
      <c r="F1867" s="17"/>
      <c r="G1867" s="17"/>
      <c r="H1867" s="17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5"/>
      <c r="AH1867" s="5"/>
      <c r="AI1867" s="6"/>
    </row>
    <row r="1868" spans="1:35" x14ac:dyDescent="0.25">
      <c r="A1868" s="3"/>
      <c r="B1868" s="5" t="s">
        <v>47</v>
      </c>
      <c r="C1868" s="18"/>
      <c r="D1868" s="18"/>
      <c r="E1868" s="18"/>
      <c r="F1868" s="5"/>
      <c r="G1868" s="5"/>
      <c r="H1868" s="5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  <c r="AB1868" s="18"/>
      <c r="AC1868" s="18"/>
      <c r="AD1868" s="18"/>
      <c r="AE1868" s="18"/>
      <c r="AF1868" s="18"/>
      <c r="AG1868" s="18"/>
      <c r="AH1868" s="18"/>
      <c r="AI1868" s="6"/>
    </row>
    <row r="1869" spans="1:35" ht="15" customHeight="1" x14ac:dyDescent="0.25">
      <c r="A1869" s="3"/>
      <c r="B1869" s="221" t="str">
        <f>"0x"&amp;DEC2HEX(Sheet3!$I$4,8)</f>
        <v>0x00400320</v>
      </c>
      <c r="C1869" s="221"/>
      <c r="D1869" s="221"/>
      <c r="E1869" s="16"/>
      <c r="F1869" s="322" t="str">
        <f>F1864&amp;BIN2HEX(MID(J1864,3,8),2)&amp;BIN2HEX(RIGHT(J1864,7)&amp;MID(O1864,3,1),2)&amp;BIN2HEX(MID(O1864,4,8),2)&amp;BIN2HEX(RIGHT(O1864,6)&amp;T1864&amp;U1864,2)</f>
        <v>0x00000000000806DC</v>
      </c>
      <c r="G1869" s="322"/>
      <c r="H1869" s="322"/>
      <c r="I1869" s="322"/>
      <c r="J1869" s="5"/>
      <c r="K1869" s="5"/>
      <c r="L1869" s="5"/>
      <c r="M1869" s="5"/>
      <c r="N1869" s="5"/>
      <c r="O1869" s="5"/>
      <c r="P1869" s="16"/>
      <c r="Q1869" s="16"/>
      <c r="R1869" s="19"/>
      <c r="S1869" s="19"/>
      <c r="T1869" s="19"/>
      <c r="U1869" s="19"/>
      <c r="V1869" s="19"/>
      <c r="W1869" s="19"/>
      <c r="X1869" s="19"/>
      <c r="Y1869" s="19"/>
      <c r="Z1869" s="19"/>
      <c r="AA1869" s="19"/>
      <c r="AB1869" s="19"/>
      <c r="AC1869" s="19"/>
      <c r="AD1869" s="19"/>
      <c r="AE1869" s="19"/>
      <c r="AF1869" s="19"/>
      <c r="AG1869" s="5"/>
      <c r="AH1869" s="5"/>
      <c r="AI1869" s="6"/>
    </row>
    <row r="1870" spans="1:35" x14ac:dyDescent="0.25">
      <c r="A1870" s="3"/>
      <c r="B1870" s="221"/>
      <c r="C1870" s="221"/>
      <c r="D1870" s="221"/>
      <c r="E1870" s="5"/>
      <c r="F1870" s="223"/>
      <c r="G1870" s="223"/>
      <c r="H1870" s="223"/>
      <c r="I1870" s="223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5"/>
      <c r="AH1870" s="5"/>
      <c r="AI1870" s="6"/>
    </row>
    <row r="1871" spans="1:35" x14ac:dyDescent="0.25">
      <c r="A1871" s="3"/>
      <c r="B1871" s="221"/>
      <c r="C1871" s="221"/>
      <c r="D1871" s="221"/>
      <c r="E1871" s="5"/>
      <c r="F1871" s="223"/>
      <c r="G1871" s="223"/>
      <c r="H1871" s="223"/>
      <c r="I1871" s="223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5"/>
      <c r="AH1871" s="5"/>
      <c r="AI1871" s="6"/>
    </row>
    <row r="1872" spans="1:35" x14ac:dyDescent="0.25">
      <c r="A1872" s="20"/>
      <c r="B1872" s="21"/>
      <c r="C1872" s="21"/>
      <c r="D1872" s="21"/>
      <c r="E1872" s="21"/>
      <c r="F1872" s="21"/>
      <c r="G1872" s="21"/>
      <c r="H1872" s="21"/>
      <c r="I1872" s="21"/>
      <c r="J1872" s="21"/>
      <c r="K1872" s="21"/>
      <c r="L1872" s="21"/>
      <c r="M1872" s="21"/>
      <c r="N1872" s="21"/>
      <c r="O1872" s="22"/>
      <c r="P1872" s="21"/>
      <c r="Q1872" s="21"/>
      <c r="R1872" s="21"/>
      <c r="S1872" s="21"/>
      <c r="T1872" s="21"/>
      <c r="U1872" s="21"/>
      <c r="V1872" s="21"/>
      <c r="W1872" s="21"/>
      <c r="X1872" s="21"/>
      <c r="Y1872" s="21"/>
      <c r="Z1872" s="21"/>
      <c r="AA1872" s="21"/>
      <c r="AB1872" s="21"/>
      <c r="AC1872" s="21"/>
      <c r="AD1872" s="21"/>
      <c r="AE1872" s="21"/>
      <c r="AF1872" s="21"/>
      <c r="AG1872" s="21"/>
      <c r="AH1872" s="21"/>
      <c r="AI1872" s="23"/>
    </row>
    <row r="1873" spans="1:35" x14ac:dyDescent="0.25">
      <c r="A1873" s="24"/>
      <c r="B1873" s="28"/>
      <c r="C1873" s="25"/>
      <c r="D1873" s="25"/>
      <c r="E1873" s="25"/>
      <c r="F1873" s="25"/>
      <c r="G1873" s="25"/>
      <c r="H1873" s="25"/>
      <c r="I1873" s="25"/>
      <c r="J1873" s="25"/>
      <c r="K1873" s="25"/>
      <c r="L1873" s="25"/>
      <c r="M1873" s="25"/>
      <c r="N1873" s="25"/>
      <c r="O1873" s="25"/>
      <c r="P1873" s="25"/>
      <c r="Q1873" s="25"/>
      <c r="R1873" s="25"/>
      <c r="S1873" s="25"/>
      <c r="T1873" s="25"/>
      <c r="U1873" s="25"/>
      <c r="V1873" s="25"/>
      <c r="W1873" s="25"/>
      <c r="X1873" s="25"/>
      <c r="Y1873" s="25"/>
      <c r="Z1873" s="25"/>
      <c r="AA1873" s="25"/>
      <c r="AB1873" s="25"/>
      <c r="AC1873" s="25"/>
      <c r="AD1873" s="25"/>
      <c r="AE1873" s="25"/>
      <c r="AF1873" s="25"/>
      <c r="AG1873" s="25"/>
      <c r="AH1873" s="25"/>
      <c r="AI1873" s="26"/>
    </row>
    <row r="1874" spans="1:35" x14ac:dyDescent="0.25">
      <c r="A1874" s="3"/>
      <c r="B1874" s="4" t="s">
        <v>351</v>
      </c>
      <c r="C1874" s="5"/>
      <c r="D1874" s="5"/>
      <c r="E1874" s="5"/>
      <c r="F1874" s="5"/>
      <c r="G1874" s="5"/>
      <c r="H1874" s="5"/>
      <c r="I1874" s="5" t="str">
        <f>"0x"&amp;BIN2HEX(CONCATENATE(C1879,D1879,E1879,F1879,G1879,H1879,I1879,J1879),2)&amp;BIN2HEX(CONCATENATE(K1879,L1879,M1879,N1879,O1879,P1879,Q1879,R1879),2)&amp;BIN2HEX(CONCATENATE(S1879,T1879,U1879,V1879,W1879,X1879,Y1879,Z1879),2)&amp;BIN2HEX(CONCATENATE(AA1879,AB1879,AC1879,AD1879,AE1879,AF1879,AG1879,AH1879),2)&amp;"_"&amp;BIN2HEX(CONCATENATE(C1883,D1883,E1883,F1883,G1883,H1883,I1883,J1883),2)&amp;BIN2HEX(CONCATENATE(K1883,L1883,M1883,N1883,O1883,P1883,Q1883,R1883),2)&amp;BIN2HEX(CONCATENATE(S1883,T1883,U1883,V1883,W1883,X1883,Y1883,Z1883),2)&amp;BIN2HEX(CONCATENATE(AA1883,AB1883,AC1883,AD1883,AE1883,AF1883,AG1883,AH1883),2)</f>
        <v>0x00000000_000806E0</v>
      </c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5"/>
      <c r="AH1874" s="5"/>
      <c r="AI1874" s="6"/>
    </row>
    <row r="1875" spans="1:35" ht="15.75" thickBot="1" x14ac:dyDescent="0.3">
      <c r="A1875" s="3"/>
      <c r="B1875" s="5"/>
      <c r="C1875" s="7">
        <v>0</v>
      </c>
      <c r="D1875" s="7">
        <v>1</v>
      </c>
      <c r="E1875" s="7">
        <v>2</v>
      </c>
      <c r="F1875" s="7">
        <v>3</v>
      </c>
      <c r="G1875" s="7">
        <v>4</v>
      </c>
      <c r="H1875" s="7">
        <v>5</v>
      </c>
      <c r="I1875" s="7">
        <v>6</v>
      </c>
      <c r="J1875" s="7">
        <v>7</v>
      </c>
      <c r="K1875" s="7">
        <v>8</v>
      </c>
      <c r="L1875" s="7">
        <v>9</v>
      </c>
      <c r="M1875" s="7">
        <v>10</v>
      </c>
      <c r="N1875" s="7">
        <v>11</v>
      </c>
      <c r="O1875" s="7">
        <v>12</v>
      </c>
      <c r="P1875" s="7">
        <v>13</v>
      </c>
      <c r="Q1875" s="7">
        <v>14</v>
      </c>
      <c r="R1875" s="7">
        <v>15</v>
      </c>
      <c r="S1875" s="7">
        <v>16</v>
      </c>
      <c r="T1875" s="7">
        <v>17</v>
      </c>
      <c r="U1875" s="7">
        <v>18</v>
      </c>
      <c r="V1875" s="7">
        <v>19</v>
      </c>
      <c r="W1875" s="7">
        <v>20</v>
      </c>
      <c r="X1875" s="7">
        <v>21</v>
      </c>
      <c r="Y1875" s="7">
        <v>22</v>
      </c>
      <c r="Z1875" s="7">
        <v>23</v>
      </c>
      <c r="AA1875" s="7">
        <v>24</v>
      </c>
      <c r="AB1875" s="7">
        <v>25</v>
      </c>
      <c r="AC1875" s="7">
        <v>26</v>
      </c>
      <c r="AD1875" s="7">
        <v>27</v>
      </c>
      <c r="AE1875" s="7">
        <v>28</v>
      </c>
      <c r="AF1875" s="7">
        <v>29</v>
      </c>
      <c r="AG1875" s="7">
        <v>30</v>
      </c>
      <c r="AH1875" s="7">
        <v>31</v>
      </c>
      <c r="AI1875" s="6"/>
    </row>
    <row r="1876" spans="1:35" x14ac:dyDescent="0.25">
      <c r="A1876" s="3"/>
      <c r="B1876" s="5" t="s">
        <v>31</v>
      </c>
      <c r="C1876" s="328" t="s">
        <v>161</v>
      </c>
      <c r="D1876" s="330" t="s">
        <v>63</v>
      </c>
      <c r="E1876" s="331"/>
      <c r="F1876" s="331"/>
      <c r="G1876" s="331"/>
      <c r="H1876" s="331"/>
      <c r="I1876" s="331"/>
      <c r="J1876" s="332"/>
      <c r="K1876" s="336">
        <v>0</v>
      </c>
      <c r="L1876" s="337"/>
      <c r="M1876" s="337"/>
      <c r="N1876" s="337"/>
      <c r="O1876" s="337"/>
      <c r="P1876" s="337"/>
      <c r="Q1876" s="337"/>
      <c r="R1876" s="337"/>
      <c r="S1876" s="337"/>
      <c r="T1876" s="337"/>
      <c r="U1876" s="337"/>
      <c r="V1876" s="337"/>
      <c r="W1876" s="337"/>
      <c r="X1876" s="337"/>
      <c r="Y1876" s="337"/>
      <c r="Z1876" s="337"/>
      <c r="AA1876" s="337"/>
      <c r="AB1876" s="337"/>
      <c r="AC1876" s="337"/>
      <c r="AD1876" s="337"/>
      <c r="AE1876" s="337"/>
      <c r="AF1876" s="337"/>
      <c r="AG1876" s="337"/>
      <c r="AH1876" s="338"/>
      <c r="AI1876" s="6"/>
    </row>
    <row r="1877" spans="1:35" x14ac:dyDescent="0.25">
      <c r="A1877" s="3"/>
      <c r="B1877" s="5" t="s">
        <v>32</v>
      </c>
      <c r="C1877" s="329"/>
      <c r="D1877" s="333"/>
      <c r="E1877" s="334"/>
      <c r="F1877" s="334"/>
      <c r="G1877" s="334"/>
      <c r="H1877" s="334"/>
      <c r="I1877" s="334"/>
      <c r="J1877" s="335"/>
      <c r="K1877" s="339"/>
      <c r="L1877" s="340"/>
      <c r="M1877" s="340"/>
      <c r="N1877" s="340"/>
      <c r="O1877" s="340"/>
      <c r="P1877" s="340"/>
      <c r="Q1877" s="340"/>
      <c r="R1877" s="340"/>
      <c r="S1877" s="340"/>
      <c r="T1877" s="340"/>
      <c r="U1877" s="340"/>
      <c r="V1877" s="340"/>
      <c r="W1877" s="340"/>
      <c r="X1877" s="340"/>
      <c r="Y1877" s="340"/>
      <c r="Z1877" s="340"/>
      <c r="AA1877" s="340"/>
      <c r="AB1877" s="340"/>
      <c r="AC1877" s="340"/>
      <c r="AD1877" s="340"/>
      <c r="AE1877" s="340"/>
      <c r="AF1877" s="340"/>
      <c r="AG1877" s="340"/>
      <c r="AH1877" s="341"/>
      <c r="AI1877" s="6"/>
    </row>
    <row r="1878" spans="1:35" x14ac:dyDescent="0.25">
      <c r="A1878" s="3"/>
      <c r="B1878" s="5" t="s">
        <v>11</v>
      </c>
      <c r="C1878" s="56">
        <v>0</v>
      </c>
      <c r="D1878" s="57">
        <v>0</v>
      </c>
      <c r="E1878" s="57">
        <v>0</v>
      </c>
      <c r="F1878" s="57">
        <v>0</v>
      </c>
      <c r="G1878" s="57">
        <v>0</v>
      </c>
      <c r="H1878" s="57">
        <v>0</v>
      </c>
      <c r="I1878" s="57">
        <v>0</v>
      </c>
      <c r="J1878" s="57">
        <v>0</v>
      </c>
      <c r="K1878" s="57">
        <v>0</v>
      </c>
      <c r="L1878" s="57">
        <v>0</v>
      </c>
      <c r="M1878" s="57">
        <v>0</v>
      </c>
      <c r="N1878" s="57">
        <v>0</v>
      </c>
      <c r="O1878" s="57">
        <v>0</v>
      </c>
      <c r="P1878" s="57">
        <v>0</v>
      </c>
      <c r="Q1878" s="57">
        <v>0</v>
      </c>
      <c r="R1878" s="57">
        <v>0</v>
      </c>
      <c r="S1878" s="57">
        <v>0</v>
      </c>
      <c r="T1878" s="57">
        <v>0</v>
      </c>
      <c r="U1878" s="57">
        <v>0</v>
      </c>
      <c r="V1878" s="57">
        <v>0</v>
      </c>
      <c r="W1878" s="57">
        <v>0</v>
      </c>
      <c r="X1878" s="57">
        <v>0</v>
      </c>
      <c r="Y1878" s="57">
        <v>0</v>
      </c>
      <c r="Z1878" s="57">
        <v>0</v>
      </c>
      <c r="AA1878" s="57">
        <v>0</v>
      </c>
      <c r="AB1878" s="57">
        <v>0</v>
      </c>
      <c r="AC1878" s="57">
        <v>0</v>
      </c>
      <c r="AD1878" s="57">
        <v>0</v>
      </c>
      <c r="AE1878" s="57">
        <v>0</v>
      </c>
      <c r="AF1878" s="57">
        <v>0</v>
      </c>
      <c r="AG1878" s="57">
        <v>0</v>
      </c>
      <c r="AH1878" s="58">
        <v>0</v>
      </c>
      <c r="AI1878" s="6"/>
    </row>
    <row r="1879" spans="1:35" ht="15.75" thickBot="1" x14ac:dyDescent="0.3">
      <c r="A1879" s="3"/>
      <c r="B1879" s="5" t="s">
        <v>12</v>
      </c>
      <c r="C1879" s="145">
        <v>0</v>
      </c>
      <c r="D1879" s="88">
        <v>0</v>
      </c>
      <c r="E1879" s="88">
        <v>0</v>
      </c>
      <c r="F1879" s="88">
        <v>0</v>
      </c>
      <c r="G1879" s="88">
        <v>0</v>
      </c>
      <c r="H1879" s="88">
        <v>0</v>
      </c>
      <c r="I1879" s="88">
        <v>0</v>
      </c>
      <c r="J1879" s="88">
        <v>0</v>
      </c>
      <c r="K1879" s="62">
        <v>0</v>
      </c>
      <c r="L1879" s="62">
        <v>0</v>
      </c>
      <c r="M1879" s="62">
        <v>0</v>
      </c>
      <c r="N1879" s="62">
        <v>0</v>
      </c>
      <c r="O1879" s="62">
        <v>0</v>
      </c>
      <c r="P1879" s="62">
        <v>0</v>
      </c>
      <c r="Q1879" s="62">
        <v>0</v>
      </c>
      <c r="R1879" s="62">
        <v>0</v>
      </c>
      <c r="S1879" s="62">
        <v>0</v>
      </c>
      <c r="T1879" s="62">
        <v>0</v>
      </c>
      <c r="U1879" s="62">
        <v>0</v>
      </c>
      <c r="V1879" s="62">
        <v>0</v>
      </c>
      <c r="W1879" s="62">
        <v>0</v>
      </c>
      <c r="X1879" s="62">
        <v>0</v>
      </c>
      <c r="Y1879" s="62">
        <v>0</v>
      </c>
      <c r="Z1879" s="62">
        <v>0</v>
      </c>
      <c r="AA1879" s="62">
        <v>0</v>
      </c>
      <c r="AB1879" s="62">
        <v>0</v>
      </c>
      <c r="AC1879" s="62">
        <v>0</v>
      </c>
      <c r="AD1879" s="62">
        <v>0</v>
      </c>
      <c r="AE1879" s="62">
        <v>0</v>
      </c>
      <c r="AF1879" s="62">
        <v>0</v>
      </c>
      <c r="AG1879" s="62">
        <v>0</v>
      </c>
      <c r="AH1879" s="146">
        <v>0</v>
      </c>
      <c r="AI1879" s="6"/>
    </row>
    <row r="1880" spans="1:35" x14ac:dyDescent="0.25">
      <c r="A1880" s="3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5"/>
      <c r="AH1880" s="5"/>
      <c r="AI1880" s="6"/>
    </row>
    <row r="1881" spans="1:35" ht="15.75" thickBot="1" x14ac:dyDescent="0.3">
      <c r="A1881" s="3"/>
      <c r="B1881" s="5"/>
      <c r="C1881" s="7">
        <v>32</v>
      </c>
      <c r="D1881" s="7">
        <v>33</v>
      </c>
      <c r="E1881" s="7">
        <v>34</v>
      </c>
      <c r="F1881" s="7">
        <v>35</v>
      </c>
      <c r="G1881" s="7">
        <v>36</v>
      </c>
      <c r="H1881" s="7">
        <v>37</v>
      </c>
      <c r="I1881" s="7">
        <v>38</v>
      </c>
      <c r="J1881" s="7">
        <v>39</v>
      </c>
      <c r="K1881" s="7">
        <v>40</v>
      </c>
      <c r="L1881" s="7">
        <v>41</v>
      </c>
      <c r="M1881" s="7">
        <v>42</v>
      </c>
      <c r="N1881" s="7">
        <v>43</v>
      </c>
      <c r="O1881" s="7">
        <v>44</v>
      </c>
      <c r="P1881" s="7">
        <v>45</v>
      </c>
      <c r="Q1881" s="7">
        <v>46</v>
      </c>
      <c r="R1881" s="7">
        <v>47</v>
      </c>
      <c r="S1881" s="7">
        <v>48</v>
      </c>
      <c r="T1881" s="7">
        <v>49</v>
      </c>
      <c r="U1881" s="7">
        <v>50</v>
      </c>
      <c r="V1881" s="7">
        <v>51</v>
      </c>
      <c r="W1881" s="7">
        <v>52</v>
      </c>
      <c r="X1881" s="7">
        <v>53</v>
      </c>
      <c r="Y1881" s="7">
        <v>54</v>
      </c>
      <c r="Z1881" s="7">
        <v>55</v>
      </c>
      <c r="AA1881" s="7">
        <v>56</v>
      </c>
      <c r="AB1881" s="7">
        <v>57</v>
      </c>
      <c r="AC1881" s="7">
        <v>58</v>
      </c>
      <c r="AD1881" s="7">
        <v>59</v>
      </c>
      <c r="AE1881" s="7">
        <v>60</v>
      </c>
      <c r="AF1881" s="7">
        <v>61</v>
      </c>
      <c r="AG1881" s="7">
        <v>62</v>
      </c>
      <c r="AH1881" s="7">
        <v>63</v>
      </c>
      <c r="AI1881" s="6"/>
    </row>
    <row r="1882" spans="1:35" ht="15.75" thickBot="1" x14ac:dyDescent="0.3">
      <c r="A1882" s="3"/>
      <c r="B1882" s="5"/>
      <c r="C1882" s="147" t="s">
        <v>13</v>
      </c>
      <c r="D1882" s="148" t="s">
        <v>14</v>
      </c>
      <c r="E1882" s="148" t="s">
        <v>15</v>
      </c>
      <c r="F1882" s="148" t="s">
        <v>16</v>
      </c>
      <c r="G1882" s="148" t="s">
        <v>17</v>
      </c>
      <c r="H1882" s="148" t="s">
        <v>18</v>
      </c>
      <c r="I1882" s="148" t="s">
        <v>19</v>
      </c>
      <c r="J1882" s="148" t="s">
        <v>20</v>
      </c>
      <c r="K1882" s="148" t="s">
        <v>21</v>
      </c>
      <c r="L1882" s="148" t="s">
        <v>22</v>
      </c>
      <c r="M1882" s="148" t="s">
        <v>23</v>
      </c>
      <c r="N1882" s="148" t="s">
        <v>24</v>
      </c>
      <c r="O1882" s="148" t="s">
        <v>25</v>
      </c>
      <c r="P1882" s="148" t="s">
        <v>26</v>
      </c>
      <c r="Q1882" s="148" t="s">
        <v>27</v>
      </c>
      <c r="R1882" s="342" t="s">
        <v>30</v>
      </c>
      <c r="S1882" s="343"/>
      <c r="T1882" s="343"/>
      <c r="U1882" s="343"/>
      <c r="V1882" s="343"/>
      <c r="W1882" s="343"/>
      <c r="X1882" s="343"/>
      <c r="Y1882" s="343"/>
      <c r="Z1882" s="343"/>
      <c r="AA1882" s="343"/>
      <c r="AB1882" s="343"/>
      <c r="AC1882" s="343"/>
      <c r="AD1882" s="343"/>
      <c r="AE1882" s="343"/>
      <c r="AF1882" s="344"/>
      <c r="AG1882" s="67" t="s">
        <v>28</v>
      </c>
      <c r="AH1882" s="149" t="s">
        <v>29</v>
      </c>
      <c r="AI1882" s="6"/>
    </row>
    <row r="1883" spans="1:35" ht="15.75" thickBot="1" x14ac:dyDescent="0.3">
      <c r="A1883" s="3"/>
      <c r="B1883" s="5"/>
      <c r="C1883" s="150">
        <v>0</v>
      </c>
      <c r="D1883" s="151">
        <v>0</v>
      </c>
      <c r="E1883" s="151">
        <v>0</v>
      </c>
      <c r="F1883" s="151">
        <v>0</v>
      </c>
      <c r="G1883" s="151">
        <v>0</v>
      </c>
      <c r="H1883" s="151">
        <v>0</v>
      </c>
      <c r="I1883" s="151">
        <v>0</v>
      </c>
      <c r="J1883" s="151">
        <v>0</v>
      </c>
      <c r="K1883" s="151">
        <v>0</v>
      </c>
      <c r="L1883" s="151">
        <v>0</v>
      </c>
      <c r="M1883" s="151">
        <v>0</v>
      </c>
      <c r="N1883" s="151">
        <v>0</v>
      </c>
      <c r="O1883" s="151">
        <v>1</v>
      </c>
      <c r="P1883" s="151">
        <v>0</v>
      </c>
      <c r="Q1883" s="151">
        <v>0</v>
      </c>
      <c r="R1883" s="151">
        <v>0</v>
      </c>
      <c r="S1883" s="151">
        <v>0</v>
      </c>
      <c r="T1883" s="151">
        <v>0</v>
      </c>
      <c r="U1883" s="151">
        <v>0</v>
      </c>
      <c r="V1883" s="151">
        <v>0</v>
      </c>
      <c r="W1883" s="151">
        <v>0</v>
      </c>
      <c r="X1883" s="151">
        <v>1</v>
      </c>
      <c r="Y1883" s="151">
        <v>1</v>
      </c>
      <c r="Z1883" s="151">
        <v>0</v>
      </c>
      <c r="AA1883" s="151">
        <v>1</v>
      </c>
      <c r="AB1883" s="151">
        <v>1</v>
      </c>
      <c r="AC1883" s="151">
        <v>1</v>
      </c>
      <c r="AD1883" s="151">
        <v>0</v>
      </c>
      <c r="AE1883" s="151">
        <v>0</v>
      </c>
      <c r="AF1883" s="151">
        <v>0</v>
      </c>
      <c r="AG1883" s="151">
        <v>0</v>
      </c>
      <c r="AH1883" s="152">
        <v>0</v>
      </c>
      <c r="AI1883" s="6"/>
    </row>
    <row r="1884" spans="1:35" x14ac:dyDescent="0.25">
      <c r="A1884" s="3"/>
      <c r="B1884" s="4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5"/>
      <c r="AH1884" s="5"/>
      <c r="AI1884" s="6"/>
    </row>
    <row r="1885" spans="1:35" x14ac:dyDescent="0.25">
      <c r="A1885" s="3"/>
      <c r="B1885" s="8" t="s">
        <v>43</v>
      </c>
      <c r="C1885" s="9"/>
      <c r="D1885" s="9"/>
      <c r="E1885" s="9"/>
      <c r="F1885" s="225" t="s">
        <v>44</v>
      </c>
      <c r="G1885" s="225"/>
      <c r="H1885" s="225"/>
      <c r="I1885" s="9"/>
      <c r="J1885" s="226" t="s">
        <v>45</v>
      </c>
      <c r="K1885" s="226"/>
      <c r="L1885" s="226"/>
      <c r="M1885" s="226"/>
      <c r="N1885" s="9"/>
      <c r="O1885" s="227" t="s">
        <v>46</v>
      </c>
      <c r="P1885" s="227"/>
      <c r="Q1885" s="227"/>
      <c r="R1885" s="227"/>
      <c r="S1885" s="9"/>
      <c r="T1885" s="1" t="s">
        <v>49</v>
      </c>
      <c r="U1885" s="10" t="s">
        <v>48</v>
      </c>
      <c r="V1885" s="5"/>
      <c r="W1885" s="9"/>
      <c r="X1885" s="9"/>
      <c r="Y1885" s="9"/>
      <c r="Z1885" s="9"/>
      <c r="AA1885" s="9"/>
      <c r="AB1885" s="9"/>
      <c r="AC1885" s="9"/>
      <c r="AD1885" s="9"/>
      <c r="AE1885" s="9"/>
      <c r="AF1885" s="9"/>
      <c r="AG1885" s="9"/>
      <c r="AH1885" s="9"/>
      <c r="AI1885" s="6"/>
    </row>
    <row r="1886" spans="1:35" ht="15" customHeight="1" x14ac:dyDescent="0.25">
      <c r="A1886" s="3"/>
      <c r="B1886" s="221" t="str">
        <f>"0x"&amp;DEC2HEX(Sheet3!$I$4,8)</f>
        <v>0x00400320</v>
      </c>
      <c r="C1886" s="221"/>
      <c r="D1886" s="221"/>
      <c r="E1886" s="12"/>
      <c r="F1886" s="319" t="str">
        <f>"0x"&amp;BIN2HEX(CONCATENATE(C1879,D1879,E1879,F1879,G1879,H1879,I1879,J1879),2)&amp;BIN2HEX(CONCATENATE(K1879,L1879,M1879,N1879,O1879,P1879,Q1879,R1879),2)&amp;BIN2HEX(CONCATENATE(S1879,T1879,U1879,V1879,W1879,X1879,Y1879,Z1879),2)&amp;BIN2HEX(CONCATENATE(AA1879,AB1879,AC1879,AD1879,AE1879,AF1879,AG1879,AH1879),2)</f>
        <v>0x00000000</v>
      </c>
      <c r="G1886" s="319"/>
      <c r="H1886" s="319"/>
      <c r="I1886" s="12"/>
      <c r="J1886" s="319" t="str">
        <f>"0b"&amp;C1883&amp;D1883&amp;E1883&amp;F1883&amp;G1883&amp;H1883&amp;I1883&amp;J1883&amp;K1883&amp;L1883&amp;M1883&amp;N1883&amp;O1883&amp;P1883&amp;Q1883</f>
        <v>0b000000000000100</v>
      </c>
      <c r="K1886" s="319"/>
      <c r="L1886" s="319"/>
      <c r="M1886" s="319"/>
      <c r="N1886" s="12"/>
      <c r="O1886" s="319" t="str">
        <f>"0b"&amp;DEC2BIN(((AF1883+AE1883*2+AD1883*4+AC1883*8+AB1883*16+AA1883*32+Z1883*64+Y1883*128+X1883*256+W1883*512+V1883*1024+U1883*2048+T1883*4096+S1883*2^13+R1883*2^14)/512),6)&amp;DEC2BIN(MOD((AF1883+AE1883*2+AD1883*4+AC1883*8+AB1883*16+AA1883*32+Z1883*64+Y1883*128+X1883*256+W1883*512+V1883*1024+U1883*2048+T1883*4096+S1883*2^13+R1883*2^14),512),9)</f>
        <v>0b000000110111000</v>
      </c>
      <c r="P1886" s="319"/>
      <c r="Q1886" s="319"/>
      <c r="R1886" s="319"/>
      <c r="S1886" s="12"/>
      <c r="T1886" s="224">
        <v>0</v>
      </c>
      <c r="U1886" s="224">
        <f>AH1883</f>
        <v>0</v>
      </c>
      <c r="V1886" s="5"/>
      <c r="W1886" s="14"/>
      <c r="X1886" s="14"/>
      <c r="Y1886" s="14"/>
      <c r="Z1886" s="14"/>
      <c r="AA1886" s="14"/>
      <c r="AB1886" s="14"/>
      <c r="AC1886" s="14"/>
      <c r="AD1886" s="14"/>
      <c r="AE1886" s="14"/>
      <c r="AF1886" s="14"/>
      <c r="AG1886" s="14"/>
      <c r="AH1886" s="14"/>
      <c r="AI1886" s="6"/>
    </row>
    <row r="1887" spans="1:35" x14ac:dyDescent="0.25">
      <c r="A1887" s="3"/>
      <c r="B1887" s="221"/>
      <c r="C1887" s="221"/>
      <c r="D1887" s="221"/>
      <c r="E1887" s="15"/>
      <c r="F1887" s="222"/>
      <c r="G1887" s="222"/>
      <c r="H1887" s="222"/>
      <c r="I1887" s="15"/>
      <c r="J1887" s="221"/>
      <c r="K1887" s="221"/>
      <c r="L1887" s="221"/>
      <c r="M1887" s="221"/>
      <c r="N1887" s="15"/>
      <c r="O1887" s="221"/>
      <c r="P1887" s="221"/>
      <c r="Q1887" s="221"/>
      <c r="R1887" s="221"/>
      <c r="S1887" s="15"/>
      <c r="T1887" s="224"/>
      <c r="U1887" s="15"/>
      <c r="V1887" s="5"/>
      <c r="W1887" s="16"/>
      <c r="X1887" s="16"/>
      <c r="Y1887" s="16"/>
      <c r="Z1887" s="16"/>
      <c r="AA1887" s="16"/>
      <c r="AB1887" s="16"/>
      <c r="AC1887" s="16"/>
      <c r="AD1887" s="16"/>
      <c r="AE1887" s="16"/>
      <c r="AF1887" s="16"/>
      <c r="AG1887" s="16"/>
      <c r="AH1887" s="16"/>
      <c r="AI1887" s="6"/>
    </row>
    <row r="1888" spans="1:35" x14ac:dyDescent="0.25">
      <c r="A1888" s="3"/>
      <c r="B1888" s="221"/>
      <c r="C1888" s="221"/>
      <c r="D1888" s="221"/>
      <c r="E1888" s="15"/>
      <c r="F1888" s="222"/>
      <c r="G1888" s="222"/>
      <c r="H1888" s="222"/>
      <c r="I1888" s="15"/>
      <c r="J1888" s="221"/>
      <c r="K1888" s="221"/>
      <c r="L1888" s="221"/>
      <c r="M1888" s="221"/>
      <c r="N1888" s="15"/>
      <c r="O1888" s="221"/>
      <c r="P1888" s="221"/>
      <c r="Q1888" s="221"/>
      <c r="R1888" s="221"/>
      <c r="S1888" s="15"/>
      <c r="T1888" s="224"/>
      <c r="U1888" s="15"/>
      <c r="V1888" s="5"/>
      <c r="W1888" s="16"/>
      <c r="X1888" s="16"/>
      <c r="Y1888" s="16"/>
      <c r="Z1888" s="16"/>
      <c r="AA1888" s="16"/>
      <c r="AB1888" s="16"/>
      <c r="AC1888" s="16"/>
      <c r="AD1888" s="16"/>
      <c r="AE1888" s="16"/>
      <c r="AF1888" s="16"/>
      <c r="AG1888" s="16"/>
      <c r="AH1888" s="16"/>
      <c r="AI1888" s="6"/>
    </row>
    <row r="1889" spans="1:35" x14ac:dyDescent="0.25">
      <c r="A1889" s="3"/>
      <c r="B1889" s="5"/>
      <c r="C1889" s="5"/>
      <c r="D1889" s="5"/>
      <c r="E1889" s="5"/>
      <c r="F1889" s="17"/>
      <c r="G1889" s="17"/>
      <c r="H1889" s="17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5"/>
      <c r="AH1889" s="5"/>
      <c r="AI1889" s="6"/>
    </row>
    <row r="1890" spans="1:35" x14ac:dyDescent="0.25">
      <c r="A1890" s="3"/>
      <c r="B1890" s="5" t="s">
        <v>47</v>
      </c>
      <c r="C1890" s="18"/>
      <c r="D1890" s="18"/>
      <c r="E1890" s="18"/>
      <c r="F1890" s="5"/>
      <c r="G1890" s="5"/>
      <c r="H1890" s="5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  <c r="AB1890" s="18"/>
      <c r="AC1890" s="18"/>
      <c r="AD1890" s="18"/>
      <c r="AE1890" s="18"/>
      <c r="AF1890" s="18"/>
      <c r="AG1890" s="18"/>
      <c r="AH1890" s="18"/>
      <c r="AI1890" s="6"/>
    </row>
    <row r="1891" spans="1:35" ht="15" customHeight="1" x14ac:dyDescent="0.25">
      <c r="A1891" s="3"/>
      <c r="B1891" s="221" t="str">
        <f>"0x"&amp;DEC2HEX(Sheet3!$I$4,8)</f>
        <v>0x00400320</v>
      </c>
      <c r="C1891" s="221"/>
      <c r="D1891" s="221"/>
      <c r="E1891" s="16"/>
      <c r="F1891" s="322" t="str">
        <f>F1886&amp;BIN2HEX(MID(J1886,3,8),2)&amp;BIN2HEX(RIGHT(J1886,7)&amp;MID(O1886,3,1),2)&amp;BIN2HEX(MID(O1886,4,8),2)&amp;BIN2HEX(RIGHT(O1886,6)&amp;T1886&amp;U1886,2)</f>
        <v>0x00000000000806E0</v>
      </c>
      <c r="G1891" s="322"/>
      <c r="H1891" s="322"/>
      <c r="I1891" s="322"/>
      <c r="J1891" s="5"/>
      <c r="K1891" s="5"/>
      <c r="L1891" s="5"/>
      <c r="M1891" s="5"/>
      <c r="N1891" s="5"/>
      <c r="O1891" s="5"/>
      <c r="P1891" s="16"/>
      <c r="Q1891" s="16"/>
      <c r="R1891" s="19"/>
      <c r="S1891" s="19"/>
      <c r="T1891" s="19"/>
      <c r="U1891" s="19"/>
      <c r="V1891" s="19"/>
      <c r="W1891" s="19"/>
      <c r="X1891" s="19"/>
      <c r="Y1891" s="19"/>
      <c r="Z1891" s="19"/>
      <c r="AA1891" s="19"/>
      <c r="AB1891" s="19"/>
      <c r="AC1891" s="19"/>
      <c r="AD1891" s="19"/>
      <c r="AE1891" s="19"/>
      <c r="AF1891" s="19"/>
      <c r="AG1891" s="5"/>
      <c r="AH1891" s="5"/>
      <c r="AI1891" s="6"/>
    </row>
    <row r="1892" spans="1:35" x14ac:dyDescent="0.25">
      <c r="A1892" s="3"/>
      <c r="B1892" s="221"/>
      <c r="C1892" s="221"/>
      <c r="D1892" s="221"/>
      <c r="E1892" s="5"/>
      <c r="F1892" s="223"/>
      <c r="G1892" s="223"/>
      <c r="H1892" s="223"/>
      <c r="I1892" s="223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5"/>
      <c r="AH1892" s="5"/>
      <c r="AI1892" s="6"/>
    </row>
    <row r="1893" spans="1:35" x14ac:dyDescent="0.25">
      <c r="A1893" s="3"/>
      <c r="B1893" s="221"/>
      <c r="C1893" s="221"/>
      <c r="D1893" s="221"/>
      <c r="E1893" s="5"/>
      <c r="F1893" s="223"/>
      <c r="G1893" s="223"/>
      <c r="H1893" s="223"/>
      <c r="I1893" s="223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5"/>
      <c r="AI1893" s="6"/>
    </row>
    <row r="1894" spans="1:35" x14ac:dyDescent="0.25">
      <c r="A1894" s="20"/>
      <c r="B1894" s="21"/>
      <c r="C1894" s="21"/>
      <c r="D1894" s="21"/>
      <c r="E1894" s="21"/>
      <c r="F1894" s="21"/>
      <c r="G1894" s="21"/>
      <c r="H1894" s="21"/>
      <c r="I1894" s="21"/>
      <c r="J1894" s="21"/>
      <c r="K1894" s="21"/>
      <c r="L1894" s="21"/>
      <c r="M1894" s="21"/>
      <c r="N1894" s="21"/>
      <c r="O1894" s="22"/>
      <c r="P1894" s="21"/>
      <c r="Q1894" s="21"/>
      <c r="R1894" s="21"/>
      <c r="S1894" s="21"/>
      <c r="T1894" s="21"/>
      <c r="U1894" s="21"/>
      <c r="V1894" s="21"/>
      <c r="W1894" s="21"/>
      <c r="X1894" s="21"/>
      <c r="Y1894" s="21"/>
      <c r="Z1894" s="21"/>
      <c r="AA1894" s="21"/>
      <c r="AB1894" s="21"/>
      <c r="AC1894" s="21"/>
      <c r="AD1894" s="21"/>
      <c r="AE1894" s="21"/>
      <c r="AF1894" s="21"/>
      <c r="AG1894" s="21"/>
      <c r="AH1894" s="21"/>
      <c r="AI1894" s="23"/>
    </row>
    <row r="1895" spans="1:35" x14ac:dyDescent="0.25">
      <c r="A1895" s="24"/>
      <c r="B1895" s="28"/>
      <c r="C1895" s="25"/>
      <c r="D1895" s="25"/>
      <c r="E1895" s="25"/>
      <c r="F1895" s="25"/>
      <c r="G1895" s="25"/>
      <c r="H1895" s="25"/>
      <c r="I1895" s="25"/>
      <c r="J1895" s="25"/>
      <c r="K1895" s="25"/>
      <c r="L1895" s="25"/>
      <c r="M1895" s="25"/>
      <c r="N1895" s="25"/>
      <c r="O1895" s="25"/>
      <c r="P1895" s="25"/>
      <c r="Q1895" s="25"/>
      <c r="R1895" s="25"/>
      <c r="S1895" s="25"/>
      <c r="T1895" s="25"/>
      <c r="U1895" s="25"/>
      <c r="V1895" s="25"/>
      <c r="W1895" s="25"/>
      <c r="X1895" s="25"/>
      <c r="Y1895" s="25"/>
      <c r="Z1895" s="25"/>
      <c r="AA1895" s="25"/>
      <c r="AB1895" s="25"/>
      <c r="AC1895" s="25"/>
      <c r="AD1895" s="25"/>
      <c r="AE1895" s="25"/>
      <c r="AF1895" s="25"/>
      <c r="AG1895" s="25"/>
      <c r="AH1895" s="25"/>
      <c r="AI1895" s="26"/>
    </row>
    <row r="1896" spans="1:35" x14ac:dyDescent="0.25">
      <c r="A1896" s="3"/>
      <c r="B1896" s="4" t="s">
        <v>352</v>
      </c>
      <c r="C1896" s="5"/>
      <c r="D1896" s="5"/>
      <c r="E1896" s="5"/>
      <c r="F1896" s="5"/>
      <c r="G1896" s="5"/>
      <c r="H1896" s="5"/>
      <c r="I1896" s="5" t="str">
        <f>"0x"&amp;BIN2HEX(CONCATENATE(C1901,D1901,E1901,F1901,G1901,H1901,I1901,J1901),2)&amp;BIN2HEX(CONCATENATE(K1901,L1901,M1901,N1901,O1901,P1901,Q1901,R1901),2)&amp;BIN2HEX(CONCATENATE(S1901,T1901,U1901,V1901,W1901,X1901,Y1901,Z1901),2)&amp;BIN2HEX(CONCATENATE(AA1901,AB1901,AC1901,AD1901,AE1901,AF1901,AG1901,AH1901),2)&amp;"_"&amp;BIN2HEX(CONCATENATE(C1905,D1905,E1905,F1905,G1905,H1905,I1905,J1905),2)&amp;BIN2HEX(CONCATENATE(K1905,L1905,M1905,N1905,O1905,P1905,Q1905,R1905),2)&amp;BIN2HEX(CONCATENATE(S1905,T1905,U1905,V1905,W1905,X1905,Y1905,Z1905),2)&amp;BIN2HEX(CONCATENATE(AA1905,AB1905,AC1905,AD1905,AE1905,AF1905,AG1905,AH1905),2)</f>
        <v>0x00000000_000806E4</v>
      </c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5"/>
      <c r="AH1896" s="5"/>
      <c r="AI1896" s="6"/>
    </row>
    <row r="1897" spans="1:35" ht="15.75" thickBot="1" x14ac:dyDescent="0.3">
      <c r="A1897" s="3"/>
      <c r="B1897" s="5"/>
      <c r="C1897" s="7">
        <v>0</v>
      </c>
      <c r="D1897" s="7">
        <v>1</v>
      </c>
      <c r="E1897" s="7">
        <v>2</v>
      </c>
      <c r="F1897" s="7">
        <v>3</v>
      </c>
      <c r="G1897" s="7">
        <v>4</v>
      </c>
      <c r="H1897" s="7">
        <v>5</v>
      </c>
      <c r="I1897" s="7">
        <v>6</v>
      </c>
      <c r="J1897" s="7">
        <v>7</v>
      </c>
      <c r="K1897" s="7">
        <v>8</v>
      </c>
      <c r="L1897" s="7">
        <v>9</v>
      </c>
      <c r="M1897" s="7">
        <v>10</v>
      </c>
      <c r="N1897" s="7">
        <v>11</v>
      </c>
      <c r="O1897" s="7">
        <v>12</v>
      </c>
      <c r="P1897" s="7">
        <v>13</v>
      </c>
      <c r="Q1897" s="7">
        <v>14</v>
      </c>
      <c r="R1897" s="7">
        <v>15</v>
      </c>
      <c r="S1897" s="7">
        <v>16</v>
      </c>
      <c r="T1897" s="7">
        <v>17</v>
      </c>
      <c r="U1897" s="7">
        <v>18</v>
      </c>
      <c r="V1897" s="7">
        <v>19</v>
      </c>
      <c r="W1897" s="7">
        <v>20</v>
      </c>
      <c r="X1897" s="7">
        <v>21</v>
      </c>
      <c r="Y1897" s="7">
        <v>22</v>
      </c>
      <c r="Z1897" s="7">
        <v>23</v>
      </c>
      <c r="AA1897" s="7">
        <v>24</v>
      </c>
      <c r="AB1897" s="7">
        <v>25</v>
      </c>
      <c r="AC1897" s="7">
        <v>26</v>
      </c>
      <c r="AD1897" s="7">
        <v>27</v>
      </c>
      <c r="AE1897" s="7">
        <v>28</v>
      </c>
      <c r="AF1897" s="7">
        <v>29</v>
      </c>
      <c r="AG1897" s="7">
        <v>30</v>
      </c>
      <c r="AH1897" s="7">
        <v>31</v>
      </c>
      <c r="AI1897" s="6"/>
    </row>
    <row r="1898" spans="1:35" x14ac:dyDescent="0.25">
      <c r="A1898" s="3"/>
      <c r="B1898" s="5" t="s">
        <v>31</v>
      </c>
      <c r="C1898" s="328" t="s">
        <v>161</v>
      </c>
      <c r="D1898" s="330" t="s">
        <v>63</v>
      </c>
      <c r="E1898" s="331"/>
      <c r="F1898" s="331"/>
      <c r="G1898" s="331"/>
      <c r="H1898" s="331"/>
      <c r="I1898" s="331"/>
      <c r="J1898" s="332"/>
      <c r="K1898" s="336">
        <v>0</v>
      </c>
      <c r="L1898" s="337"/>
      <c r="M1898" s="337"/>
      <c r="N1898" s="337"/>
      <c r="O1898" s="337"/>
      <c r="P1898" s="337"/>
      <c r="Q1898" s="337"/>
      <c r="R1898" s="337"/>
      <c r="S1898" s="337"/>
      <c r="T1898" s="337"/>
      <c r="U1898" s="337"/>
      <c r="V1898" s="337"/>
      <c r="W1898" s="337"/>
      <c r="X1898" s="337"/>
      <c r="Y1898" s="337"/>
      <c r="Z1898" s="337"/>
      <c r="AA1898" s="337"/>
      <c r="AB1898" s="337"/>
      <c r="AC1898" s="337"/>
      <c r="AD1898" s="337"/>
      <c r="AE1898" s="337"/>
      <c r="AF1898" s="337"/>
      <c r="AG1898" s="337"/>
      <c r="AH1898" s="338"/>
      <c r="AI1898" s="6"/>
    </row>
    <row r="1899" spans="1:35" x14ac:dyDescent="0.25">
      <c r="A1899" s="3"/>
      <c r="B1899" s="5" t="s">
        <v>32</v>
      </c>
      <c r="C1899" s="329"/>
      <c r="D1899" s="333"/>
      <c r="E1899" s="334"/>
      <c r="F1899" s="334"/>
      <c r="G1899" s="334"/>
      <c r="H1899" s="334"/>
      <c r="I1899" s="334"/>
      <c r="J1899" s="335"/>
      <c r="K1899" s="339"/>
      <c r="L1899" s="340"/>
      <c r="M1899" s="340"/>
      <c r="N1899" s="340"/>
      <c r="O1899" s="340"/>
      <c r="P1899" s="340"/>
      <c r="Q1899" s="340"/>
      <c r="R1899" s="340"/>
      <c r="S1899" s="340"/>
      <c r="T1899" s="340"/>
      <c r="U1899" s="340"/>
      <c r="V1899" s="340"/>
      <c r="W1899" s="340"/>
      <c r="X1899" s="340"/>
      <c r="Y1899" s="340"/>
      <c r="Z1899" s="340"/>
      <c r="AA1899" s="340"/>
      <c r="AB1899" s="340"/>
      <c r="AC1899" s="340"/>
      <c r="AD1899" s="340"/>
      <c r="AE1899" s="340"/>
      <c r="AF1899" s="340"/>
      <c r="AG1899" s="340"/>
      <c r="AH1899" s="341"/>
      <c r="AI1899" s="6"/>
    </row>
    <row r="1900" spans="1:35" x14ac:dyDescent="0.25">
      <c r="A1900" s="3"/>
      <c r="B1900" s="5" t="s">
        <v>11</v>
      </c>
      <c r="C1900" s="56">
        <v>0</v>
      </c>
      <c r="D1900" s="57">
        <v>0</v>
      </c>
      <c r="E1900" s="57">
        <v>0</v>
      </c>
      <c r="F1900" s="57">
        <v>0</v>
      </c>
      <c r="G1900" s="57">
        <v>0</v>
      </c>
      <c r="H1900" s="57">
        <v>0</v>
      </c>
      <c r="I1900" s="57">
        <v>0</v>
      </c>
      <c r="J1900" s="57">
        <v>0</v>
      </c>
      <c r="K1900" s="57">
        <v>0</v>
      </c>
      <c r="L1900" s="57">
        <v>0</v>
      </c>
      <c r="M1900" s="57">
        <v>0</v>
      </c>
      <c r="N1900" s="57">
        <v>0</v>
      </c>
      <c r="O1900" s="57">
        <v>0</v>
      </c>
      <c r="P1900" s="57">
        <v>0</v>
      </c>
      <c r="Q1900" s="57">
        <v>0</v>
      </c>
      <c r="R1900" s="57">
        <v>0</v>
      </c>
      <c r="S1900" s="57">
        <v>0</v>
      </c>
      <c r="T1900" s="57">
        <v>0</v>
      </c>
      <c r="U1900" s="57">
        <v>0</v>
      </c>
      <c r="V1900" s="57">
        <v>0</v>
      </c>
      <c r="W1900" s="57">
        <v>0</v>
      </c>
      <c r="X1900" s="57">
        <v>0</v>
      </c>
      <c r="Y1900" s="57">
        <v>0</v>
      </c>
      <c r="Z1900" s="57">
        <v>0</v>
      </c>
      <c r="AA1900" s="57">
        <v>0</v>
      </c>
      <c r="AB1900" s="57">
        <v>0</v>
      </c>
      <c r="AC1900" s="57">
        <v>0</v>
      </c>
      <c r="AD1900" s="57">
        <v>0</v>
      </c>
      <c r="AE1900" s="57">
        <v>0</v>
      </c>
      <c r="AF1900" s="57">
        <v>0</v>
      </c>
      <c r="AG1900" s="57">
        <v>0</v>
      </c>
      <c r="AH1900" s="58">
        <v>0</v>
      </c>
      <c r="AI1900" s="6"/>
    </row>
    <row r="1901" spans="1:35" ht="15.75" thickBot="1" x14ac:dyDescent="0.3">
      <c r="A1901" s="3"/>
      <c r="B1901" s="5" t="s">
        <v>12</v>
      </c>
      <c r="C1901" s="145">
        <v>0</v>
      </c>
      <c r="D1901" s="88">
        <v>0</v>
      </c>
      <c r="E1901" s="88">
        <v>0</v>
      </c>
      <c r="F1901" s="88">
        <v>0</v>
      </c>
      <c r="G1901" s="88">
        <v>0</v>
      </c>
      <c r="H1901" s="88">
        <v>0</v>
      </c>
      <c r="I1901" s="88">
        <v>0</v>
      </c>
      <c r="J1901" s="88">
        <v>0</v>
      </c>
      <c r="K1901" s="62">
        <v>0</v>
      </c>
      <c r="L1901" s="62">
        <v>0</v>
      </c>
      <c r="M1901" s="62">
        <v>0</v>
      </c>
      <c r="N1901" s="62">
        <v>0</v>
      </c>
      <c r="O1901" s="62">
        <v>0</v>
      </c>
      <c r="P1901" s="62">
        <v>0</v>
      </c>
      <c r="Q1901" s="62">
        <v>0</v>
      </c>
      <c r="R1901" s="62">
        <v>0</v>
      </c>
      <c r="S1901" s="62">
        <v>0</v>
      </c>
      <c r="T1901" s="62">
        <v>0</v>
      </c>
      <c r="U1901" s="62">
        <v>0</v>
      </c>
      <c r="V1901" s="62">
        <v>0</v>
      </c>
      <c r="W1901" s="62">
        <v>0</v>
      </c>
      <c r="X1901" s="62">
        <v>0</v>
      </c>
      <c r="Y1901" s="62">
        <v>0</v>
      </c>
      <c r="Z1901" s="62">
        <v>0</v>
      </c>
      <c r="AA1901" s="62">
        <v>0</v>
      </c>
      <c r="AB1901" s="62">
        <v>0</v>
      </c>
      <c r="AC1901" s="62">
        <v>0</v>
      </c>
      <c r="AD1901" s="62">
        <v>0</v>
      </c>
      <c r="AE1901" s="62">
        <v>0</v>
      </c>
      <c r="AF1901" s="62">
        <v>0</v>
      </c>
      <c r="AG1901" s="62">
        <v>0</v>
      </c>
      <c r="AH1901" s="146">
        <v>0</v>
      </c>
      <c r="AI1901" s="6"/>
    </row>
    <row r="1902" spans="1:35" x14ac:dyDescent="0.25">
      <c r="A1902" s="3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5"/>
      <c r="AH1902" s="5"/>
      <c r="AI1902" s="6"/>
    </row>
    <row r="1903" spans="1:35" ht="15.75" thickBot="1" x14ac:dyDescent="0.3">
      <c r="A1903" s="3"/>
      <c r="B1903" s="5"/>
      <c r="C1903" s="7">
        <v>32</v>
      </c>
      <c r="D1903" s="7">
        <v>33</v>
      </c>
      <c r="E1903" s="7">
        <v>34</v>
      </c>
      <c r="F1903" s="7">
        <v>35</v>
      </c>
      <c r="G1903" s="7">
        <v>36</v>
      </c>
      <c r="H1903" s="7">
        <v>37</v>
      </c>
      <c r="I1903" s="7">
        <v>38</v>
      </c>
      <c r="J1903" s="7">
        <v>39</v>
      </c>
      <c r="K1903" s="7">
        <v>40</v>
      </c>
      <c r="L1903" s="7">
        <v>41</v>
      </c>
      <c r="M1903" s="7">
        <v>42</v>
      </c>
      <c r="N1903" s="7">
        <v>43</v>
      </c>
      <c r="O1903" s="7">
        <v>44</v>
      </c>
      <c r="P1903" s="7">
        <v>45</v>
      </c>
      <c r="Q1903" s="7">
        <v>46</v>
      </c>
      <c r="R1903" s="7">
        <v>47</v>
      </c>
      <c r="S1903" s="7">
        <v>48</v>
      </c>
      <c r="T1903" s="7">
        <v>49</v>
      </c>
      <c r="U1903" s="7">
        <v>50</v>
      </c>
      <c r="V1903" s="7">
        <v>51</v>
      </c>
      <c r="W1903" s="7">
        <v>52</v>
      </c>
      <c r="X1903" s="7">
        <v>53</v>
      </c>
      <c r="Y1903" s="7">
        <v>54</v>
      </c>
      <c r="Z1903" s="7">
        <v>55</v>
      </c>
      <c r="AA1903" s="7">
        <v>56</v>
      </c>
      <c r="AB1903" s="7">
        <v>57</v>
      </c>
      <c r="AC1903" s="7">
        <v>58</v>
      </c>
      <c r="AD1903" s="7">
        <v>59</v>
      </c>
      <c r="AE1903" s="7">
        <v>60</v>
      </c>
      <c r="AF1903" s="7">
        <v>61</v>
      </c>
      <c r="AG1903" s="7">
        <v>62</v>
      </c>
      <c r="AH1903" s="7">
        <v>63</v>
      </c>
      <c r="AI1903" s="6"/>
    </row>
    <row r="1904" spans="1:35" ht="15.75" thickBot="1" x14ac:dyDescent="0.3">
      <c r="A1904" s="3"/>
      <c r="B1904" s="5"/>
      <c r="C1904" s="147" t="s">
        <v>13</v>
      </c>
      <c r="D1904" s="148" t="s">
        <v>14</v>
      </c>
      <c r="E1904" s="148" t="s">
        <v>15</v>
      </c>
      <c r="F1904" s="148" t="s">
        <v>16</v>
      </c>
      <c r="G1904" s="148" t="s">
        <v>17</v>
      </c>
      <c r="H1904" s="148" t="s">
        <v>18</v>
      </c>
      <c r="I1904" s="148" t="s">
        <v>19</v>
      </c>
      <c r="J1904" s="148" t="s">
        <v>20</v>
      </c>
      <c r="K1904" s="148" t="s">
        <v>21</v>
      </c>
      <c r="L1904" s="148" t="s">
        <v>22</v>
      </c>
      <c r="M1904" s="148" t="s">
        <v>23</v>
      </c>
      <c r="N1904" s="148" t="s">
        <v>24</v>
      </c>
      <c r="O1904" s="148" t="s">
        <v>25</v>
      </c>
      <c r="P1904" s="148" t="s">
        <v>26</v>
      </c>
      <c r="Q1904" s="148" t="s">
        <v>27</v>
      </c>
      <c r="R1904" s="342" t="s">
        <v>30</v>
      </c>
      <c r="S1904" s="343"/>
      <c r="T1904" s="343"/>
      <c r="U1904" s="343"/>
      <c r="V1904" s="343"/>
      <c r="W1904" s="343"/>
      <c r="X1904" s="343"/>
      <c r="Y1904" s="343"/>
      <c r="Z1904" s="343"/>
      <c r="AA1904" s="343"/>
      <c r="AB1904" s="343"/>
      <c r="AC1904" s="343"/>
      <c r="AD1904" s="343"/>
      <c r="AE1904" s="343"/>
      <c r="AF1904" s="344"/>
      <c r="AG1904" s="67" t="s">
        <v>28</v>
      </c>
      <c r="AH1904" s="149" t="s">
        <v>29</v>
      </c>
      <c r="AI1904" s="6"/>
    </row>
    <row r="1905" spans="1:35" ht="15.75" thickBot="1" x14ac:dyDescent="0.3">
      <c r="A1905" s="3"/>
      <c r="B1905" s="5"/>
      <c r="C1905" s="150">
        <v>0</v>
      </c>
      <c r="D1905" s="151">
        <v>0</v>
      </c>
      <c r="E1905" s="151">
        <v>0</v>
      </c>
      <c r="F1905" s="151">
        <v>0</v>
      </c>
      <c r="G1905" s="151">
        <v>0</v>
      </c>
      <c r="H1905" s="151">
        <v>0</v>
      </c>
      <c r="I1905" s="151">
        <v>0</v>
      </c>
      <c r="J1905" s="151">
        <v>0</v>
      </c>
      <c r="K1905" s="151">
        <v>0</v>
      </c>
      <c r="L1905" s="151">
        <v>0</v>
      </c>
      <c r="M1905" s="151">
        <v>0</v>
      </c>
      <c r="N1905" s="151">
        <v>0</v>
      </c>
      <c r="O1905" s="151">
        <v>1</v>
      </c>
      <c r="P1905" s="151">
        <v>0</v>
      </c>
      <c r="Q1905" s="151">
        <v>0</v>
      </c>
      <c r="R1905" s="151">
        <v>0</v>
      </c>
      <c r="S1905" s="151">
        <v>0</v>
      </c>
      <c r="T1905" s="151">
        <v>0</v>
      </c>
      <c r="U1905" s="151">
        <v>0</v>
      </c>
      <c r="V1905" s="151">
        <v>0</v>
      </c>
      <c r="W1905" s="151">
        <v>0</v>
      </c>
      <c r="X1905" s="151">
        <v>1</v>
      </c>
      <c r="Y1905" s="151">
        <v>1</v>
      </c>
      <c r="Z1905" s="151">
        <v>0</v>
      </c>
      <c r="AA1905" s="151">
        <v>1</v>
      </c>
      <c r="AB1905" s="151">
        <v>1</v>
      </c>
      <c r="AC1905" s="151">
        <v>1</v>
      </c>
      <c r="AD1905" s="151">
        <v>0</v>
      </c>
      <c r="AE1905" s="151">
        <v>0</v>
      </c>
      <c r="AF1905" s="151">
        <v>1</v>
      </c>
      <c r="AG1905" s="151">
        <v>0</v>
      </c>
      <c r="AH1905" s="152">
        <v>0</v>
      </c>
      <c r="AI1905" s="6"/>
    </row>
    <row r="1906" spans="1:35" x14ac:dyDescent="0.25">
      <c r="A1906" s="3"/>
      <c r="B1906" s="4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5"/>
      <c r="AH1906" s="5"/>
      <c r="AI1906" s="6"/>
    </row>
    <row r="1907" spans="1:35" x14ac:dyDescent="0.25">
      <c r="A1907" s="3"/>
      <c r="B1907" s="8" t="s">
        <v>43</v>
      </c>
      <c r="C1907" s="9"/>
      <c r="D1907" s="9"/>
      <c r="E1907" s="9"/>
      <c r="F1907" s="225" t="s">
        <v>44</v>
      </c>
      <c r="G1907" s="225"/>
      <c r="H1907" s="225"/>
      <c r="I1907" s="9"/>
      <c r="J1907" s="226" t="s">
        <v>45</v>
      </c>
      <c r="K1907" s="226"/>
      <c r="L1907" s="226"/>
      <c r="M1907" s="226"/>
      <c r="N1907" s="9"/>
      <c r="O1907" s="227" t="s">
        <v>46</v>
      </c>
      <c r="P1907" s="227"/>
      <c r="Q1907" s="227"/>
      <c r="R1907" s="227"/>
      <c r="S1907" s="9"/>
      <c r="T1907" s="1" t="s">
        <v>49</v>
      </c>
      <c r="U1907" s="10" t="s">
        <v>48</v>
      </c>
      <c r="V1907" s="5"/>
      <c r="W1907" s="9"/>
      <c r="X1907" s="9"/>
      <c r="Y1907" s="9"/>
      <c r="Z1907" s="9"/>
      <c r="AA1907" s="9"/>
      <c r="AB1907" s="9"/>
      <c r="AC1907" s="9"/>
      <c r="AD1907" s="9"/>
      <c r="AE1907" s="9"/>
      <c r="AF1907" s="9"/>
      <c r="AG1907" s="9"/>
      <c r="AH1907" s="9"/>
      <c r="AI1907" s="6"/>
    </row>
    <row r="1908" spans="1:35" ht="15" customHeight="1" x14ac:dyDescent="0.25">
      <c r="A1908" s="3"/>
      <c r="B1908" s="221" t="str">
        <f>"0x"&amp;DEC2HEX(Sheet3!$I$4,8)</f>
        <v>0x00400320</v>
      </c>
      <c r="C1908" s="221"/>
      <c r="D1908" s="221"/>
      <c r="E1908" s="12"/>
      <c r="F1908" s="319" t="str">
        <f>"0x"&amp;BIN2HEX(CONCATENATE(C1901,D1901,E1901,F1901,G1901,H1901,I1901,J1901),2)&amp;BIN2HEX(CONCATENATE(K1901,L1901,M1901,N1901,O1901,P1901,Q1901,R1901),2)&amp;BIN2HEX(CONCATENATE(S1901,T1901,U1901,V1901,W1901,X1901,Y1901,Z1901),2)&amp;BIN2HEX(CONCATENATE(AA1901,AB1901,AC1901,AD1901,AE1901,AF1901,AG1901,AH1901),2)</f>
        <v>0x00000000</v>
      </c>
      <c r="G1908" s="319"/>
      <c r="H1908" s="319"/>
      <c r="I1908" s="12"/>
      <c r="J1908" s="319" t="str">
        <f>"0b"&amp;C1905&amp;D1905&amp;E1905&amp;F1905&amp;G1905&amp;H1905&amp;I1905&amp;J1905&amp;K1905&amp;L1905&amp;M1905&amp;N1905&amp;O1905&amp;P1905&amp;Q1905</f>
        <v>0b000000000000100</v>
      </c>
      <c r="K1908" s="319"/>
      <c r="L1908" s="319"/>
      <c r="M1908" s="319"/>
      <c r="N1908" s="12"/>
      <c r="O1908" s="319" t="str">
        <f>"0b"&amp;DEC2BIN(((AF1905+AE1905*2+AD1905*4+AC1905*8+AB1905*16+AA1905*32+Z1905*64+Y1905*128+X1905*256+W1905*512+V1905*1024+U1905*2048+T1905*4096+S1905*2^13+R1905*2^14)/512),6)&amp;DEC2BIN(MOD((AF1905+AE1905*2+AD1905*4+AC1905*8+AB1905*16+AA1905*32+Z1905*64+Y1905*128+X1905*256+W1905*512+V1905*1024+U1905*2048+T1905*4096+S1905*2^13+R1905*2^14),512),9)</f>
        <v>0b000000110111001</v>
      </c>
      <c r="P1908" s="319"/>
      <c r="Q1908" s="319"/>
      <c r="R1908" s="319"/>
      <c r="S1908" s="12"/>
      <c r="T1908" s="224">
        <v>0</v>
      </c>
      <c r="U1908" s="224">
        <f>AH1905</f>
        <v>0</v>
      </c>
      <c r="V1908" s="5"/>
      <c r="W1908" s="14"/>
      <c r="X1908" s="14"/>
      <c r="Y1908" s="14"/>
      <c r="Z1908" s="14"/>
      <c r="AA1908" s="14"/>
      <c r="AB1908" s="14"/>
      <c r="AC1908" s="14"/>
      <c r="AD1908" s="14"/>
      <c r="AE1908" s="14"/>
      <c r="AF1908" s="14"/>
      <c r="AG1908" s="14"/>
      <c r="AH1908" s="14"/>
      <c r="AI1908" s="6"/>
    </row>
    <row r="1909" spans="1:35" x14ac:dyDescent="0.25">
      <c r="A1909" s="3"/>
      <c r="B1909" s="221"/>
      <c r="C1909" s="221"/>
      <c r="D1909" s="221"/>
      <c r="E1909" s="15"/>
      <c r="F1909" s="222"/>
      <c r="G1909" s="222"/>
      <c r="H1909" s="222"/>
      <c r="I1909" s="15"/>
      <c r="J1909" s="221"/>
      <c r="K1909" s="221"/>
      <c r="L1909" s="221"/>
      <c r="M1909" s="221"/>
      <c r="N1909" s="15"/>
      <c r="O1909" s="221"/>
      <c r="P1909" s="221"/>
      <c r="Q1909" s="221"/>
      <c r="R1909" s="221"/>
      <c r="S1909" s="15"/>
      <c r="T1909" s="224"/>
      <c r="U1909" s="15"/>
      <c r="V1909" s="5"/>
      <c r="W1909" s="16"/>
      <c r="X1909" s="16"/>
      <c r="Y1909" s="16"/>
      <c r="Z1909" s="16"/>
      <c r="AA1909" s="16"/>
      <c r="AB1909" s="16"/>
      <c r="AC1909" s="16"/>
      <c r="AD1909" s="16"/>
      <c r="AE1909" s="16"/>
      <c r="AF1909" s="16"/>
      <c r="AG1909" s="16"/>
      <c r="AH1909" s="16"/>
      <c r="AI1909" s="6"/>
    </row>
    <row r="1910" spans="1:35" x14ac:dyDescent="0.25">
      <c r="A1910" s="3"/>
      <c r="B1910" s="221"/>
      <c r="C1910" s="221"/>
      <c r="D1910" s="221"/>
      <c r="E1910" s="15"/>
      <c r="F1910" s="222"/>
      <c r="G1910" s="222"/>
      <c r="H1910" s="222"/>
      <c r="I1910" s="15"/>
      <c r="J1910" s="221"/>
      <c r="K1910" s="221"/>
      <c r="L1910" s="221"/>
      <c r="M1910" s="221"/>
      <c r="N1910" s="15"/>
      <c r="O1910" s="221"/>
      <c r="P1910" s="221"/>
      <c r="Q1910" s="221"/>
      <c r="R1910" s="221"/>
      <c r="S1910" s="15"/>
      <c r="T1910" s="224"/>
      <c r="U1910" s="15"/>
      <c r="V1910" s="5"/>
      <c r="W1910" s="16"/>
      <c r="X1910" s="16"/>
      <c r="Y1910" s="16"/>
      <c r="Z1910" s="16"/>
      <c r="AA1910" s="16"/>
      <c r="AB1910" s="16"/>
      <c r="AC1910" s="16"/>
      <c r="AD1910" s="16"/>
      <c r="AE1910" s="16"/>
      <c r="AF1910" s="16"/>
      <c r="AG1910" s="16"/>
      <c r="AH1910" s="16"/>
      <c r="AI1910" s="6"/>
    </row>
    <row r="1911" spans="1:35" x14ac:dyDescent="0.25">
      <c r="A1911" s="3"/>
      <c r="B1911" s="5"/>
      <c r="C1911" s="5"/>
      <c r="D1911" s="5"/>
      <c r="E1911" s="5"/>
      <c r="F1911" s="17"/>
      <c r="G1911" s="17"/>
      <c r="H1911" s="17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5"/>
      <c r="AH1911" s="5"/>
      <c r="AI1911" s="6"/>
    </row>
    <row r="1912" spans="1:35" x14ac:dyDescent="0.25">
      <c r="A1912" s="3"/>
      <c r="B1912" s="5" t="s">
        <v>47</v>
      </c>
      <c r="C1912" s="18"/>
      <c r="D1912" s="18"/>
      <c r="E1912" s="18"/>
      <c r="F1912" s="5"/>
      <c r="G1912" s="5"/>
      <c r="H1912" s="5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  <c r="AB1912" s="18"/>
      <c r="AC1912" s="18"/>
      <c r="AD1912" s="18"/>
      <c r="AE1912" s="18"/>
      <c r="AF1912" s="18"/>
      <c r="AG1912" s="18"/>
      <c r="AH1912" s="18"/>
      <c r="AI1912" s="6"/>
    </row>
    <row r="1913" spans="1:35" ht="15" customHeight="1" x14ac:dyDescent="0.25">
      <c r="A1913" s="3"/>
      <c r="B1913" s="221" t="str">
        <f>"0x"&amp;DEC2HEX(Sheet3!$I$4,8)</f>
        <v>0x00400320</v>
      </c>
      <c r="C1913" s="221"/>
      <c r="D1913" s="221"/>
      <c r="E1913" s="16"/>
      <c r="F1913" s="322" t="str">
        <f>F1908&amp;BIN2HEX(MID(J1908,3,8),2)&amp;BIN2HEX(RIGHT(J1908,7)&amp;MID(O1908,3,1),2)&amp;BIN2HEX(MID(O1908,4,8),2)&amp;BIN2HEX(RIGHT(O1908,6)&amp;T1908&amp;U1908,2)</f>
        <v>0x00000000000806E4</v>
      </c>
      <c r="G1913" s="322"/>
      <c r="H1913" s="322"/>
      <c r="I1913" s="322"/>
      <c r="J1913" s="5"/>
      <c r="K1913" s="5"/>
      <c r="L1913" s="5"/>
      <c r="M1913" s="5"/>
      <c r="N1913" s="5"/>
      <c r="O1913" s="5"/>
      <c r="P1913" s="16"/>
      <c r="Q1913" s="16"/>
      <c r="R1913" s="19"/>
      <c r="S1913" s="19"/>
      <c r="T1913" s="19"/>
      <c r="U1913" s="19"/>
      <c r="V1913" s="19"/>
      <c r="W1913" s="19"/>
      <c r="X1913" s="19"/>
      <c r="Y1913" s="19"/>
      <c r="Z1913" s="19"/>
      <c r="AA1913" s="19"/>
      <c r="AB1913" s="19"/>
      <c r="AC1913" s="19"/>
      <c r="AD1913" s="19"/>
      <c r="AE1913" s="19"/>
      <c r="AF1913" s="19"/>
      <c r="AG1913" s="5"/>
      <c r="AH1913" s="5"/>
      <c r="AI1913" s="6"/>
    </row>
    <row r="1914" spans="1:35" x14ac:dyDescent="0.25">
      <c r="A1914" s="3"/>
      <c r="B1914" s="221"/>
      <c r="C1914" s="221"/>
      <c r="D1914" s="221"/>
      <c r="E1914" s="5"/>
      <c r="F1914" s="223"/>
      <c r="G1914" s="223"/>
      <c r="H1914" s="223"/>
      <c r="I1914" s="223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5"/>
      <c r="AH1914" s="5"/>
      <c r="AI1914" s="6"/>
    </row>
    <row r="1915" spans="1:35" x14ac:dyDescent="0.25">
      <c r="A1915" s="3"/>
      <c r="B1915" s="221"/>
      <c r="C1915" s="221"/>
      <c r="D1915" s="221"/>
      <c r="E1915" s="5"/>
      <c r="F1915" s="223"/>
      <c r="G1915" s="223"/>
      <c r="H1915" s="223"/>
      <c r="I1915" s="223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5"/>
      <c r="AH1915" s="5"/>
      <c r="AI1915" s="6"/>
    </row>
    <row r="1916" spans="1:35" x14ac:dyDescent="0.25">
      <c r="A1916" s="20"/>
      <c r="B1916" s="21"/>
      <c r="C1916" s="21"/>
      <c r="D1916" s="21"/>
      <c r="E1916" s="21"/>
      <c r="F1916" s="21"/>
      <c r="G1916" s="21"/>
      <c r="H1916" s="21"/>
      <c r="I1916" s="21"/>
      <c r="J1916" s="21"/>
      <c r="K1916" s="21"/>
      <c r="L1916" s="21"/>
      <c r="M1916" s="21"/>
      <c r="N1916" s="21"/>
      <c r="O1916" s="22"/>
      <c r="P1916" s="21"/>
      <c r="Q1916" s="21"/>
      <c r="R1916" s="21"/>
      <c r="S1916" s="21"/>
      <c r="T1916" s="21"/>
      <c r="U1916" s="21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  <c r="AF1916" s="21"/>
      <c r="AG1916" s="21"/>
      <c r="AH1916" s="21"/>
      <c r="AI1916" s="23"/>
    </row>
    <row r="1917" spans="1:35" x14ac:dyDescent="0.25">
      <c r="A1917" s="24"/>
      <c r="B1917" s="28"/>
      <c r="C1917" s="25"/>
      <c r="D1917" s="25"/>
      <c r="E1917" s="25"/>
      <c r="F1917" s="25"/>
      <c r="G1917" s="25"/>
      <c r="H1917" s="25"/>
      <c r="I1917" s="25"/>
      <c r="J1917" s="25"/>
      <c r="K1917" s="25"/>
      <c r="L1917" s="25"/>
      <c r="M1917" s="25"/>
      <c r="N1917" s="25"/>
      <c r="O1917" s="25"/>
      <c r="P1917" s="25"/>
      <c r="Q1917" s="25"/>
      <c r="R1917" s="25"/>
      <c r="S1917" s="25"/>
      <c r="T1917" s="25"/>
      <c r="U1917" s="25"/>
      <c r="V1917" s="25"/>
      <c r="W1917" s="25"/>
      <c r="X1917" s="25"/>
      <c r="Y1917" s="25"/>
      <c r="Z1917" s="25"/>
      <c r="AA1917" s="25"/>
      <c r="AB1917" s="25"/>
      <c r="AC1917" s="25"/>
      <c r="AD1917" s="25"/>
      <c r="AE1917" s="25"/>
      <c r="AF1917" s="25"/>
      <c r="AG1917" s="25"/>
      <c r="AH1917" s="25"/>
      <c r="AI1917" s="26"/>
    </row>
    <row r="1918" spans="1:35" x14ac:dyDescent="0.25">
      <c r="A1918" s="3"/>
      <c r="B1918" s="4" t="s">
        <v>353</v>
      </c>
      <c r="C1918" s="5"/>
      <c r="D1918" s="5"/>
      <c r="E1918" s="5"/>
      <c r="F1918" s="5"/>
      <c r="G1918" s="5"/>
      <c r="H1918" s="5"/>
      <c r="I1918" s="5" t="str">
        <f>"0x"&amp;BIN2HEX(CONCATENATE(C1923,D1923,E1923,F1923,G1923,H1923,I1923,J1923),2)&amp;BIN2HEX(CONCATENATE(K1923,L1923,M1923,N1923,O1923,P1923,Q1923,R1923),2)&amp;BIN2HEX(CONCATENATE(S1923,T1923,U1923,V1923,W1923,X1923,Y1923,Z1923),2)&amp;BIN2HEX(CONCATENATE(AA1923,AB1923,AC1923,AD1923,AE1923,AF1923,AG1923,AH1923),2)&amp;"_"&amp;BIN2HEX(CONCATENATE(C1927,D1927,E1927,F1927,G1927,H1927,I1927,J1927),2)&amp;BIN2HEX(CONCATENATE(K1927,L1927,M1927,N1927,O1927,P1927,Q1927,R1927),2)&amp;BIN2HEX(CONCATENATE(S1927,T1927,U1927,V1927,W1927,X1927,Y1927,Z1927),2)&amp;BIN2HEX(CONCATENATE(AA1927,AB1927,AC1927,AD1927,AE1927,AF1927,AG1927,AH1927),2)</f>
        <v>0x00000000_000806E8</v>
      </c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5"/>
      <c r="AH1918" s="5"/>
      <c r="AI1918" s="6"/>
    </row>
    <row r="1919" spans="1:35" ht="15.75" thickBot="1" x14ac:dyDescent="0.3">
      <c r="A1919" s="3"/>
      <c r="B1919" s="5"/>
      <c r="C1919" s="7">
        <v>0</v>
      </c>
      <c r="D1919" s="7">
        <v>1</v>
      </c>
      <c r="E1919" s="7">
        <v>2</v>
      </c>
      <c r="F1919" s="7">
        <v>3</v>
      </c>
      <c r="G1919" s="7">
        <v>4</v>
      </c>
      <c r="H1919" s="7">
        <v>5</v>
      </c>
      <c r="I1919" s="7">
        <v>6</v>
      </c>
      <c r="J1919" s="7">
        <v>7</v>
      </c>
      <c r="K1919" s="7">
        <v>8</v>
      </c>
      <c r="L1919" s="7">
        <v>9</v>
      </c>
      <c r="M1919" s="7">
        <v>10</v>
      </c>
      <c r="N1919" s="7">
        <v>11</v>
      </c>
      <c r="O1919" s="7">
        <v>12</v>
      </c>
      <c r="P1919" s="7">
        <v>13</v>
      </c>
      <c r="Q1919" s="7">
        <v>14</v>
      </c>
      <c r="R1919" s="7">
        <v>15</v>
      </c>
      <c r="S1919" s="7">
        <v>16</v>
      </c>
      <c r="T1919" s="7">
        <v>17</v>
      </c>
      <c r="U1919" s="7">
        <v>18</v>
      </c>
      <c r="V1919" s="7">
        <v>19</v>
      </c>
      <c r="W1919" s="7">
        <v>20</v>
      </c>
      <c r="X1919" s="7">
        <v>21</v>
      </c>
      <c r="Y1919" s="7">
        <v>22</v>
      </c>
      <c r="Z1919" s="7">
        <v>23</v>
      </c>
      <c r="AA1919" s="7">
        <v>24</v>
      </c>
      <c r="AB1919" s="7">
        <v>25</v>
      </c>
      <c r="AC1919" s="7">
        <v>26</v>
      </c>
      <c r="AD1919" s="7">
        <v>27</v>
      </c>
      <c r="AE1919" s="7">
        <v>28</v>
      </c>
      <c r="AF1919" s="7">
        <v>29</v>
      </c>
      <c r="AG1919" s="7">
        <v>30</v>
      </c>
      <c r="AH1919" s="7">
        <v>31</v>
      </c>
      <c r="AI1919" s="6"/>
    </row>
    <row r="1920" spans="1:35" x14ac:dyDescent="0.25">
      <c r="A1920" s="3"/>
      <c r="B1920" s="5" t="s">
        <v>31</v>
      </c>
      <c r="C1920" s="328" t="s">
        <v>161</v>
      </c>
      <c r="D1920" s="330" t="s">
        <v>63</v>
      </c>
      <c r="E1920" s="331"/>
      <c r="F1920" s="331"/>
      <c r="G1920" s="331"/>
      <c r="H1920" s="331"/>
      <c r="I1920" s="331"/>
      <c r="J1920" s="332"/>
      <c r="K1920" s="336">
        <v>0</v>
      </c>
      <c r="L1920" s="337"/>
      <c r="M1920" s="337"/>
      <c r="N1920" s="337"/>
      <c r="O1920" s="337"/>
      <c r="P1920" s="337"/>
      <c r="Q1920" s="337"/>
      <c r="R1920" s="337"/>
      <c r="S1920" s="337"/>
      <c r="T1920" s="337"/>
      <c r="U1920" s="337"/>
      <c r="V1920" s="337"/>
      <c r="W1920" s="337"/>
      <c r="X1920" s="337"/>
      <c r="Y1920" s="337"/>
      <c r="Z1920" s="337"/>
      <c r="AA1920" s="337"/>
      <c r="AB1920" s="337"/>
      <c r="AC1920" s="337"/>
      <c r="AD1920" s="337"/>
      <c r="AE1920" s="337"/>
      <c r="AF1920" s="337"/>
      <c r="AG1920" s="337"/>
      <c r="AH1920" s="338"/>
      <c r="AI1920" s="6"/>
    </row>
    <row r="1921" spans="1:35" x14ac:dyDescent="0.25">
      <c r="A1921" s="3"/>
      <c r="B1921" s="5" t="s">
        <v>32</v>
      </c>
      <c r="C1921" s="329"/>
      <c r="D1921" s="333"/>
      <c r="E1921" s="334"/>
      <c r="F1921" s="334"/>
      <c r="G1921" s="334"/>
      <c r="H1921" s="334"/>
      <c r="I1921" s="334"/>
      <c r="J1921" s="335"/>
      <c r="K1921" s="339"/>
      <c r="L1921" s="340"/>
      <c r="M1921" s="340"/>
      <c r="N1921" s="340"/>
      <c r="O1921" s="340"/>
      <c r="P1921" s="340"/>
      <c r="Q1921" s="340"/>
      <c r="R1921" s="340"/>
      <c r="S1921" s="340"/>
      <c r="T1921" s="340"/>
      <c r="U1921" s="340"/>
      <c r="V1921" s="340"/>
      <c r="W1921" s="340"/>
      <c r="X1921" s="340"/>
      <c r="Y1921" s="340"/>
      <c r="Z1921" s="340"/>
      <c r="AA1921" s="340"/>
      <c r="AB1921" s="340"/>
      <c r="AC1921" s="340"/>
      <c r="AD1921" s="340"/>
      <c r="AE1921" s="340"/>
      <c r="AF1921" s="340"/>
      <c r="AG1921" s="340"/>
      <c r="AH1921" s="341"/>
      <c r="AI1921" s="6"/>
    </row>
    <row r="1922" spans="1:35" x14ac:dyDescent="0.25">
      <c r="A1922" s="3"/>
      <c r="B1922" s="5" t="s">
        <v>11</v>
      </c>
      <c r="C1922" s="56">
        <v>0</v>
      </c>
      <c r="D1922" s="57">
        <v>0</v>
      </c>
      <c r="E1922" s="57">
        <v>0</v>
      </c>
      <c r="F1922" s="57">
        <v>0</v>
      </c>
      <c r="G1922" s="57">
        <v>0</v>
      </c>
      <c r="H1922" s="57">
        <v>0</v>
      </c>
      <c r="I1922" s="57">
        <v>0</v>
      </c>
      <c r="J1922" s="57">
        <v>0</v>
      </c>
      <c r="K1922" s="57">
        <v>0</v>
      </c>
      <c r="L1922" s="57">
        <v>0</v>
      </c>
      <c r="M1922" s="57">
        <v>0</v>
      </c>
      <c r="N1922" s="57">
        <v>0</v>
      </c>
      <c r="O1922" s="57">
        <v>0</v>
      </c>
      <c r="P1922" s="57">
        <v>0</v>
      </c>
      <c r="Q1922" s="57">
        <v>0</v>
      </c>
      <c r="R1922" s="57">
        <v>0</v>
      </c>
      <c r="S1922" s="57">
        <v>0</v>
      </c>
      <c r="T1922" s="57">
        <v>0</v>
      </c>
      <c r="U1922" s="57">
        <v>0</v>
      </c>
      <c r="V1922" s="57">
        <v>0</v>
      </c>
      <c r="W1922" s="57">
        <v>0</v>
      </c>
      <c r="X1922" s="57">
        <v>0</v>
      </c>
      <c r="Y1922" s="57">
        <v>0</v>
      </c>
      <c r="Z1922" s="57">
        <v>0</v>
      </c>
      <c r="AA1922" s="57">
        <v>0</v>
      </c>
      <c r="AB1922" s="57">
        <v>0</v>
      </c>
      <c r="AC1922" s="57">
        <v>0</v>
      </c>
      <c r="AD1922" s="57">
        <v>0</v>
      </c>
      <c r="AE1922" s="57">
        <v>0</v>
      </c>
      <c r="AF1922" s="57">
        <v>0</v>
      </c>
      <c r="AG1922" s="57">
        <v>0</v>
      </c>
      <c r="AH1922" s="58">
        <v>0</v>
      </c>
      <c r="AI1922" s="6"/>
    </row>
    <row r="1923" spans="1:35" ht="15.75" thickBot="1" x14ac:dyDescent="0.3">
      <c r="A1923" s="3"/>
      <c r="B1923" s="5" t="s">
        <v>12</v>
      </c>
      <c r="C1923" s="145">
        <v>0</v>
      </c>
      <c r="D1923" s="88">
        <v>0</v>
      </c>
      <c r="E1923" s="88">
        <v>0</v>
      </c>
      <c r="F1923" s="88">
        <v>0</v>
      </c>
      <c r="G1923" s="88">
        <v>0</v>
      </c>
      <c r="H1923" s="88">
        <v>0</v>
      </c>
      <c r="I1923" s="88">
        <v>0</v>
      </c>
      <c r="J1923" s="88">
        <v>0</v>
      </c>
      <c r="K1923" s="62">
        <v>0</v>
      </c>
      <c r="L1923" s="62">
        <v>0</v>
      </c>
      <c r="M1923" s="62">
        <v>0</v>
      </c>
      <c r="N1923" s="62">
        <v>0</v>
      </c>
      <c r="O1923" s="62">
        <v>0</v>
      </c>
      <c r="P1923" s="62">
        <v>0</v>
      </c>
      <c r="Q1923" s="62">
        <v>0</v>
      </c>
      <c r="R1923" s="62">
        <v>0</v>
      </c>
      <c r="S1923" s="62">
        <v>0</v>
      </c>
      <c r="T1923" s="62">
        <v>0</v>
      </c>
      <c r="U1923" s="62">
        <v>0</v>
      </c>
      <c r="V1923" s="62">
        <v>0</v>
      </c>
      <c r="W1923" s="62">
        <v>0</v>
      </c>
      <c r="X1923" s="62">
        <v>0</v>
      </c>
      <c r="Y1923" s="62">
        <v>0</v>
      </c>
      <c r="Z1923" s="62">
        <v>0</v>
      </c>
      <c r="AA1923" s="62">
        <v>0</v>
      </c>
      <c r="AB1923" s="62">
        <v>0</v>
      </c>
      <c r="AC1923" s="62">
        <v>0</v>
      </c>
      <c r="AD1923" s="62">
        <v>0</v>
      </c>
      <c r="AE1923" s="62">
        <v>0</v>
      </c>
      <c r="AF1923" s="62">
        <v>0</v>
      </c>
      <c r="AG1923" s="62">
        <v>0</v>
      </c>
      <c r="AH1923" s="146">
        <v>0</v>
      </c>
      <c r="AI1923" s="6"/>
    </row>
    <row r="1924" spans="1:35" x14ac:dyDescent="0.25">
      <c r="A1924" s="3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5"/>
      <c r="AH1924" s="5"/>
      <c r="AI1924" s="6"/>
    </row>
    <row r="1925" spans="1:35" ht="15.75" thickBot="1" x14ac:dyDescent="0.3">
      <c r="A1925" s="3"/>
      <c r="B1925" s="5"/>
      <c r="C1925" s="7">
        <v>32</v>
      </c>
      <c r="D1925" s="7">
        <v>33</v>
      </c>
      <c r="E1925" s="7">
        <v>34</v>
      </c>
      <c r="F1925" s="7">
        <v>35</v>
      </c>
      <c r="G1925" s="7">
        <v>36</v>
      </c>
      <c r="H1925" s="7">
        <v>37</v>
      </c>
      <c r="I1925" s="7">
        <v>38</v>
      </c>
      <c r="J1925" s="7">
        <v>39</v>
      </c>
      <c r="K1925" s="7">
        <v>40</v>
      </c>
      <c r="L1925" s="7">
        <v>41</v>
      </c>
      <c r="M1925" s="7">
        <v>42</v>
      </c>
      <c r="N1925" s="7">
        <v>43</v>
      </c>
      <c r="O1925" s="7">
        <v>44</v>
      </c>
      <c r="P1925" s="7">
        <v>45</v>
      </c>
      <c r="Q1925" s="7">
        <v>46</v>
      </c>
      <c r="R1925" s="7">
        <v>47</v>
      </c>
      <c r="S1925" s="7">
        <v>48</v>
      </c>
      <c r="T1925" s="7">
        <v>49</v>
      </c>
      <c r="U1925" s="7">
        <v>50</v>
      </c>
      <c r="V1925" s="7">
        <v>51</v>
      </c>
      <c r="W1925" s="7">
        <v>52</v>
      </c>
      <c r="X1925" s="7">
        <v>53</v>
      </c>
      <c r="Y1925" s="7">
        <v>54</v>
      </c>
      <c r="Z1925" s="7">
        <v>55</v>
      </c>
      <c r="AA1925" s="7">
        <v>56</v>
      </c>
      <c r="AB1925" s="7">
        <v>57</v>
      </c>
      <c r="AC1925" s="7">
        <v>58</v>
      </c>
      <c r="AD1925" s="7">
        <v>59</v>
      </c>
      <c r="AE1925" s="7">
        <v>60</v>
      </c>
      <c r="AF1925" s="7">
        <v>61</v>
      </c>
      <c r="AG1925" s="7">
        <v>62</v>
      </c>
      <c r="AH1925" s="7">
        <v>63</v>
      </c>
      <c r="AI1925" s="6"/>
    </row>
    <row r="1926" spans="1:35" ht="15.75" thickBot="1" x14ac:dyDescent="0.3">
      <c r="A1926" s="3"/>
      <c r="B1926" s="5"/>
      <c r="C1926" s="147" t="s">
        <v>13</v>
      </c>
      <c r="D1926" s="148" t="s">
        <v>14</v>
      </c>
      <c r="E1926" s="148" t="s">
        <v>15</v>
      </c>
      <c r="F1926" s="148" t="s">
        <v>16</v>
      </c>
      <c r="G1926" s="148" t="s">
        <v>17</v>
      </c>
      <c r="H1926" s="148" t="s">
        <v>18</v>
      </c>
      <c r="I1926" s="148" t="s">
        <v>19</v>
      </c>
      <c r="J1926" s="148" t="s">
        <v>20</v>
      </c>
      <c r="K1926" s="148" t="s">
        <v>21</v>
      </c>
      <c r="L1926" s="148" t="s">
        <v>22</v>
      </c>
      <c r="M1926" s="148" t="s">
        <v>23</v>
      </c>
      <c r="N1926" s="148" t="s">
        <v>24</v>
      </c>
      <c r="O1926" s="148" t="s">
        <v>25</v>
      </c>
      <c r="P1926" s="148" t="s">
        <v>26</v>
      </c>
      <c r="Q1926" s="148" t="s">
        <v>27</v>
      </c>
      <c r="R1926" s="342" t="s">
        <v>30</v>
      </c>
      <c r="S1926" s="343"/>
      <c r="T1926" s="343"/>
      <c r="U1926" s="343"/>
      <c r="V1926" s="343"/>
      <c r="W1926" s="343"/>
      <c r="X1926" s="343"/>
      <c r="Y1926" s="343"/>
      <c r="Z1926" s="343"/>
      <c r="AA1926" s="343"/>
      <c r="AB1926" s="343"/>
      <c r="AC1926" s="343"/>
      <c r="AD1926" s="343"/>
      <c r="AE1926" s="343"/>
      <c r="AF1926" s="344"/>
      <c r="AG1926" s="67" t="s">
        <v>28</v>
      </c>
      <c r="AH1926" s="149" t="s">
        <v>29</v>
      </c>
      <c r="AI1926" s="6"/>
    </row>
    <row r="1927" spans="1:35" ht="15.75" thickBot="1" x14ac:dyDescent="0.3">
      <c r="A1927" s="3"/>
      <c r="B1927" s="5"/>
      <c r="C1927" s="150">
        <v>0</v>
      </c>
      <c r="D1927" s="151">
        <v>0</v>
      </c>
      <c r="E1927" s="151">
        <v>0</v>
      </c>
      <c r="F1927" s="151">
        <v>0</v>
      </c>
      <c r="G1927" s="151">
        <v>0</v>
      </c>
      <c r="H1927" s="151">
        <v>0</v>
      </c>
      <c r="I1927" s="151">
        <v>0</v>
      </c>
      <c r="J1927" s="151">
        <v>0</v>
      </c>
      <c r="K1927" s="151">
        <v>0</v>
      </c>
      <c r="L1927" s="151">
        <v>0</v>
      </c>
      <c r="M1927" s="151">
        <v>0</v>
      </c>
      <c r="N1927" s="151">
        <v>0</v>
      </c>
      <c r="O1927" s="151">
        <v>1</v>
      </c>
      <c r="P1927" s="151">
        <v>0</v>
      </c>
      <c r="Q1927" s="151">
        <v>0</v>
      </c>
      <c r="R1927" s="151">
        <v>0</v>
      </c>
      <c r="S1927" s="151">
        <v>0</v>
      </c>
      <c r="T1927" s="151">
        <v>0</v>
      </c>
      <c r="U1927" s="151">
        <v>0</v>
      </c>
      <c r="V1927" s="151">
        <v>0</v>
      </c>
      <c r="W1927" s="151">
        <v>0</v>
      </c>
      <c r="X1927" s="151">
        <v>1</v>
      </c>
      <c r="Y1927" s="151">
        <v>1</v>
      </c>
      <c r="Z1927" s="151">
        <v>0</v>
      </c>
      <c r="AA1927" s="151">
        <v>1</v>
      </c>
      <c r="AB1927" s="151">
        <v>1</v>
      </c>
      <c r="AC1927" s="151">
        <v>1</v>
      </c>
      <c r="AD1927" s="151">
        <v>0</v>
      </c>
      <c r="AE1927" s="151">
        <v>1</v>
      </c>
      <c r="AF1927" s="151">
        <v>0</v>
      </c>
      <c r="AG1927" s="151">
        <v>0</v>
      </c>
      <c r="AH1927" s="152">
        <v>0</v>
      </c>
      <c r="AI1927" s="6"/>
    </row>
    <row r="1928" spans="1:35" x14ac:dyDescent="0.25">
      <c r="A1928" s="3"/>
      <c r="B1928" s="4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5"/>
      <c r="AH1928" s="5"/>
      <c r="AI1928" s="6"/>
    </row>
    <row r="1929" spans="1:35" x14ac:dyDescent="0.25">
      <c r="A1929" s="3"/>
      <c r="B1929" s="8" t="s">
        <v>43</v>
      </c>
      <c r="C1929" s="9"/>
      <c r="D1929" s="9"/>
      <c r="E1929" s="9"/>
      <c r="F1929" s="225" t="s">
        <v>44</v>
      </c>
      <c r="G1929" s="225"/>
      <c r="H1929" s="225"/>
      <c r="I1929" s="9"/>
      <c r="J1929" s="226" t="s">
        <v>45</v>
      </c>
      <c r="K1929" s="226"/>
      <c r="L1929" s="226"/>
      <c r="M1929" s="226"/>
      <c r="N1929" s="9"/>
      <c r="O1929" s="227" t="s">
        <v>46</v>
      </c>
      <c r="P1929" s="227"/>
      <c r="Q1929" s="227"/>
      <c r="R1929" s="227"/>
      <c r="S1929" s="9"/>
      <c r="T1929" s="1" t="s">
        <v>49</v>
      </c>
      <c r="U1929" s="10" t="s">
        <v>48</v>
      </c>
      <c r="V1929" s="5"/>
      <c r="W1929" s="9"/>
      <c r="X1929" s="9"/>
      <c r="Y1929" s="9"/>
      <c r="Z1929" s="9"/>
      <c r="AA1929" s="9"/>
      <c r="AB1929" s="9"/>
      <c r="AC1929" s="9"/>
      <c r="AD1929" s="9"/>
      <c r="AE1929" s="9"/>
      <c r="AF1929" s="9"/>
      <c r="AG1929" s="9"/>
      <c r="AH1929" s="9"/>
      <c r="AI1929" s="6"/>
    </row>
    <row r="1930" spans="1:35" ht="15" customHeight="1" x14ac:dyDescent="0.25">
      <c r="A1930" s="3"/>
      <c r="B1930" s="221" t="str">
        <f>"0x"&amp;DEC2HEX(Sheet3!$I$4,8)</f>
        <v>0x00400320</v>
      </c>
      <c r="C1930" s="221"/>
      <c r="D1930" s="221"/>
      <c r="E1930" s="12"/>
      <c r="F1930" s="319" t="str">
        <f>"0x"&amp;BIN2HEX(CONCATENATE(C1923,D1923,E1923,F1923,G1923,H1923,I1923,J1923),2)&amp;BIN2HEX(CONCATENATE(K1923,L1923,M1923,N1923,O1923,P1923,Q1923,R1923),2)&amp;BIN2HEX(CONCATENATE(S1923,T1923,U1923,V1923,W1923,X1923,Y1923,Z1923),2)&amp;BIN2HEX(CONCATENATE(AA1923,AB1923,AC1923,AD1923,AE1923,AF1923,AG1923,AH1923),2)</f>
        <v>0x00000000</v>
      </c>
      <c r="G1930" s="319"/>
      <c r="H1930" s="319"/>
      <c r="I1930" s="12"/>
      <c r="J1930" s="319" t="str">
        <f>"0b"&amp;C1927&amp;D1927&amp;E1927&amp;F1927&amp;G1927&amp;H1927&amp;I1927&amp;J1927&amp;K1927&amp;L1927&amp;M1927&amp;N1927&amp;O1927&amp;P1927&amp;Q1927</f>
        <v>0b000000000000100</v>
      </c>
      <c r="K1930" s="319"/>
      <c r="L1930" s="319"/>
      <c r="M1930" s="319"/>
      <c r="N1930" s="12"/>
      <c r="O1930" s="319" t="str">
        <f>"0b"&amp;DEC2BIN(((AF1927+AE1927*2+AD1927*4+AC1927*8+AB1927*16+AA1927*32+Z1927*64+Y1927*128+X1927*256+W1927*512+V1927*1024+U1927*2048+T1927*4096+S1927*2^13+R1927*2^14)/512),6)&amp;DEC2BIN(MOD((AF1927+AE1927*2+AD1927*4+AC1927*8+AB1927*16+AA1927*32+Z1927*64+Y1927*128+X1927*256+W1927*512+V1927*1024+U1927*2048+T1927*4096+S1927*2^13+R1927*2^14),512),9)</f>
        <v>0b000000110111010</v>
      </c>
      <c r="P1930" s="319"/>
      <c r="Q1930" s="319"/>
      <c r="R1930" s="319"/>
      <c r="S1930" s="12"/>
      <c r="T1930" s="224">
        <v>0</v>
      </c>
      <c r="U1930" s="224">
        <f>AH1927</f>
        <v>0</v>
      </c>
      <c r="V1930" s="5"/>
      <c r="W1930" s="14"/>
      <c r="X1930" s="14"/>
      <c r="Y1930" s="14"/>
      <c r="Z1930" s="14"/>
      <c r="AA1930" s="14"/>
      <c r="AB1930" s="14"/>
      <c r="AC1930" s="14"/>
      <c r="AD1930" s="14"/>
      <c r="AE1930" s="14"/>
      <c r="AF1930" s="14"/>
      <c r="AG1930" s="14"/>
      <c r="AH1930" s="14"/>
      <c r="AI1930" s="6"/>
    </row>
    <row r="1931" spans="1:35" x14ac:dyDescent="0.25">
      <c r="A1931" s="3"/>
      <c r="B1931" s="221"/>
      <c r="C1931" s="221"/>
      <c r="D1931" s="221"/>
      <c r="E1931" s="15"/>
      <c r="F1931" s="222"/>
      <c r="G1931" s="222"/>
      <c r="H1931" s="222"/>
      <c r="I1931" s="15"/>
      <c r="J1931" s="221"/>
      <c r="K1931" s="221"/>
      <c r="L1931" s="221"/>
      <c r="M1931" s="221"/>
      <c r="N1931" s="15"/>
      <c r="O1931" s="221"/>
      <c r="P1931" s="221"/>
      <c r="Q1931" s="221"/>
      <c r="R1931" s="221"/>
      <c r="S1931" s="15"/>
      <c r="T1931" s="224"/>
      <c r="U1931" s="15"/>
      <c r="V1931" s="5"/>
      <c r="W1931" s="16"/>
      <c r="X1931" s="16"/>
      <c r="Y1931" s="16"/>
      <c r="Z1931" s="16"/>
      <c r="AA1931" s="16"/>
      <c r="AB1931" s="16"/>
      <c r="AC1931" s="16"/>
      <c r="AD1931" s="16"/>
      <c r="AE1931" s="16"/>
      <c r="AF1931" s="16"/>
      <c r="AG1931" s="16"/>
      <c r="AH1931" s="16"/>
      <c r="AI1931" s="6"/>
    </row>
    <row r="1932" spans="1:35" x14ac:dyDescent="0.25">
      <c r="A1932" s="3"/>
      <c r="B1932" s="221"/>
      <c r="C1932" s="221"/>
      <c r="D1932" s="221"/>
      <c r="E1932" s="15"/>
      <c r="F1932" s="222"/>
      <c r="G1932" s="222"/>
      <c r="H1932" s="222"/>
      <c r="I1932" s="15"/>
      <c r="J1932" s="221"/>
      <c r="K1932" s="221"/>
      <c r="L1932" s="221"/>
      <c r="M1932" s="221"/>
      <c r="N1932" s="15"/>
      <c r="O1932" s="221"/>
      <c r="P1932" s="221"/>
      <c r="Q1932" s="221"/>
      <c r="R1932" s="221"/>
      <c r="S1932" s="15"/>
      <c r="T1932" s="224"/>
      <c r="U1932" s="15"/>
      <c r="V1932" s="5"/>
      <c r="W1932" s="16"/>
      <c r="X1932" s="16"/>
      <c r="Y1932" s="16"/>
      <c r="Z1932" s="16"/>
      <c r="AA1932" s="16"/>
      <c r="AB1932" s="16"/>
      <c r="AC1932" s="16"/>
      <c r="AD1932" s="16"/>
      <c r="AE1932" s="16"/>
      <c r="AF1932" s="16"/>
      <c r="AG1932" s="16"/>
      <c r="AH1932" s="16"/>
      <c r="AI1932" s="6"/>
    </row>
    <row r="1933" spans="1:35" x14ac:dyDescent="0.25">
      <c r="A1933" s="3"/>
      <c r="B1933" s="5"/>
      <c r="C1933" s="5"/>
      <c r="D1933" s="5"/>
      <c r="E1933" s="5"/>
      <c r="F1933" s="17"/>
      <c r="G1933" s="17"/>
      <c r="H1933" s="17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5"/>
      <c r="AH1933" s="5"/>
      <c r="AI1933" s="6"/>
    </row>
    <row r="1934" spans="1:35" x14ac:dyDescent="0.25">
      <c r="A1934" s="3"/>
      <c r="B1934" s="5" t="s">
        <v>47</v>
      </c>
      <c r="C1934" s="18"/>
      <c r="D1934" s="18"/>
      <c r="E1934" s="18"/>
      <c r="F1934" s="5"/>
      <c r="G1934" s="5"/>
      <c r="H1934" s="5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  <c r="AB1934" s="18"/>
      <c r="AC1934" s="18"/>
      <c r="AD1934" s="18"/>
      <c r="AE1934" s="18"/>
      <c r="AF1934" s="18"/>
      <c r="AG1934" s="18"/>
      <c r="AH1934" s="18"/>
      <c r="AI1934" s="6"/>
    </row>
    <row r="1935" spans="1:35" ht="15" customHeight="1" x14ac:dyDescent="0.25">
      <c r="A1935" s="3"/>
      <c r="B1935" s="221" t="str">
        <f>"0x"&amp;DEC2HEX(Sheet3!$I$4,8)</f>
        <v>0x00400320</v>
      </c>
      <c r="C1935" s="221"/>
      <c r="D1935" s="221"/>
      <c r="E1935" s="16"/>
      <c r="F1935" s="322" t="str">
        <f>F1930&amp;BIN2HEX(MID(J1930,3,8),2)&amp;BIN2HEX(RIGHT(J1930,7)&amp;MID(O1930,3,1),2)&amp;BIN2HEX(MID(O1930,4,8),2)&amp;BIN2HEX(RIGHT(O1930,6)&amp;T1930&amp;U1930,2)</f>
        <v>0x00000000000806E8</v>
      </c>
      <c r="G1935" s="322"/>
      <c r="H1935" s="322"/>
      <c r="I1935" s="322"/>
      <c r="J1935" s="5"/>
      <c r="K1935" s="5"/>
      <c r="L1935" s="5"/>
      <c r="M1935" s="5"/>
      <c r="N1935" s="5"/>
      <c r="O1935" s="5"/>
      <c r="P1935" s="16"/>
      <c r="Q1935" s="16"/>
      <c r="R1935" s="19"/>
      <c r="S1935" s="19"/>
      <c r="T1935" s="19"/>
      <c r="U1935" s="19"/>
      <c r="V1935" s="19"/>
      <c r="W1935" s="19"/>
      <c r="X1935" s="19"/>
      <c r="Y1935" s="19"/>
      <c r="Z1935" s="19"/>
      <c r="AA1935" s="19"/>
      <c r="AB1935" s="19"/>
      <c r="AC1935" s="19"/>
      <c r="AD1935" s="19"/>
      <c r="AE1935" s="19"/>
      <c r="AF1935" s="19"/>
      <c r="AG1935" s="5"/>
      <c r="AH1935" s="5"/>
      <c r="AI1935" s="6"/>
    </row>
    <row r="1936" spans="1:35" x14ac:dyDescent="0.25">
      <c r="A1936" s="3"/>
      <c r="B1936" s="221"/>
      <c r="C1936" s="221"/>
      <c r="D1936" s="221"/>
      <c r="E1936" s="5"/>
      <c r="F1936" s="223"/>
      <c r="G1936" s="223"/>
      <c r="H1936" s="223"/>
      <c r="I1936" s="223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5"/>
      <c r="AI1936" s="6"/>
    </row>
    <row r="1937" spans="1:35" x14ac:dyDescent="0.25">
      <c r="A1937" s="3"/>
      <c r="B1937" s="221"/>
      <c r="C1937" s="221"/>
      <c r="D1937" s="221"/>
      <c r="E1937" s="5"/>
      <c r="F1937" s="223"/>
      <c r="G1937" s="223"/>
      <c r="H1937" s="223"/>
      <c r="I1937" s="223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5"/>
      <c r="AH1937" s="5"/>
      <c r="AI1937" s="6"/>
    </row>
    <row r="1938" spans="1:35" x14ac:dyDescent="0.25">
      <c r="A1938" s="20"/>
      <c r="B1938" s="21"/>
      <c r="C1938" s="21"/>
      <c r="D1938" s="21"/>
      <c r="E1938" s="21"/>
      <c r="F1938" s="21"/>
      <c r="G1938" s="21"/>
      <c r="H1938" s="21"/>
      <c r="I1938" s="21"/>
      <c r="J1938" s="21"/>
      <c r="K1938" s="21"/>
      <c r="L1938" s="21"/>
      <c r="M1938" s="21"/>
      <c r="N1938" s="21"/>
      <c r="O1938" s="22"/>
      <c r="P1938" s="21"/>
      <c r="Q1938" s="21"/>
      <c r="R1938" s="21"/>
      <c r="S1938" s="21"/>
      <c r="T1938" s="21"/>
      <c r="U1938" s="21"/>
      <c r="V1938" s="21"/>
      <c r="W1938" s="21"/>
      <c r="X1938" s="21"/>
      <c r="Y1938" s="21"/>
      <c r="Z1938" s="21"/>
      <c r="AA1938" s="21"/>
      <c r="AB1938" s="21"/>
      <c r="AC1938" s="21"/>
      <c r="AD1938" s="21"/>
      <c r="AE1938" s="21"/>
      <c r="AF1938" s="21"/>
      <c r="AG1938" s="21"/>
      <c r="AH1938" s="21"/>
      <c r="AI1938" s="23"/>
    </row>
    <row r="1939" spans="1:35" x14ac:dyDescent="0.25">
      <c r="A1939" s="24"/>
      <c r="B1939" s="28"/>
      <c r="C1939" s="25"/>
      <c r="D1939" s="25"/>
      <c r="E1939" s="25"/>
      <c r="F1939" s="25"/>
      <c r="G1939" s="25"/>
      <c r="H1939" s="25"/>
      <c r="I1939" s="25"/>
      <c r="J1939" s="25"/>
      <c r="K1939" s="25"/>
      <c r="L1939" s="25"/>
      <c r="M1939" s="25"/>
      <c r="N1939" s="25"/>
      <c r="O1939" s="25"/>
      <c r="P1939" s="25"/>
      <c r="Q1939" s="25"/>
      <c r="R1939" s="25"/>
      <c r="S1939" s="25"/>
      <c r="T1939" s="25"/>
      <c r="U1939" s="25"/>
      <c r="V1939" s="25"/>
      <c r="W1939" s="25"/>
      <c r="X1939" s="25"/>
      <c r="Y1939" s="25"/>
      <c r="Z1939" s="25"/>
      <c r="AA1939" s="25"/>
      <c r="AB1939" s="25"/>
      <c r="AC1939" s="25"/>
      <c r="AD1939" s="25"/>
      <c r="AE1939" s="25"/>
      <c r="AF1939" s="25"/>
      <c r="AG1939" s="25"/>
      <c r="AH1939" s="25"/>
      <c r="AI1939" s="26"/>
    </row>
    <row r="1940" spans="1:35" x14ac:dyDescent="0.25">
      <c r="A1940" s="3"/>
      <c r="B1940" s="4" t="s">
        <v>354</v>
      </c>
      <c r="C1940" s="5"/>
      <c r="D1940" s="5"/>
      <c r="E1940" s="5"/>
      <c r="F1940" s="5"/>
      <c r="G1940" s="5"/>
      <c r="H1940" s="5"/>
      <c r="I1940" s="5" t="str">
        <f>"0x"&amp;BIN2HEX(CONCATENATE(C1945,D1945,E1945,F1945,G1945,H1945,I1945,J1945),2)&amp;BIN2HEX(CONCATENATE(K1945,L1945,M1945,N1945,O1945,P1945,Q1945,R1945),2)&amp;BIN2HEX(CONCATENATE(S1945,T1945,U1945,V1945,W1945,X1945,Y1945,Z1945),2)&amp;BIN2HEX(CONCATENATE(AA1945,AB1945,AC1945,AD1945,AE1945,AF1945,AG1945,AH1945),2)&amp;"_"&amp;BIN2HEX(CONCATENATE(C1949,D1949,E1949,F1949,G1949,H1949,I1949,J1949),2)&amp;BIN2HEX(CONCATENATE(K1949,L1949,M1949,N1949,O1949,P1949,Q1949,R1949),2)&amp;BIN2HEX(CONCATENATE(S1949,T1949,U1949,V1949,W1949,X1949,Y1949,Z1949),2)&amp;BIN2HEX(CONCATENATE(AA1949,AB1949,AC1949,AD1949,AE1949,AF1949,AG1949,AH1949),2)</f>
        <v>0x00000000_000806EC</v>
      </c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5"/>
      <c r="AH1940" s="5"/>
      <c r="AI1940" s="6"/>
    </row>
    <row r="1941" spans="1:35" ht="15.75" thickBot="1" x14ac:dyDescent="0.3">
      <c r="A1941" s="3"/>
      <c r="B1941" s="5"/>
      <c r="C1941" s="7">
        <v>0</v>
      </c>
      <c r="D1941" s="7">
        <v>1</v>
      </c>
      <c r="E1941" s="7">
        <v>2</v>
      </c>
      <c r="F1941" s="7">
        <v>3</v>
      </c>
      <c r="G1941" s="7">
        <v>4</v>
      </c>
      <c r="H1941" s="7">
        <v>5</v>
      </c>
      <c r="I1941" s="7">
        <v>6</v>
      </c>
      <c r="J1941" s="7">
        <v>7</v>
      </c>
      <c r="K1941" s="7">
        <v>8</v>
      </c>
      <c r="L1941" s="7">
        <v>9</v>
      </c>
      <c r="M1941" s="7">
        <v>10</v>
      </c>
      <c r="N1941" s="7">
        <v>11</v>
      </c>
      <c r="O1941" s="7">
        <v>12</v>
      </c>
      <c r="P1941" s="7">
        <v>13</v>
      </c>
      <c r="Q1941" s="7">
        <v>14</v>
      </c>
      <c r="R1941" s="7">
        <v>15</v>
      </c>
      <c r="S1941" s="7">
        <v>16</v>
      </c>
      <c r="T1941" s="7">
        <v>17</v>
      </c>
      <c r="U1941" s="7">
        <v>18</v>
      </c>
      <c r="V1941" s="7">
        <v>19</v>
      </c>
      <c r="W1941" s="7">
        <v>20</v>
      </c>
      <c r="X1941" s="7">
        <v>21</v>
      </c>
      <c r="Y1941" s="7">
        <v>22</v>
      </c>
      <c r="Z1941" s="7">
        <v>23</v>
      </c>
      <c r="AA1941" s="7">
        <v>24</v>
      </c>
      <c r="AB1941" s="7">
        <v>25</v>
      </c>
      <c r="AC1941" s="7">
        <v>26</v>
      </c>
      <c r="AD1941" s="7">
        <v>27</v>
      </c>
      <c r="AE1941" s="7">
        <v>28</v>
      </c>
      <c r="AF1941" s="7">
        <v>29</v>
      </c>
      <c r="AG1941" s="7">
        <v>30</v>
      </c>
      <c r="AH1941" s="7">
        <v>31</v>
      </c>
      <c r="AI1941" s="6"/>
    </row>
    <row r="1942" spans="1:35" x14ac:dyDescent="0.25">
      <c r="A1942" s="3"/>
      <c r="B1942" s="5" t="s">
        <v>31</v>
      </c>
      <c r="C1942" s="328" t="s">
        <v>161</v>
      </c>
      <c r="D1942" s="330" t="s">
        <v>63</v>
      </c>
      <c r="E1942" s="331"/>
      <c r="F1942" s="331"/>
      <c r="G1942" s="331"/>
      <c r="H1942" s="331"/>
      <c r="I1942" s="331"/>
      <c r="J1942" s="332"/>
      <c r="K1942" s="336">
        <v>0</v>
      </c>
      <c r="L1942" s="337"/>
      <c r="M1942" s="337"/>
      <c r="N1942" s="337"/>
      <c r="O1942" s="337"/>
      <c r="P1942" s="337"/>
      <c r="Q1942" s="337"/>
      <c r="R1942" s="337"/>
      <c r="S1942" s="337"/>
      <c r="T1942" s="337"/>
      <c r="U1942" s="337"/>
      <c r="V1942" s="337"/>
      <c r="W1942" s="337"/>
      <c r="X1942" s="337"/>
      <c r="Y1942" s="337"/>
      <c r="Z1942" s="337"/>
      <c r="AA1942" s="337"/>
      <c r="AB1942" s="337"/>
      <c r="AC1942" s="337"/>
      <c r="AD1942" s="337"/>
      <c r="AE1942" s="337"/>
      <c r="AF1942" s="337"/>
      <c r="AG1942" s="337"/>
      <c r="AH1942" s="338"/>
      <c r="AI1942" s="6"/>
    </row>
    <row r="1943" spans="1:35" x14ac:dyDescent="0.25">
      <c r="A1943" s="3"/>
      <c r="B1943" s="5" t="s">
        <v>32</v>
      </c>
      <c r="C1943" s="329"/>
      <c r="D1943" s="333"/>
      <c r="E1943" s="334"/>
      <c r="F1943" s="334"/>
      <c r="G1943" s="334"/>
      <c r="H1943" s="334"/>
      <c r="I1943" s="334"/>
      <c r="J1943" s="335"/>
      <c r="K1943" s="339"/>
      <c r="L1943" s="340"/>
      <c r="M1943" s="340"/>
      <c r="N1943" s="340"/>
      <c r="O1943" s="340"/>
      <c r="P1943" s="340"/>
      <c r="Q1943" s="340"/>
      <c r="R1943" s="340"/>
      <c r="S1943" s="340"/>
      <c r="T1943" s="340"/>
      <c r="U1943" s="340"/>
      <c r="V1943" s="340"/>
      <c r="W1943" s="340"/>
      <c r="X1943" s="340"/>
      <c r="Y1943" s="340"/>
      <c r="Z1943" s="340"/>
      <c r="AA1943" s="340"/>
      <c r="AB1943" s="340"/>
      <c r="AC1943" s="340"/>
      <c r="AD1943" s="340"/>
      <c r="AE1943" s="340"/>
      <c r="AF1943" s="340"/>
      <c r="AG1943" s="340"/>
      <c r="AH1943" s="341"/>
      <c r="AI1943" s="6"/>
    </row>
    <row r="1944" spans="1:35" x14ac:dyDescent="0.25">
      <c r="A1944" s="3"/>
      <c r="B1944" s="5" t="s">
        <v>11</v>
      </c>
      <c r="C1944" s="56">
        <v>0</v>
      </c>
      <c r="D1944" s="57">
        <v>0</v>
      </c>
      <c r="E1944" s="57">
        <v>0</v>
      </c>
      <c r="F1944" s="57">
        <v>0</v>
      </c>
      <c r="G1944" s="57">
        <v>0</v>
      </c>
      <c r="H1944" s="57">
        <v>0</v>
      </c>
      <c r="I1944" s="57">
        <v>0</v>
      </c>
      <c r="J1944" s="57">
        <v>0</v>
      </c>
      <c r="K1944" s="57">
        <v>0</v>
      </c>
      <c r="L1944" s="57">
        <v>0</v>
      </c>
      <c r="M1944" s="57">
        <v>0</v>
      </c>
      <c r="N1944" s="57">
        <v>0</v>
      </c>
      <c r="O1944" s="57">
        <v>0</v>
      </c>
      <c r="P1944" s="57">
        <v>0</v>
      </c>
      <c r="Q1944" s="57">
        <v>0</v>
      </c>
      <c r="R1944" s="57">
        <v>0</v>
      </c>
      <c r="S1944" s="57">
        <v>0</v>
      </c>
      <c r="T1944" s="57">
        <v>0</v>
      </c>
      <c r="U1944" s="57">
        <v>0</v>
      </c>
      <c r="V1944" s="57">
        <v>0</v>
      </c>
      <c r="W1944" s="57">
        <v>0</v>
      </c>
      <c r="X1944" s="57">
        <v>0</v>
      </c>
      <c r="Y1944" s="57">
        <v>0</v>
      </c>
      <c r="Z1944" s="57">
        <v>0</v>
      </c>
      <c r="AA1944" s="57">
        <v>0</v>
      </c>
      <c r="AB1944" s="57">
        <v>0</v>
      </c>
      <c r="AC1944" s="57">
        <v>0</v>
      </c>
      <c r="AD1944" s="57">
        <v>0</v>
      </c>
      <c r="AE1944" s="57">
        <v>0</v>
      </c>
      <c r="AF1944" s="57">
        <v>0</v>
      </c>
      <c r="AG1944" s="57">
        <v>0</v>
      </c>
      <c r="AH1944" s="58">
        <v>0</v>
      </c>
      <c r="AI1944" s="6"/>
    </row>
    <row r="1945" spans="1:35" ht="15.75" thickBot="1" x14ac:dyDescent="0.3">
      <c r="A1945" s="3"/>
      <c r="B1945" s="5" t="s">
        <v>12</v>
      </c>
      <c r="C1945" s="145">
        <v>0</v>
      </c>
      <c r="D1945" s="88">
        <v>0</v>
      </c>
      <c r="E1945" s="88">
        <v>0</v>
      </c>
      <c r="F1945" s="88">
        <v>0</v>
      </c>
      <c r="G1945" s="88">
        <v>0</v>
      </c>
      <c r="H1945" s="88">
        <v>0</v>
      </c>
      <c r="I1945" s="88">
        <v>0</v>
      </c>
      <c r="J1945" s="88">
        <v>0</v>
      </c>
      <c r="K1945" s="62">
        <v>0</v>
      </c>
      <c r="L1945" s="62">
        <v>0</v>
      </c>
      <c r="M1945" s="62">
        <v>0</v>
      </c>
      <c r="N1945" s="62">
        <v>0</v>
      </c>
      <c r="O1945" s="62">
        <v>0</v>
      </c>
      <c r="P1945" s="62">
        <v>0</v>
      </c>
      <c r="Q1945" s="62">
        <v>0</v>
      </c>
      <c r="R1945" s="62">
        <v>0</v>
      </c>
      <c r="S1945" s="62">
        <v>0</v>
      </c>
      <c r="T1945" s="62">
        <v>0</v>
      </c>
      <c r="U1945" s="62">
        <v>0</v>
      </c>
      <c r="V1945" s="62">
        <v>0</v>
      </c>
      <c r="W1945" s="62">
        <v>0</v>
      </c>
      <c r="X1945" s="62">
        <v>0</v>
      </c>
      <c r="Y1945" s="62">
        <v>0</v>
      </c>
      <c r="Z1945" s="62">
        <v>0</v>
      </c>
      <c r="AA1945" s="62">
        <v>0</v>
      </c>
      <c r="AB1945" s="62">
        <v>0</v>
      </c>
      <c r="AC1945" s="62">
        <v>0</v>
      </c>
      <c r="AD1945" s="62">
        <v>0</v>
      </c>
      <c r="AE1945" s="62">
        <v>0</v>
      </c>
      <c r="AF1945" s="62">
        <v>0</v>
      </c>
      <c r="AG1945" s="62">
        <v>0</v>
      </c>
      <c r="AH1945" s="146">
        <v>0</v>
      </c>
      <c r="AI1945" s="6"/>
    </row>
    <row r="1946" spans="1:35" x14ac:dyDescent="0.25">
      <c r="A1946" s="3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5"/>
      <c r="AH1946" s="5"/>
      <c r="AI1946" s="6"/>
    </row>
    <row r="1947" spans="1:35" ht="15.75" thickBot="1" x14ac:dyDescent="0.3">
      <c r="A1947" s="3"/>
      <c r="B1947" s="5"/>
      <c r="C1947" s="7">
        <v>32</v>
      </c>
      <c r="D1947" s="7">
        <v>33</v>
      </c>
      <c r="E1947" s="7">
        <v>34</v>
      </c>
      <c r="F1947" s="7">
        <v>35</v>
      </c>
      <c r="G1947" s="7">
        <v>36</v>
      </c>
      <c r="H1947" s="7">
        <v>37</v>
      </c>
      <c r="I1947" s="7">
        <v>38</v>
      </c>
      <c r="J1947" s="7">
        <v>39</v>
      </c>
      <c r="K1947" s="7">
        <v>40</v>
      </c>
      <c r="L1947" s="7">
        <v>41</v>
      </c>
      <c r="M1947" s="7">
        <v>42</v>
      </c>
      <c r="N1947" s="7">
        <v>43</v>
      </c>
      <c r="O1947" s="7">
        <v>44</v>
      </c>
      <c r="P1947" s="7">
        <v>45</v>
      </c>
      <c r="Q1947" s="7">
        <v>46</v>
      </c>
      <c r="R1947" s="7">
        <v>47</v>
      </c>
      <c r="S1947" s="7">
        <v>48</v>
      </c>
      <c r="T1947" s="7">
        <v>49</v>
      </c>
      <c r="U1947" s="7">
        <v>50</v>
      </c>
      <c r="V1947" s="7">
        <v>51</v>
      </c>
      <c r="W1947" s="7">
        <v>52</v>
      </c>
      <c r="X1947" s="7">
        <v>53</v>
      </c>
      <c r="Y1947" s="7">
        <v>54</v>
      </c>
      <c r="Z1947" s="7">
        <v>55</v>
      </c>
      <c r="AA1947" s="7">
        <v>56</v>
      </c>
      <c r="AB1947" s="7">
        <v>57</v>
      </c>
      <c r="AC1947" s="7">
        <v>58</v>
      </c>
      <c r="AD1947" s="7">
        <v>59</v>
      </c>
      <c r="AE1947" s="7">
        <v>60</v>
      </c>
      <c r="AF1947" s="7">
        <v>61</v>
      </c>
      <c r="AG1947" s="7">
        <v>62</v>
      </c>
      <c r="AH1947" s="7">
        <v>63</v>
      </c>
      <c r="AI1947" s="6"/>
    </row>
    <row r="1948" spans="1:35" ht="15.75" thickBot="1" x14ac:dyDescent="0.3">
      <c r="A1948" s="3"/>
      <c r="B1948" s="5"/>
      <c r="C1948" s="147" t="s">
        <v>13</v>
      </c>
      <c r="D1948" s="148" t="s">
        <v>14</v>
      </c>
      <c r="E1948" s="148" t="s">
        <v>15</v>
      </c>
      <c r="F1948" s="148" t="s">
        <v>16</v>
      </c>
      <c r="G1948" s="148" t="s">
        <v>17</v>
      </c>
      <c r="H1948" s="148" t="s">
        <v>18</v>
      </c>
      <c r="I1948" s="148" t="s">
        <v>19</v>
      </c>
      <c r="J1948" s="148" t="s">
        <v>20</v>
      </c>
      <c r="K1948" s="148" t="s">
        <v>21</v>
      </c>
      <c r="L1948" s="148" t="s">
        <v>22</v>
      </c>
      <c r="M1948" s="148" t="s">
        <v>23</v>
      </c>
      <c r="N1948" s="148" t="s">
        <v>24</v>
      </c>
      <c r="O1948" s="148" t="s">
        <v>25</v>
      </c>
      <c r="P1948" s="148" t="s">
        <v>26</v>
      </c>
      <c r="Q1948" s="148" t="s">
        <v>27</v>
      </c>
      <c r="R1948" s="342" t="s">
        <v>30</v>
      </c>
      <c r="S1948" s="343"/>
      <c r="T1948" s="343"/>
      <c r="U1948" s="343"/>
      <c r="V1948" s="343"/>
      <c r="W1948" s="343"/>
      <c r="X1948" s="343"/>
      <c r="Y1948" s="343"/>
      <c r="Z1948" s="343"/>
      <c r="AA1948" s="343"/>
      <c r="AB1948" s="343"/>
      <c r="AC1948" s="343"/>
      <c r="AD1948" s="343"/>
      <c r="AE1948" s="343"/>
      <c r="AF1948" s="344"/>
      <c r="AG1948" s="67" t="s">
        <v>28</v>
      </c>
      <c r="AH1948" s="149" t="s">
        <v>29</v>
      </c>
      <c r="AI1948" s="6"/>
    </row>
    <row r="1949" spans="1:35" ht="15.75" thickBot="1" x14ac:dyDescent="0.3">
      <c r="A1949" s="3"/>
      <c r="B1949" s="5"/>
      <c r="C1949" s="150">
        <v>0</v>
      </c>
      <c r="D1949" s="151">
        <v>0</v>
      </c>
      <c r="E1949" s="151">
        <v>0</v>
      </c>
      <c r="F1949" s="151">
        <v>0</v>
      </c>
      <c r="G1949" s="151">
        <v>0</v>
      </c>
      <c r="H1949" s="151">
        <v>0</v>
      </c>
      <c r="I1949" s="151">
        <v>0</v>
      </c>
      <c r="J1949" s="151">
        <v>0</v>
      </c>
      <c r="K1949" s="151">
        <v>0</v>
      </c>
      <c r="L1949" s="151">
        <v>0</v>
      </c>
      <c r="M1949" s="151">
        <v>0</v>
      </c>
      <c r="N1949" s="151">
        <v>0</v>
      </c>
      <c r="O1949" s="151">
        <v>1</v>
      </c>
      <c r="P1949" s="151">
        <v>0</v>
      </c>
      <c r="Q1949" s="151">
        <v>0</v>
      </c>
      <c r="R1949" s="151">
        <v>0</v>
      </c>
      <c r="S1949" s="151">
        <v>0</v>
      </c>
      <c r="T1949" s="151">
        <v>0</v>
      </c>
      <c r="U1949" s="151">
        <v>0</v>
      </c>
      <c r="V1949" s="151">
        <v>0</v>
      </c>
      <c r="W1949" s="151">
        <v>0</v>
      </c>
      <c r="X1949" s="151">
        <v>1</v>
      </c>
      <c r="Y1949" s="151">
        <v>1</v>
      </c>
      <c r="Z1949" s="151">
        <v>0</v>
      </c>
      <c r="AA1949" s="151">
        <v>1</v>
      </c>
      <c r="AB1949" s="151">
        <v>1</v>
      </c>
      <c r="AC1949" s="151">
        <v>1</v>
      </c>
      <c r="AD1949" s="151">
        <v>0</v>
      </c>
      <c r="AE1949" s="151">
        <v>1</v>
      </c>
      <c r="AF1949" s="151">
        <v>1</v>
      </c>
      <c r="AG1949" s="151">
        <v>0</v>
      </c>
      <c r="AH1949" s="152">
        <v>0</v>
      </c>
      <c r="AI1949" s="6"/>
    </row>
    <row r="1950" spans="1:35" x14ac:dyDescent="0.25">
      <c r="A1950" s="3"/>
      <c r="B1950" s="4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5"/>
      <c r="AH1950" s="5"/>
      <c r="AI1950" s="6"/>
    </row>
    <row r="1951" spans="1:35" x14ac:dyDescent="0.25">
      <c r="A1951" s="3"/>
      <c r="B1951" s="8" t="s">
        <v>43</v>
      </c>
      <c r="C1951" s="9"/>
      <c r="D1951" s="9"/>
      <c r="E1951" s="9"/>
      <c r="F1951" s="225" t="s">
        <v>44</v>
      </c>
      <c r="G1951" s="225"/>
      <c r="H1951" s="225"/>
      <c r="I1951" s="9"/>
      <c r="J1951" s="226" t="s">
        <v>45</v>
      </c>
      <c r="K1951" s="226"/>
      <c r="L1951" s="226"/>
      <c r="M1951" s="226"/>
      <c r="N1951" s="9"/>
      <c r="O1951" s="227" t="s">
        <v>46</v>
      </c>
      <c r="P1951" s="227"/>
      <c r="Q1951" s="227"/>
      <c r="R1951" s="227"/>
      <c r="S1951" s="9"/>
      <c r="T1951" s="1" t="s">
        <v>49</v>
      </c>
      <c r="U1951" s="10" t="s">
        <v>48</v>
      </c>
      <c r="V1951" s="5"/>
      <c r="W1951" s="9"/>
      <c r="X1951" s="9"/>
      <c r="Y1951" s="9"/>
      <c r="Z1951" s="9"/>
      <c r="AA1951" s="9"/>
      <c r="AB1951" s="9"/>
      <c r="AC1951" s="9"/>
      <c r="AD1951" s="9"/>
      <c r="AE1951" s="9"/>
      <c r="AF1951" s="9"/>
      <c r="AG1951" s="9"/>
      <c r="AH1951" s="9"/>
      <c r="AI1951" s="6"/>
    </row>
    <row r="1952" spans="1:35" ht="15" customHeight="1" x14ac:dyDescent="0.25">
      <c r="A1952" s="3"/>
      <c r="B1952" s="221" t="str">
        <f>"0x"&amp;DEC2HEX(Sheet3!$I$4,8)</f>
        <v>0x00400320</v>
      </c>
      <c r="C1952" s="221"/>
      <c r="D1952" s="221"/>
      <c r="E1952" s="12"/>
      <c r="F1952" s="319" t="str">
        <f>"0x"&amp;BIN2HEX(CONCATENATE(C1945,D1945,E1945,F1945,G1945,H1945,I1945,J1945),2)&amp;BIN2HEX(CONCATENATE(K1945,L1945,M1945,N1945,O1945,P1945,Q1945,R1945),2)&amp;BIN2HEX(CONCATENATE(S1945,T1945,U1945,V1945,W1945,X1945,Y1945,Z1945),2)&amp;BIN2HEX(CONCATENATE(AA1945,AB1945,AC1945,AD1945,AE1945,AF1945,AG1945,AH1945),2)</f>
        <v>0x00000000</v>
      </c>
      <c r="G1952" s="319"/>
      <c r="H1952" s="319"/>
      <c r="I1952" s="12"/>
      <c r="J1952" s="319" t="str">
        <f>"0b"&amp;C1949&amp;D1949&amp;E1949&amp;F1949&amp;G1949&amp;H1949&amp;I1949&amp;J1949&amp;K1949&amp;L1949&amp;M1949&amp;N1949&amp;O1949&amp;P1949&amp;Q1949</f>
        <v>0b000000000000100</v>
      </c>
      <c r="K1952" s="319"/>
      <c r="L1952" s="319"/>
      <c r="M1952" s="319"/>
      <c r="N1952" s="12"/>
      <c r="O1952" s="319" t="str">
        <f>"0b"&amp;DEC2BIN(((AF1949+AE1949*2+AD1949*4+AC1949*8+AB1949*16+AA1949*32+Z1949*64+Y1949*128+X1949*256+W1949*512+V1949*1024+U1949*2048+T1949*4096+S1949*2^13+R1949*2^14)/512),6)&amp;DEC2BIN(MOD((AF1949+AE1949*2+AD1949*4+AC1949*8+AB1949*16+AA1949*32+Z1949*64+Y1949*128+X1949*256+W1949*512+V1949*1024+U1949*2048+T1949*4096+S1949*2^13+R1949*2^14),512),9)</f>
        <v>0b000000110111011</v>
      </c>
      <c r="P1952" s="319"/>
      <c r="Q1952" s="319"/>
      <c r="R1952" s="319"/>
      <c r="S1952" s="12"/>
      <c r="T1952" s="224">
        <v>0</v>
      </c>
      <c r="U1952" s="224">
        <f>AH1949</f>
        <v>0</v>
      </c>
      <c r="V1952" s="5"/>
      <c r="W1952" s="14"/>
      <c r="X1952" s="14"/>
      <c r="Y1952" s="14"/>
      <c r="Z1952" s="14"/>
      <c r="AA1952" s="14"/>
      <c r="AB1952" s="14"/>
      <c r="AC1952" s="14"/>
      <c r="AD1952" s="14"/>
      <c r="AE1952" s="14"/>
      <c r="AF1952" s="14"/>
      <c r="AG1952" s="14"/>
      <c r="AH1952" s="14"/>
      <c r="AI1952" s="6"/>
    </row>
    <row r="1953" spans="1:35" x14ac:dyDescent="0.25">
      <c r="A1953" s="3"/>
      <c r="B1953" s="221"/>
      <c r="C1953" s="221"/>
      <c r="D1953" s="221"/>
      <c r="E1953" s="15"/>
      <c r="F1953" s="222"/>
      <c r="G1953" s="222"/>
      <c r="H1953" s="222"/>
      <c r="I1953" s="15"/>
      <c r="J1953" s="221"/>
      <c r="K1953" s="221"/>
      <c r="L1953" s="221"/>
      <c r="M1953" s="221"/>
      <c r="N1953" s="15"/>
      <c r="O1953" s="221"/>
      <c r="P1953" s="221"/>
      <c r="Q1953" s="221"/>
      <c r="R1953" s="221"/>
      <c r="S1953" s="15"/>
      <c r="T1953" s="224"/>
      <c r="U1953" s="15"/>
      <c r="V1953" s="5"/>
      <c r="W1953" s="16"/>
      <c r="X1953" s="16"/>
      <c r="Y1953" s="16"/>
      <c r="Z1953" s="16"/>
      <c r="AA1953" s="16"/>
      <c r="AB1953" s="16"/>
      <c r="AC1953" s="16"/>
      <c r="AD1953" s="16"/>
      <c r="AE1953" s="16"/>
      <c r="AF1953" s="16"/>
      <c r="AG1953" s="16"/>
      <c r="AH1953" s="16"/>
      <c r="AI1953" s="6"/>
    </row>
    <row r="1954" spans="1:35" x14ac:dyDescent="0.25">
      <c r="A1954" s="3"/>
      <c r="B1954" s="221"/>
      <c r="C1954" s="221"/>
      <c r="D1954" s="221"/>
      <c r="E1954" s="15"/>
      <c r="F1954" s="222"/>
      <c r="G1954" s="222"/>
      <c r="H1954" s="222"/>
      <c r="I1954" s="15"/>
      <c r="J1954" s="221"/>
      <c r="K1954" s="221"/>
      <c r="L1954" s="221"/>
      <c r="M1954" s="221"/>
      <c r="N1954" s="15"/>
      <c r="O1954" s="221"/>
      <c r="P1954" s="221"/>
      <c r="Q1954" s="221"/>
      <c r="R1954" s="221"/>
      <c r="S1954" s="15"/>
      <c r="T1954" s="224"/>
      <c r="U1954" s="15"/>
      <c r="V1954" s="5"/>
      <c r="W1954" s="16"/>
      <c r="X1954" s="16"/>
      <c r="Y1954" s="16"/>
      <c r="Z1954" s="16"/>
      <c r="AA1954" s="16"/>
      <c r="AB1954" s="16"/>
      <c r="AC1954" s="16"/>
      <c r="AD1954" s="16"/>
      <c r="AE1954" s="16"/>
      <c r="AF1954" s="16"/>
      <c r="AG1954" s="16"/>
      <c r="AH1954" s="16"/>
      <c r="AI1954" s="6"/>
    </row>
    <row r="1955" spans="1:35" x14ac:dyDescent="0.25">
      <c r="A1955" s="3"/>
      <c r="B1955" s="5"/>
      <c r="C1955" s="5"/>
      <c r="D1955" s="5"/>
      <c r="E1955" s="5"/>
      <c r="F1955" s="17"/>
      <c r="G1955" s="17"/>
      <c r="H1955" s="17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5"/>
      <c r="AH1955" s="5"/>
      <c r="AI1955" s="6"/>
    </row>
    <row r="1956" spans="1:35" x14ac:dyDescent="0.25">
      <c r="A1956" s="3"/>
      <c r="B1956" s="5" t="s">
        <v>47</v>
      </c>
      <c r="C1956" s="18"/>
      <c r="D1956" s="18"/>
      <c r="E1956" s="18"/>
      <c r="F1956" s="5"/>
      <c r="G1956" s="5"/>
      <c r="H1956" s="5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  <c r="AB1956" s="18"/>
      <c r="AC1956" s="18"/>
      <c r="AD1956" s="18"/>
      <c r="AE1956" s="18"/>
      <c r="AF1956" s="18"/>
      <c r="AG1956" s="18"/>
      <c r="AH1956" s="18"/>
      <c r="AI1956" s="6"/>
    </row>
    <row r="1957" spans="1:35" ht="15" customHeight="1" x14ac:dyDescent="0.25">
      <c r="A1957" s="3"/>
      <c r="B1957" s="221" t="str">
        <f>"0x"&amp;DEC2HEX(Sheet3!$I$4,8)</f>
        <v>0x00400320</v>
      </c>
      <c r="C1957" s="221"/>
      <c r="D1957" s="221"/>
      <c r="E1957" s="16"/>
      <c r="F1957" s="322" t="str">
        <f>F1952&amp;BIN2HEX(MID(J1952,3,8),2)&amp;BIN2HEX(RIGHT(J1952,7)&amp;MID(O1952,3,1),2)&amp;BIN2HEX(MID(O1952,4,8),2)&amp;BIN2HEX(RIGHT(O1952,6)&amp;T1952&amp;U1952,2)</f>
        <v>0x00000000000806EC</v>
      </c>
      <c r="G1957" s="322"/>
      <c r="H1957" s="322"/>
      <c r="I1957" s="322"/>
      <c r="J1957" s="5"/>
      <c r="K1957" s="5"/>
      <c r="L1957" s="5"/>
      <c r="M1957" s="5"/>
      <c r="N1957" s="5"/>
      <c r="O1957" s="5"/>
      <c r="P1957" s="16"/>
      <c r="Q1957" s="16"/>
      <c r="R1957" s="19"/>
      <c r="S1957" s="19"/>
      <c r="T1957" s="19"/>
      <c r="U1957" s="19"/>
      <c r="V1957" s="19"/>
      <c r="W1957" s="19"/>
      <c r="X1957" s="19"/>
      <c r="Y1957" s="19"/>
      <c r="Z1957" s="19"/>
      <c r="AA1957" s="19"/>
      <c r="AB1957" s="19"/>
      <c r="AC1957" s="19"/>
      <c r="AD1957" s="19"/>
      <c r="AE1957" s="19"/>
      <c r="AF1957" s="19"/>
      <c r="AG1957" s="5"/>
      <c r="AH1957" s="5"/>
      <c r="AI1957" s="6"/>
    </row>
    <row r="1958" spans="1:35" x14ac:dyDescent="0.25">
      <c r="A1958" s="3"/>
      <c r="B1958" s="221"/>
      <c r="C1958" s="221"/>
      <c r="D1958" s="221"/>
      <c r="E1958" s="5"/>
      <c r="F1958" s="223"/>
      <c r="G1958" s="223"/>
      <c r="H1958" s="223"/>
      <c r="I1958" s="223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5"/>
      <c r="AH1958" s="5"/>
      <c r="AI1958" s="6"/>
    </row>
    <row r="1959" spans="1:35" x14ac:dyDescent="0.25">
      <c r="A1959" s="3"/>
      <c r="B1959" s="221"/>
      <c r="C1959" s="221"/>
      <c r="D1959" s="221"/>
      <c r="E1959" s="5"/>
      <c r="F1959" s="223"/>
      <c r="G1959" s="223"/>
      <c r="H1959" s="223"/>
      <c r="I1959" s="223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5"/>
      <c r="AH1959" s="5"/>
      <c r="AI1959" s="6"/>
    </row>
    <row r="1960" spans="1:35" x14ac:dyDescent="0.25">
      <c r="A1960" s="20"/>
      <c r="B1960" s="21"/>
      <c r="C1960" s="21"/>
      <c r="D1960" s="21"/>
      <c r="E1960" s="21"/>
      <c r="F1960" s="21"/>
      <c r="G1960" s="21"/>
      <c r="H1960" s="21"/>
      <c r="I1960" s="21"/>
      <c r="J1960" s="21"/>
      <c r="K1960" s="21"/>
      <c r="L1960" s="21"/>
      <c r="M1960" s="21"/>
      <c r="N1960" s="21"/>
      <c r="O1960" s="22"/>
      <c r="P1960" s="21"/>
      <c r="Q1960" s="21"/>
      <c r="R1960" s="21"/>
      <c r="S1960" s="21"/>
      <c r="T1960" s="21"/>
      <c r="U1960" s="21"/>
      <c r="V1960" s="21"/>
      <c r="W1960" s="21"/>
      <c r="X1960" s="21"/>
      <c r="Y1960" s="21"/>
      <c r="Z1960" s="21"/>
      <c r="AA1960" s="21"/>
      <c r="AB1960" s="21"/>
      <c r="AC1960" s="21"/>
      <c r="AD1960" s="21"/>
      <c r="AE1960" s="21"/>
      <c r="AF1960" s="21"/>
      <c r="AG1960" s="21"/>
      <c r="AH1960" s="21"/>
      <c r="AI1960" s="23"/>
    </row>
    <row r="1961" spans="1:35" x14ac:dyDescent="0.25">
      <c r="A1961" s="24"/>
      <c r="B1961" s="28"/>
      <c r="C1961" s="25"/>
      <c r="D1961" s="25"/>
      <c r="E1961" s="25"/>
      <c r="F1961" s="25"/>
      <c r="G1961" s="25"/>
      <c r="H1961" s="25"/>
      <c r="I1961" s="25"/>
      <c r="J1961" s="25"/>
      <c r="K1961" s="25"/>
      <c r="L1961" s="25"/>
      <c r="M1961" s="25"/>
      <c r="N1961" s="25"/>
      <c r="O1961" s="25"/>
      <c r="P1961" s="25"/>
      <c r="Q1961" s="25"/>
      <c r="R1961" s="25"/>
      <c r="S1961" s="25"/>
      <c r="T1961" s="25"/>
      <c r="U1961" s="25"/>
      <c r="V1961" s="25"/>
      <c r="W1961" s="25"/>
      <c r="X1961" s="25"/>
      <c r="Y1961" s="25"/>
      <c r="Z1961" s="25"/>
      <c r="AA1961" s="25"/>
      <c r="AB1961" s="25"/>
      <c r="AC1961" s="25"/>
      <c r="AD1961" s="25"/>
      <c r="AE1961" s="25"/>
      <c r="AF1961" s="25"/>
      <c r="AG1961" s="25"/>
      <c r="AH1961" s="25"/>
      <c r="AI1961" s="26"/>
    </row>
    <row r="1962" spans="1:35" x14ac:dyDescent="0.25">
      <c r="A1962" s="3"/>
      <c r="B1962" s="4" t="s">
        <v>355</v>
      </c>
      <c r="C1962" s="5"/>
      <c r="D1962" s="5"/>
      <c r="E1962" s="5"/>
      <c r="F1962" s="5"/>
      <c r="G1962" s="5"/>
      <c r="H1962" s="5"/>
      <c r="I1962" s="5" t="str">
        <f>"0x"&amp;BIN2HEX(CONCATENATE(C1967,D1967,E1967,F1967,G1967,H1967,I1967,J1967),2)&amp;BIN2HEX(CONCATENATE(K1967,L1967,M1967,N1967,O1967,P1967,Q1967,R1967),2)&amp;BIN2HEX(CONCATENATE(S1967,T1967,U1967,V1967,W1967,X1967,Y1967,Z1967),2)&amp;BIN2HEX(CONCATENATE(AA1967,AB1967,AC1967,AD1967,AE1967,AF1967,AG1967,AH1967),2)&amp;"_"&amp;BIN2HEX(CONCATENATE(C1971,D1971,E1971,F1971,G1971,H1971,I1971,J1971),2)&amp;BIN2HEX(CONCATENATE(K1971,L1971,M1971,N1971,O1971,P1971,Q1971,R1971),2)&amp;BIN2HEX(CONCATENATE(S1971,T1971,U1971,V1971,W1971,X1971,Y1971,Z1971),2)&amp;BIN2HEX(CONCATENATE(AA1971,AB1971,AC1971,AD1971,AE1971,AF1971,AG1971,AH1971),2)</f>
        <v>0x00000000_000806F0</v>
      </c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5"/>
      <c r="AH1962" s="5"/>
      <c r="AI1962" s="6"/>
    </row>
    <row r="1963" spans="1:35" ht="15.75" thickBot="1" x14ac:dyDescent="0.3">
      <c r="A1963" s="3"/>
      <c r="B1963" s="5"/>
      <c r="C1963" s="7">
        <v>0</v>
      </c>
      <c r="D1963" s="7">
        <v>1</v>
      </c>
      <c r="E1963" s="7">
        <v>2</v>
      </c>
      <c r="F1963" s="7">
        <v>3</v>
      </c>
      <c r="G1963" s="7">
        <v>4</v>
      </c>
      <c r="H1963" s="7">
        <v>5</v>
      </c>
      <c r="I1963" s="7">
        <v>6</v>
      </c>
      <c r="J1963" s="7">
        <v>7</v>
      </c>
      <c r="K1963" s="7">
        <v>8</v>
      </c>
      <c r="L1963" s="7">
        <v>9</v>
      </c>
      <c r="M1963" s="7">
        <v>10</v>
      </c>
      <c r="N1963" s="7">
        <v>11</v>
      </c>
      <c r="O1963" s="7">
        <v>12</v>
      </c>
      <c r="P1963" s="7">
        <v>13</v>
      </c>
      <c r="Q1963" s="7">
        <v>14</v>
      </c>
      <c r="R1963" s="7">
        <v>15</v>
      </c>
      <c r="S1963" s="7">
        <v>16</v>
      </c>
      <c r="T1963" s="7">
        <v>17</v>
      </c>
      <c r="U1963" s="7">
        <v>18</v>
      </c>
      <c r="V1963" s="7">
        <v>19</v>
      </c>
      <c r="W1963" s="7">
        <v>20</v>
      </c>
      <c r="X1963" s="7">
        <v>21</v>
      </c>
      <c r="Y1963" s="7">
        <v>22</v>
      </c>
      <c r="Z1963" s="7">
        <v>23</v>
      </c>
      <c r="AA1963" s="7">
        <v>24</v>
      </c>
      <c r="AB1963" s="7">
        <v>25</v>
      </c>
      <c r="AC1963" s="7">
        <v>26</v>
      </c>
      <c r="AD1963" s="7">
        <v>27</v>
      </c>
      <c r="AE1963" s="7">
        <v>28</v>
      </c>
      <c r="AF1963" s="7">
        <v>29</v>
      </c>
      <c r="AG1963" s="7">
        <v>30</v>
      </c>
      <c r="AH1963" s="7">
        <v>31</v>
      </c>
      <c r="AI1963" s="6"/>
    </row>
    <row r="1964" spans="1:35" x14ac:dyDescent="0.25">
      <c r="A1964" s="3"/>
      <c r="B1964" s="5" t="s">
        <v>31</v>
      </c>
      <c r="C1964" s="328" t="s">
        <v>161</v>
      </c>
      <c r="D1964" s="330" t="s">
        <v>63</v>
      </c>
      <c r="E1964" s="331"/>
      <c r="F1964" s="331"/>
      <c r="G1964" s="331"/>
      <c r="H1964" s="331"/>
      <c r="I1964" s="331"/>
      <c r="J1964" s="332"/>
      <c r="K1964" s="336">
        <v>0</v>
      </c>
      <c r="L1964" s="337"/>
      <c r="M1964" s="337"/>
      <c r="N1964" s="337"/>
      <c r="O1964" s="337"/>
      <c r="P1964" s="337"/>
      <c r="Q1964" s="337"/>
      <c r="R1964" s="337"/>
      <c r="S1964" s="337"/>
      <c r="T1964" s="337"/>
      <c r="U1964" s="337"/>
      <c r="V1964" s="337"/>
      <c r="W1964" s="337"/>
      <c r="X1964" s="337"/>
      <c r="Y1964" s="337"/>
      <c r="Z1964" s="337"/>
      <c r="AA1964" s="337"/>
      <c r="AB1964" s="337"/>
      <c r="AC1964" s="337"/>
      <c r="AD1964" s="337"/>
      <c r="AE1964" s="337"/>
      <c r="AF1964" s="337"/>
      <c r="AG1964" s="337"/>
      <c r="AH1964" s="338"/>
      <c r="AI1964" s="6"/>
    </row>
    <row r="1965" spans="1:35" x14ac:dyDescent="0.25">
      <c r="A1965" s="3"/>
      <c r="B1965" s="5" t="s">
        <v>32</v>
      </c>
      <c r="C1965" s="329"/>
      <c r="D1965" s="333"/>
      <c r="E1965" s="334"/>
      <c r="F1965" s="334"/>
      <c r="G1965" s="334"/>
      <c r="H1965" s="334"/>
      <c r="I1965" s="334"/>
      <c r="J1965" s="335"/>
      <c r="K1965" s="339"/>
      <c r="L1965" s="340"/>
      <c r="M1965" s="340"/>
      <c r="N1965" s="340"/>
      <c r="O1965" s="340"/>
      <c r="P1965" s="340"/>
      <c r="Q1965" s="340"/>
      <c r="R1965" s="340"/>
      <c r="S1965" s="340"/>
      <c r="T1965" s="340"/>
      <c r="U1965" s="340"/>
      <c r="V1965" s="340"/>
      <c r="W1965" s="340"/>
      <c r="X1965" s="340"/>
      <c r="Y1965" s="340"/>
      <c r="Z1965" s="340"/>
      <c r="AA1965" s="340"/>
      <c r="AB1965" s="340"/>
      <c r="AC1965" s="340"/>
      <c r="AD1965" s="340"/>
      <c r="AE1965" s="340"/>
      <c r="AF1965" s="340"/>
      <c r="AG1965" s="340"/>
      <c r="AH1965" s="341"/>
      <c r="AI1965" s="6"/>
    </row>
    <row r="1966" spans="1:35" x14ac:dyDescent="0.25">
      <c r="A1966" s="3"/>
      <c r="B1966" s="5" t="s">
        <v>11</v>
      </c>
      <c r="C1966" s="56">
        <v>0</v>
      </c>
      <c r="D1966" s="57">
        <v>0</v>
      </c>
      <c r="E1966" s="57">
        <v>0</v>
      </c>
      <c r="F1966" s="57">
        <v>0</v>
      </c>
      <c r="G1966" s="57">
        <v>0</v>
      </c>
      <c r="H1966" s="57">
        <v>0</v>
      </c>
      <c r="I1966" s="57">
        <v>0</v>
      </c>
      <c r="J1966" s="57">
        <v>0</v>
      </c>
      <c r="K1966" s="57">
        <v>0</v>
      </c>
      <c r="L1966" s="57">
        <v>0</v>
      </c>
      <c r="M1966" s="57">
        <v>0</v>
      </c>
      <c r="N1966" s="57">
        <v>0</v>
      </c>
      <c r="O1966" s="57">
        <v>0</v>
      </c>
      <c r="P1966" s="57">
        <v>0</v>
      </c>
      <c r="Q1966" s="57">
        <v>0</v>
      </c>
      <c r="R1966" s="57">
        <v>0</v>
      </c>
      <c r="S1966" s="57">
        <v>0</v>
      </c>
      <c r="T1966" s="57">
        <v>0</v>
      </c>
      <c r="U1966" s="57">
        <v>0</v>
      </c>
      <c r="V1966" s="57">
        <v>0</v>
      </c>
      <c r="W1966" s="57">
        <v>0</v>
      </c>
      <c r="X1966" s="57">
        <v>0</v>
      </c>
      <c r="Y1966" s="57">
        <v>0</v>
      </c>
      <c r="Z1966" s="57">
        <v>0</v>
      </c>
      <c r="AA1966" s="57">
        <v>0</v>
      </c>
      <c r="AB1966" s="57">
        <v>0</v>
      </c>
      <c r="AC1966" s="57">
        <v>0</v>
      </c>
      <c r="AD1966" s="57">
        <v>0</v>
      </c>
      <c r="AE1966" s="57">
        <v>0</v>
      </c>
      <c r="AF1966" s="57">
        <v>0</v>
      </c>
      <c r="AG1966" s="57">
        <v>0</v>
      </c>
      <c r="AH1966" s="58">
        <v>0</v>
      </c>
      <c r="AI1966" s="6"/>
    </row>
    <row r="1967" spans="1:35" ht="15.75" thickBot="1" x14ac:dyDescent="0.3">
      <c r="A1967" s="3"/>
      <c r="B1967" s="5" t="s">
        <v>12</v>
      </c>
      <c r="C1967" s="145">
        <v>0</v>
      </c>
      <c r="D1967" s="88">
        <v>0</v>
      </c>
      <c r="E1967" s="88">
        <v>0</v>
      </c>
      <c r="F1967" s="88">
        <v>0</v>
      </c>
      <c r="G1967" s="88">
        <v>0</v>
      </c>
      <c r="H1967" s="88">
        <v>0</v>
      </c>
      <c r="I1967" s="88">
        <v>0</v>
      </c>
      <c r="J1967" s="88">
        <v>0</v>
      </c>
      <c r="K1967" s="62">
        <v>0</v>
      </c>
      <c r="L1967" s="62">
        <v>0</v>
      </c>
      <c r="M1967" s="62">
        <v>0</v>
      </c>
      <c r="N1967" s="62">
        <v>0</v>
      </c>
      <c r="O1967" s="62">
        <v>0</v>
      </c>
      <c r="P1967" s="62">
        <v>0</v>
      </c>
      <c r="Q1967" s="62">
        <v>0</v>
      </c>
      <c r="R1967" s="62">
        <v>0</v>
      </c>
      <c r="S1967" s="62">
        <v>0</v>
      </c>
      <c r="T1967" s="62">
        <v>0</v>
      </c>
      <c r="U1967" s="62">
        <v>0</v>
      </c>
      <c r="V1967" s="62">
        <v>0</v>
      </c>
      <c r="W1967" s="62">
        <v>0</v>
      </c>
      <c r="X1967" s="62">
        <v>0</v>
      </c>
      <c r="Y1967" s="62">
        <v>0</v>
      </c>
      <c r="Z1967" s="62">
        <v>0</v>
      </c>
      <c r="AA1967" s="62">
        <v>0</v>
      </c>
      <c r="AB1967" s="62">
        <v>0</v>
      </c>
      <c r="AC1967" s="62">
        <v>0</v>
      </c>
      <c r="AD1967" s="62">
        <v>0</v>
      </c>
      <c r="AE1967" s="62">
        <v>0</v>
      </c>
      <c r="AF1967" s="62">
        <v>0</v>
      </c>
      <c r="AG1967" s="62">
        <v>0</v>
      </c>
      <c r="AH1967" s="146">
        <v>0</v>
      </c>
      <c r="AI1967" s="6"/>
    </row>
    <row r="1968" spans="1:35" x14ac:dyDescent="0.25">
      <c r="A1968" s="3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5"/>
      <c r="AH1968" s="5"/>
      <c r="AI1968" s="6"/>
    </row>
    <row r="1969" spans="1:35" ht="15.75" thickBot="1" x14ac:dyDescent="0.3">
      <c r="A1969" s="3"/>
      <c r="B1969" s="5"/>
      <c r="C1969" s="7">
        <v>32</v>
      </c>
      <c r="D1969" s="7">
        <v>33</v>
      </c>
      <c r="E1969" s="7">
        <v>34</v>
      </c>
      <c r="F1969" s="7">
        <v>35</v>
      </c>
      <c r="G1969" s="7">
        <v>36</v>
      </c>
      <c r="H1969" s="7">
        <v>37</v>
      </c>
      <c r="I1969" s="7">
        <v>38</v>
      </c>
      <c r="J1969" s="7">
        <v>39</v>
      </c>
      <c r="K1969" s="7">
        <v>40</v>
      </c>
      <c r="L1969" s="7">
        <v>41</v>
      </c>
      <c r="M1969" s="7">
        <v>42</v>
      </c>
      <c r="N1969" s="7">
        <v>43</v>
      </c>
      <c r="O1969" s="7">
        <v>44</v>
      </c>
      <c r="P1969" s="7">
        <v>45</v>
      </c>
      <c r="Q1969" s="7">
        <v>46</v>
      </c>
      <c r="R1969" s="7">
        <v>47</v>
      </c>
      <c r="S1969" s="7">
        <v>48</v>
      </c>
      <c r="T1969" s="7">
        <v>49</v>
      </c>
      <c r="U1969" s="7">
        <v>50</v>
      </c>
      <c r="V1969" s="7">
        <v>51</v>
      </c>
      <c r="W1969" s="7">
        <v>52</v>
      </c>
      <c r="X1969" s="7">
        <v>53</v>
      </c>
      <c r="Y1969" s="7">
        <v>54</v>
      </c>
      <c r="Z1969" s="7">
        <v>55</v>
      </c>
      <c r="AA1969" s="7">
        <v>56</v>
      </c>
      <c r="AB1969" s="7">
        <v>57</v>
      </c>
      <c r="AC1969" s="7">
        <v>58</v>
      </c>
      <c r="AD1969" s="7">
        <v>59</v>
      </c>
      <c r="AE1969" s="7">
        <v>60</v>
      </c>
      <c r="AF1969" s="7">
        <v>61</v>
      </c>
      <c r="AG1969" s="7">
        <v>62</v>
      </c>
      <c r="AH1969" s="7">
        <v>63</v>
      </c>
      <c r="AI1969" s="6"/>
    </row>
    <row r="1970" spans="1:35" ht="15.75" thickBot="1" x14ac:dyDescent="0.3">
      <c r="A1970" s="3"/>
      <c r="B1970" s="5"/>
      <c r="C1970" s="147" t="s">
        <v>13</v>
      </c>
      <c r="D1970" s="148" t="s">
        <v>14</v>
      </c>
      <c r="E1970" s="148" t="s">
        <v>15</v>
      </c>
      <c r="F1970" s="148" t="s">
        <v>16</v>
      </c>
      <c r="G1970" s="148" t="s">
        <v>17</v>
      </c>
      <c r="H1970" s="148" t="s">
        <v>18</v>
      </c>
      <c r="I1970" s="148" t="s">
        <v>19</v>
      </c>
      <c r="J1970" s="148" t="s">
        <v>20</v>
      </c>
      <c r="K1970" s="148" t="s">
        <v>21</v>
      </c>
      <c r="L1970" s="148" t="s">
        <v>22</v>
      </c>
      <c r="M1970" s="148" t="s">
        <v>23</v>
      </c>
      <c r="N1970" s="148" t="s">
        <v>24</v>
      </c>
      <c r="O1970" s="148" t="s">
        <v>25</v>
      </c>
      <c r="P1970" s="148" t="s">
        <v>26</v>
      </c>
      <c r="Q1970" s="148" t="s">
        <v>27</v>
      </c>
      <c r="R1970" s="342" t="s">
        <v>30</v>
      </c>
      <c r="S1970" s="343"/>
      <c r="T1970" s="343"/>
      <c r="U1970" s="343"/>
      <c r="V1970" s="343"/>
      <c r="W1970" s="343"/>
      <c r="X1970" s="343"/>
      <c r="Y1970" s="343"/>
      <c r="Z1970" s="343"/>
      <c r="AA1970" s="343"/>
      <c r="AB1970" s="343"/>
      <c r="AC1970" s="343"/>
      <c r="AD1970" s="343"/>
      <c r="AE1970" s="343"/>
      <c r="AF1970" s="344"/>
      <c r="AG1970" s="67" t="s">
        <v>28</v>
      </c>
      <c r="AH1970" s="149" t="s">
        <v>29</v>
      </c>
      <c r="AI1970" s="6"/>
    </row>
    <row r="1971" spans="1:35" ht="15.75" thickBot="1" x14ac:dyDescent="0.3">
      <c r="A1971" s="3"/>
      <c r="B1971" s="5"/>
      <c r="C1971" s="150">
        <v>0</v>
      </c>
      <c r="D1971" s="151">
        <v>0</v>
      </c>
      <c r="E1971" s="151">
        <v>0</v>
      </c>
      <c r="F1971" s="151">
        <v>0</v>
      </c>
      <c r="G1971" s="151">
        <v>0</v>
      </c>
      <c r="H1971" s="151">
        <v>0</v>
      </c>
      <c r="I1971" s="151">
        <v>0</v>
      </c>
      <c r="J1971" s="151">
        <v>0</v>
      </c>
      <c r="K1971" s="151">
        <v>0</v>
      </c>
      <c r="L1971" s="151">
        <v>0</v>
      </c>
      <c r="M1971" s="151">
        <v>0</v>
      </c>
      <c r="N1971" s="151">
        <v>0</v>
      </c>
      <c r="O1971" s="151">
        <v>1</v>
      </c>
      <c r="P1971" s="151">
        <v>0</v>
      </c>
      <c r="Q1971" s="151">
        <v>0</v>
      </c>
      <c r="R1971" s="151">
        <v>0</v>
      </c>
      <c r="S1971" s="151">
        <v>0</v>
      </c>
      <c r="T1971" s="151">
        <v>0</v>
      </c>
      <c r="U1971" s="151">
        <v>0</v>
      </c>
      <c r="V1971" s="151">
        <v>0</v>
      </c>
      <c r="W1971" s="151">
        <v>0</v>
      </c>
      <c r="X1971" s="151">
        <v>1</v>
      </c>
      <c r="Y1971" s="151">
        <v>1</v>
      </c>
      <c r="Z1971" s="151">
        <v>0</v>
      </c>
      <c r="AA1971" s="151">
        <v>1</v>
      </c>
      <c r="AB1971" s="151">
        <v>1</v>
      </c>
      <c r="AC1971" s="151">
        <v>1</v>
      </c>
      <c r="AD1971" s="151">
        <v>1</v>
      </c>
      <c r="AE1971" s="151">
        <v>0</v>
      </c>
      <c r="AF1971" s="151">
        <v>0</v>
      </c>
      <c r="AG1971" s="151">
        <v>0</v>
      </c>
      <c r="AH1971" s="152">
        <v>0</v>
      </c>
      <c r="AI1971" s="6"/>
    </row>
    <row r="1972" spans="1:35" x14ac:dyDescent="0.25">
      <c r="A1972" s="3"/>
      <c r="B1972" s="4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5"/>
      <c r="AH1972" s="5"/>
      <c r="AI1972" s="6"/>
    </row>
    <row r="1973" spans="1:35" x14ac:dyDescent="0.25">
      <c r="A1973" s="3"/>
      <c r="B1973" s="8" t="s">
        <v>43</v>
      </c>
      <c r="C1973" s="9"/>
      <c r="D1973" s="9"/>
      <c r="E1973" s="9"/>
      <c r="F1973" s="225" t="s">
        <v>44</v>
      </c>
      <c r="G1973" s="225"/>
      <c r="H1973" s="225"/>
      <c r="I1973" s="9"/>
      <c r="J1973" s="226" t="s">
        <v>45</v>
      </c>
      <c r="K1973" s="226"/>
      <c r="L1973" s="226"/>
      <c r="M1973" s="226"/>
      <c r="N1973" s="9"/>
      <c r="O1973" s="227" t="s">
        <v>46</v>
      </c>
      <c r="P1973" s="227"/>
      <c r="Q1973" s="227"/>
      <c r="R1973" s="227"/>
      <c r="S1973" s="9"/>
      <c r="T1973" s="1" t="s">
        <v>49</v>
      </c>
      <c r="U1973" s="10" t="s">
        <v>48</v>
      </c>
      <c r="V1973" s="5"/>
      <c r="W1973" s="9"/>
      <c r="X1973" s="9"/>
      <c r="Y1973" s="9"/>
      <c r="Z1973" s="9"/>
      <c r="AA1973" s="9"/>
      <c r="AB1973" s="9"/>
      <c r="AC1973" s="9"/>
      <c r="AD1973" s="9"/>
      <c r="AE1973" s="9"/>
      <c r="AF1973" s="9"/>
      <c r="AG1973" s="9"/>
      <c r="AH1973" s="9"/>
      <c r="AI1973" s="6"/>
    </row>
    <row r="1974" spans="1:35" ht="15" customHeight="1" x14ac:dyDescent="0.25">
      <c r="A1974" s="3"/>
      <c r="B1974" s="221" t="str">
        <f>"0x"&amp;DEC2HEX(Sheet3!$I$4,8)</f>
        <v>0x00400320</v>
      </c>
      <c r="C1974" s="221"/>
      <c r="D1974" s="221"/>
      <c r="E1974" s="12"/>
      <c r="F1974" s="319" t="str">
        <f>"0x"&amp;BIN2HEX(CONCATENATE(C1967,D1967,E1967,F1967,G1967,H1967,I1967,J1967),2)&amp;BIN2HEX(CONCATENATE(K1967,L1967,M1967,N1967,O1967,P1967,Q1967,R1967),2)&amp;BIN2HEX(CONCATENATE(S1967,T1967,U1967,V1967,W1967,X1967,Y1967,Z1967),2)&amp;BIN2HEX(CONCATENATE(AA1967,AB1967,AC1967,AD1967,AE1967,AF1967,AG1967,AH1967),2)</f>
        <v>0x00000000</v>
      </c>
      <c r="G1974" s="319"/>
      <c r="H1974" s="319"/>
      <c r="I1974" s="12"/>
      <c r="J1974" s="319" t="str">
        <f>"0b"&amp;C1971&amp;D1971&amp;E1971&amp;F1971&amp;G1971&amp;H1971&amp;I1971&amp;J1971&amp;K1971&amp;L1971&amp;M1971&amp;N1971&amp;O1971&amp;P1971&amp;Q1971</f>
        <v>0b000000000000100</v>
      </c>
      <c r="K1974" s="319"/>
      <c r="L1974" s="319"/>
      <c r="M1974" s="319"/>
      <c r="N1974" s="12"/>
      <c r="O1974" s="319" t="str">
        <f>"0b"&amp;DEC2BIN(((AF1971+AE1971*2+AD1971*4+AC1971*8+AB1971*16+AA1971*32+Z1971*64+Y1971*128+X1971*256+W1971*512+V1971*1024+U1971*2048+T1971*4096+S1971*2^13+R1971*2^14)/512),6)&amp;DEC2BIN(MOD((AF1971+AE1971*2+AD1971*4+AC1971*8+AB1971*16+AA1971*32+Z1971*64+Y1971*128+X1971*256+W1971*512+V1971*1024+U1971*2048+T1971*4096+S1971*2^13+R1971*2^14),512),9)</f>
        <v>0b000000110111100</v>
      </c>
      <c r="P1974" s="319"/>
      <c r="Q1974" s="319"/>
      <c r="R1974" s="319"/>
      <c r="S1974" s="12"/>
      <c r="T1974" s="224">
        <v>0</v>
      </c>
      <c r="U1974" s="224">
        <f>AH1971</f>
        <v>0</v>
      </c>
      <c r="V1974" s="5"/>
      <c r="W1974" s="14"/>
      <c r="X1974" s="14"/>
      <c r="Y1974" s="14"/>
      <c r="Z1974" s="14"/>
      <c r="AA1974" s="14"/>
      <c r="AB1974" s="14"/>
      <c r="AC1974" s="14"/>
      <c r="AD1974" s="14"/>
      <c r="AE1974" s="14"/>
      <c r="AF1974" s="14"/>
      <c r="AG1974" s="14"/>
      <c r="AH1974" s="14"/>
      <c r="AI1974" s="6"/>
    </row>
    <row r="1975" spans="1:35" x14ac:dyDescent="0.25">
      <c r="A1975" s="3"/>
      <c r="B1975" s="221"/>
      <c r="C1975" s="221"/>
      <c r="D1975" s="221"/>
      <c r="E1975" s="15"/>
      <c r="F1975" s="222"/>
      <c r="G1975" s="222"/>
      <c r="H1975" s="222"/>
      <c r="I1975" s="15"/>
      <c r="J1975" s="221"/>
      <c r="K1975" s="221"/>
      <c r="L1975" s="221"/>
      <c r="M1975" s="221"/>
      <c r="N1975" s="15"/>
      <c r="O1975" s="221"/>
      <c r="P1975" s="221"/>
      <c r="Q1975" s="221"/>
      <c r="R1975" s="221"/>
      <c r="S1975" s="15"/>
      <c r="T1975" s="224"/>
      <c r="U1975" s="15"/>
      <c r="V1975" s="5"/>
      <c r="W1975" s="16"/>
      <c r="X1975" s="16"/>
      <c r="Y1975" s="16"/>
      <c r="Z1975" s="16"/>
      <c r="AA1975" s="16"/>
      <c r="AB1975" s="16"/>
      <c r="AC1975" s="16"/>
      <c r="AD1975" s="16"/>
      <c r="AE1975" s="16"/>
      <c r="AF1975" s="16"/>
      <c r="AG1975" s="16"/>
      <c r="AH1975" s="16"/>
      <c r="AI1975" s="6"/>
    </row>
    <row r="1976" spans="1:35" x14ac:dyDescent="0.25">
      <c r="A1976" s="3"/>
      <c r="B1976" s="221"/>
      <c r="C1976" s="221"/>
      <c r="D1976" s="221"/>
      <c r="E1976" s="15"/>
      <c r="F1976" s="222"/>
      <c r="G1976" s="222"/>
      <c r="H1976" s="222"/>
      <c r="I1976" s="15"/>
      <c r="J1976" s="221"/>
      <c r="K1976" s="221"/>
      <c r="L1976" s="221"/>
      <c r="M1976" s="221"/>
      <c r="N1976" s="15"/>
      <c r="O1976" s="221"/>
      <c r="P1976" s="221"/>
      <c r="Q1976" s="221"/>
      <c r="R1976" s="221"/>
      <c r="S1976" s="15"/>
      <c r="T1976" s="224"/>
      <c r="U1976" s="15"/>
      <c r="V1976" s="5"/>
      <c r="W1976" s="16"/>
      <c r="X1976" s="16"/>
      <c r="Y1976" s="16"/>
      <c r="Z1976" s="16"/>
      <c r="AA1976" s="16"/>
      <c r="AB1976" s="16"/>
      <c r="AC1976" s="16"/>
      <c r="AD1976" s="16"/>
      <c r="AE1976" s="16"/>
      <c r="AF1976" s="16"/>
      <c r="AG1976" s="16"/>
      <c r="AH1976" s="16"/>
      <c r="AI1976" s="6"/>
    </row>
    <row r="1977" spans="1:35" x14ac:dyDescent="0.25">
      <c r="A1977" s="3"/>
      <c r="B1977" s="5"/>
      <c r="C1977" s="5"/>
      <c r="D1977" s="5"/>
      <c r="E1977" s="5"/>
      <c r="F1977" s="17"/>
      <c r="G1977" s="17"/>
      <c r="H1977" s="17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5"/>
      <c r="AH1977" s="5"/>
      <c r="AI1977" s="6"/>
    </row>
    <row r="1978" spans="1:35" x14ac:dyDescent="0.25">
      <c r="A1978" s="3"/>
      <c r="B1978" s="5" t="s">
        <v>47</v>
      </c>
      <c r="C1978" s="18"/>
      <c r="D1978" s="18"/>
      <c r="E1978" s="18"/>
      <c r="F1978" s="5"/>
      <c r="G1978" s="5"/>
      <c r="H1978" s="5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  <c r="AB1978" s="18"/>
      <c r="AC1978" s="18"/>
      <c r="AD1978" s="18"/>
      <c r="AE1978" s="18"/>
      <c r="AF1978" s="18"/>
      <c r="AG1978" s="18"/>
      <c r="AH1978" s="18"/>
      <c r="AI1978" s="6"/>
    </row>
    <row r="1979" spans="1:35" ht="15" customHeight="1" x14ac:dyDescent="0.25">
      <c r="A1979" s="3"/>
      <c r="B1979" s="221" t="str">
        <f>"0x"&amp;DEC2HEX(Sheet3!$I$4,8)</f>
        <v>0x00400320</v>
      </c>
      <c r="C1979" s="221"/>
      <c r="D1979" s="221"/>
      <c r="E1979" s="16"/>
      <c r="F1979" s="322" t="str">
        <f>F1974&amp;BIN2HEX(MID(J1974,3,8),2)&amp;BIN2HEX(RIGHT(J1974,7)&amp;MID(O1974,3,1),2)&amp;BIN2HEX(MID(O1974,4,8),2)&amp;BIN2HEX(RIGHT(O1974,6)&amp;T1974&amp;U1974,2)</f>
        <v>0x00000000000806F0</v>
      </c>
      <c r="G1979" s="322"/>
      <c r="H1979" s="322"/>
      <c r="I1979" s="322"/>
      <c r="J1979" s="5"/>
      <c r="K1979" s="5"/>
      <c r="L1979" s="5"/>
      <c r="M1979" s="5"/>
      <c r="N1979" s="5"/>
      <c r="O1979" s="5"/>
      <c r="P1979" s="16"/>
      <c r="Q1979" s="16"/>
      <c r="R1979" s="19"/>
      <c r="S1979" s="19"/>
      <c r="T1979" s="19"/>
      <c r="U1979" s="19"/>
      <c r="V1979" s="19"/>
      <c r="W1979" s="19"/>
      <c r="X1979" s="19"/>
      <c r="Y1979" s="19"/>
      <c r="Z1979" s="19"/>
      <c r="AA1979" s="19"/>
      <c r="AB1979" s="19"/>
      <c r="AC1979" s="19"/>
      <c r="AD1979" s="19"/>
      <c r="AE1979" s="19"/>
      <c r="AF1979" s="19"/>
      <c r="AG1979" s="5"/>
      <c r="AH1979" s="5"/>
      <c r="AI1979" s="6"/>
    </row>
    <row r="1980" spans="1:35" x14ac:dyDescent="0.25">
      <c r="A1980" s="3"/>
      <c r="B1980" s="221"/>
      <c r="C1980" s="221"/>
      <c r="D1980" s="221"/>
      <c r="E1980" s="5"/>
      <c r="F1980" s="223"/>
      <c r="G1980" s="223"/>
      <c r="H1980" s="223"/>
      <c r="I1980" s="223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5"/>
      <c r="AH1980" s="5"/>
      <c r="AI1980" s="6"/>
    </row>
    <row r="1981" spans="1:35" x14ac:dyDescent="0.25">
      <c r="A1981" s="3"/>
      <c r="B1981" s="221"/>
      <c r="C1981" s="221"/>
      <c r="D1981" s="221"/>
      <c r="E1981" s="5"/>
      <c r="F1981" s="223"/>
      <c r="G1981" s="223"/>
      <c r="H1981" s="223"/>
      <c r="I1981" s="223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5"/>
      <c r="AI1981" s="6"/>
    </row>
    <row r="1982" spans="1:35" x14ac:dyDescent="0.25">
      <c r="A1982" s="20"/>
      <c r="B1982" s="21"/>
      <c r="C1982" s="21"/>
      <c r="D1982" s="21"/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2"/>
      <c r="P1982" s="21"/>
      <c r="Q1982" s="21"/>
      <c r="R1982" s="21"/>
      <c r="S1982" s="21"/>
      <c r="T1982" s="21"/>
      <c r="U1982" s="21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  <c r="AF1982" s="21"/>
      <c r="AG1982" s="21"/>
      <c r="AH1982" s="21"/>
      <c r="AI1982" s="23"/>
    </row>
    <row r="1983" spans="1:35" x14ac:dyDescent="0.25">
      <c r="A1983" s="24"/>
      <c r="B1983" s="28"/>
      <c r="C1983" s="25"/>
      <c r="D1983" s="25"/>
      <c r="E1983" s="25"/>
      <c r="F1983" s="25"/>
      <c r="G1983" s="25"/>
      <c r="H1983" s="25"/>
      <c r="I1983" s="25"/>
      <c r="J1983" s="25"/>
      <c r="K1983" s="25"/>
      <c r="L1983" s="25"/>
      <c r="M1983" s="25"/>
      <c r="N1983" s="25"/>
      <c r="O1983" s="25"/>
      <c r="P1983" s="25"/>
      <c r="Q1983" s="25"/>
      <c r="R1983" s="25"/>
      <c r="S1983" s="25"/>
      <c r="T1983" s="25"/>
      <c r="U1983" s="25"/>
      <c r="V1983" s="25"/>
      <c r="W1983" s="25"/>
      <c r="X1983" s="25"/>
      <c r="Y1983" s="25"/>
      <c r="Z1983" s="25"/>
      <c r="AA1983" s="25"/>
      <c r="AB1983" s="25"/>
      <c r="AC1983" s="25"/>
      <c r="AD1983" s="25"/>
      <c r="AE1983" s="25"/>
      <c r="AF1983" s="25"/>
      <c r="AG1983" s="25"/>
      <c r="AH1983" s="25"/>
      <c r="AI1983" s="26"/>
    </row>
    <row r="1984" spans="1:35" x14ac:dyDescent="0.25">
      <c r="A1984" s="3"/>
      <c r="B1984" s="4" t="s">
        <v>356</v>
      </c>
      <c r="C1984" s="5"/>
      <c r="D1984" s="5"/>
      <c r="E1984" s="5"/>
      <c r="F1984" s="5"/>
      <c r="G1984" s="5"/>
      <c r="H1984" s="5"/>
      <c r="I1984" s="5" t="str">
        <f>"0x"&amp;BIN2HEX(CONCATENATE(C1989,D1989,E1989,F1989,G1989,H1989,I1989,J1989),2)&amp;BIN2HEX(CONCATENATE(K1989,L1989,M1989,N1989,O1989,P1989,Q1989,R1989),2)&amp;BIN2HEX(CONCATENATE(S1989,T1989,U1989,V1989,W1989,X1989,Y1989,Z1989),2)&amp;BIN2HEX(CONCATENATE(AA1989,AB1989,AC1989,AD1989,AE1989,AF1989,AG1989,AH1989),2)&amp;"_"&amp;BIN2HEX(CONCATENATE(C1993,D1993,E1993,F1993,G1993,H1993,I1993,J1993),2)&amp;BIN2HEX(CONCATENATE(K1993,L1993,M1993,N1993,O1993,P1993,Q1993,R1993),2)&amp;BIN2HEX(CONCATENATE(S1993,T1993,U1993,V1993,W1993,X1993,Y1993,Z1993),2)&amp;BIN2HEX(CONCATENATE(AA1993,AB1993,AC1993,AD1993,AE1993,AF1993,AG1993,AH1993),2)</f>
        <v>0x00000000_000806F4</v>
      </c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5"/>
      <c r="AH1984" s="5"/>
      <c r="AI1984" s="6"/>
    </row>
    <row r="1985" spans="1:35" ht="15.75" thickBot="1" x14ac:dyDescent="0.3">
      <c r="A1985" s="3"/>
      <c r="B1985" s="5"/>
      <c r="C1985" s="7">
        <v>0</v>
      </c>
      <c r="D1985" s="7">
        <v>1</v>
      </c>
      <c r="E1985" s="7">
        <v>2</v>
      </c>
      <c r="F1985" s="7">
        <v>3</v>
      </c>
      <c r="G1985" s="7">
        <v>4</v>
      </c>
      <c r="H1985" s="7">
        <v>5</v>
      </c>
      <c r="I1985" s="7">
        <v>6</v>
      </c>
      <c r="J1985" s="7">
        <v>7</v>
      </c>
      <c r="K1985" s="7">
        <v>8</v>
      </c>
      <c r="L1985" s="7">
        <v>9</v>
      </c>
      <c r="M1985" s="7">
        <v>10</v>
      </c>
      <c r="N1985" s="7">
        <v>11</v>
      </c>
      <c r="O1985" s="7">
        <v>12</v>
      </c>
      <c r="P1985" s="7">
        <v>13</v>
      </c>
      <c r="Q1985" s="7">
        <v>14</v>
      </c>
      <c r="R1985" s="7">
        <v>15</v>
      </c>
      <c r="S1985" s="7">
        <v>16</v>
      </c>
      <c r="T1985" s="7">
        <v>17</v>
      </c>
      <c r="U1985" s="7">
        <v>18</v>
      </c>
      <c r="V1985" s="7">
        <v>19</v>
      </c>
      <c r="W1985" s="7">
        <v>20</v>
      </c>
      <c r="X1985" s="7">
        <v>21</v>
      </c>
      <c r="Y1985" s="7">
        <v>22</v>
      </c>
      <c r="Z1985" s="7">
        <v>23</v>
      </c>
      <c r="AA1985" s="7">
        <v>24</v>
      </c>
      <c r="AB1985" s="7">
        <v>25</v>
      </c>
      <c r="AC1985" s="7">
        <v>26</v>
      </c>
      <c r="AD1985" s="7">
        <v>27</v>
      </c>
      <c r="AE1985" s="7">
        <v>28</v>
      </c>
      <c r="AF1985" s="7">
        <v>29</v>
      </c>
      <c r="AG1985" s="7">
        <v>30</v>
      </c>
      <c r="AH1985" s="7">
        <v>31</v>
      </c>
      <c r="AI1985" s="6"/>
    </row>
    <row r="1986" spans="1:35" x14ac:dyDescent="0.25">
      <c r="A1986" s="3"/>
      <c r="B1986" s="5" t="s">
        <v>31</v>
      </c>
      <c r="C1986" s="328" t="s">
        <v>161</v>
      </c>
      <c r="D1986" s="330" t="s">
        <v>63</v>
      </c>
      <c r="E1986" s="331"/>
      <c r="F1986" s="331"/>
      <c r="G1986" s="331"/>
      <c r="H1986" s="331"/>
      <c r="I1986" s="331"/>
      <c r="J1986" s="332"/>
      <c r="K1986" s="336">
        <v>0</v>
      </c>
      <c r="L1986" s="337"/>
      <c r="M1986" s="337"/>
      <c r="N1986" s="337"/>
      <c r="O1986" s="337"/>
      <c r="P1986" s="337"/>
      <c r="Q1986" s="337"/>
      <c r="R1986" s="337"/>
      <c r="S1986" s="337"/>
      <c r="T1986" s="337"/>
      <c r="U1986" s="337"/>
      <c r="V1986" s="337"/>
      <c r="W1986" s="337"/>
      <c r="X1986" s="337"/>
      <c r="Y1986" s="337"/>
      <c r="Z1986" s="337"/>
      <c r="AA1986" s="337"/>
      <c r="AB1986" s="337"/>
      <c r="AC1986" s="337"/>
      <c r="AD1986" s="337"/>
      <c r="AE1986" s="337"/>
      <c r="AF1986" s="337"/>
      <c r="AG1986" s="337"/>
      <c r="AH1986" s="338"/>
      <c r="AI1986" s="6"/>
    </row>
    <row r="1987" spans="1:35" x14ac:dyDescent="0.25">
      <c r="A1987" s="3"/>
      <c r="B1987" s="5" t="s">
        <v>32</v>
      </c>
      <c r="C1987" s="329"/>
      <c r="D1987" s="333"/>
      <c r="E1987" s="334"/>
      <c r="F1987" s="334"/>
      <c r="G1987" s="334"/>
      <c r="H1987" s="334"/>
      <c r="I1987" s="334"/>
      <c r="J1987" s="335"/>
      <c r="K1987" s="339"/>
      <c r="L1987" s="340"/>
      <c r="M1987" s="340"/>
      <c r="N1987" s="340"/>
      <c r="O1987" s="340"/>
      <c r="P1987" s="340"/>
      <c r="Q1987" s="340"/>
      <c r="R1987" s="340"/>
      <c r="S1987" s="340"/>
      <c r="T1987" s="340"/>
      <c r="U1987" s="340"/>
      <c r="V1987" s="340"/>
      <c r="W1987" s="340"/>
      <c r="X1987" s="340"/>
      <c r="Y1987" s="340"/>
      <c r="Z1987" s="340"/>
      <c r="AA1987" s="340"/>
      <c r="AB1987" s="340"/>
      <c r="AC1987" s="340"/>
      <c r="AD1987" s="340"/>
      <c r="AE1987" s="340"/>
      <c r="AF1987" s="340"/>
      <c r="AG1987" s="340"/>
      <c r="AH1987" s="341"/>
      <c r="AI1987" s="6"/>
    </row>
    <row r="1988" spans="1:35" x14ac:dyDescent="0.25">
      <c r="A1988" s="3"/>
      <c r="B1988" s="5" t="s">
        <v>11</v>
      </c>
      <c r="C1988" s="56">
        <v>0</v>
      </c>
      <c r="D1988" s="57">
        <v>0</v>
      </c>
      <c r="E1988" s="57">
        <v>0</v>
      </c>
      <c r="F1988" s="57">
        <v>0</v>
      </c>
      <c r="G1988" s="57">
        <v>0</v>
      </c>
      <c r="H1988" s="57">
        <v>0</v>
      </c>
      <c r="I1988" s="57">
        <v>0</v>
      </c>
      <c r="J1988" s="57">
        <v>0</v>
      </c>
      <c r="K1988" s="57">
        <v>0</v>
      </c>
      <c r="L1988" s="57">
        <v>0</v>
      </c>
      <c r="M1988" s="57">
        <v>0</v>
      </c>
      <c r="N1988" s="57">
        <v>0</v>
      </c>
      <c r="O1988" s="57">
        <v>0</v>
      </c>
      <c r="P1988" s="57">
        <v>0</v>
      </c>
      <c r="Q1988" s="57">
        <v>0</v>
      </c>
      <c r="R1988" s="57">
        <v>0</v>
      </c>
      <c r="S1988" s="57">
        <v>0</v>
      </c>
      <c r="T1988" s="57">
        <v>0</v>
      </c>
      <c r="U1988" s="57">
        <v>0</v>
      </c>
      <c r="V1988" s="57">
        <v>0</v>
      </c>
      <c r="W1988" s="57">
        <v>0</v>
      </c>
      <c r="X1988" s="57">
        <v>0</v>
      </c>
      <c r="Y1988" s="57">
        <v>0</v>
      </c>
      <c r="Z1988" s="57">
        <v>0</v>
      </c>
      <c r="AA1988" s="57">
        <v>0</v>
      </c>
      <c r="AB1988" s="57">
        <v>0</v>
      </c>
      <c r="AC1988" s="57">
        <v>0</v>
      </c>
      <c r="AD1988" s="57">
        <v>0</v>
      </c>
      <c r="AE1988" s="57">
        <v>0</v>
      </c>
      <c r="AF1988" s="57">
        <v>0</v>
      </c>
      <c r="AG1988" s="57">
        <v>0</v>
      </c>
      <c r="AH1988" s="58">
        <v>0</v>
      </c>
      <c r="AI1988" s="6"/>
    </row>
    <row r="1989" spans="1:35" ht="15.75" thickBot="1" x14ac:dyDescent="0.3">
      <c r="A1989" s="3"/>
      <c r="B1989" s="5" t="s">
        <v>12</v>
      </c>
      <c r="C1989" s="145">
        <v>0</v>
      </c>
      <c r="D1989" s="88">
        <v>0</v>
      </c>
      <c r="E1989" s="88">
        <v>0</v>
      </c>
      <c r="F1989" s="88">
        <v>0</v>
      </c>
      <c r="G1989" s="88">
        <v>0</v>
      </c>
      <c r="H1989" s="88">
        <v>0</v>
      </c>
      <c r="I1989" s="88">
        <v>0</v>
      </c>
      <c r="J1989" s="88">
        <v>0</v>
      </c>
      <c r="K1989" s="62">
        <v>0</v>
      </c>
      <c r="L1989" s="62">
        <v>0</v>
      </c>
      <c r="M1989" s="62">
        <v>0</v>
      </c>
      <c r="N1989" s="62">
        <v>0</v>
      </c>
      <c r="O1989" s="62">
        <v>0</v>
      </c>
      <c r="P1989" s="62">
        <v>0</v>
      </c>
      <c r="Q1989" s="62">
        <v>0</v>
      </c>
      <c r="R1989" s="62">
        <v>0</v>
      </c>
      <c r="S1989" s="62">
        <v>0</v>
      </c>
      <c r="T1989" s="62">
        <v>0</v>
      </c>
      <c r="U1989" s="62">
        <v>0</v>
      </c>
      <c r="V1989" s="62">
        <v>0</v>
      </c>
      <c r="W1989" s="62">
        <v>0</v>
      </c>
      <c r="X1989" s="62">
        <v>0</v>
      </c>
      <c r="Y1989" s="62">
        <v>0</v>
      </c>
      <c r="Z1989" s="62">
        <v>0</v>
      </c>
      <c r="AA1989" s="62">
        <v>0</v>
      </c>
      <c r="AB1989" s="62">
        <v>0</v>
      </c>
      <c r="AC1989" s="62">
        <v>0</v>
      </c>
      <c r="AD1989" s="62">
        <v>0</v>
      </c>
      <c r="AE1989" s="62">
        <v>0</v>
      </c>
      <c r="AF1989" s="62">
        <v>0</v>
      </c>
      <c r="AG1989" s="62">
        <v>0</v>
      </c>
      <c r="AH1989" s="146">
        <v>0</v>
      </c>
      <c r="AI1989" s="6"/>
    </row>
    <row r="1990" spans="1:35" x14ac:dyDescent="0.25">
      <c r="A1990" s="3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5"/>
      <c r="AH1990" s="5"/>
      <c r="AI1990" s="6"/>
    </row>
    <row r="1991" spans="1:35" ht="15.75" thickBot="1" x14ac:dyDescent="0.3">
      <c r="A1991" s="3"/>
      <c r="B1991" s="5"/>
      <c r="C1991" s="7">
        <v>32</v>
      </c>
      <c r="D1991" s="7">
        <v>33</v>
      </c>
      <c r="E1991" s="7">
        <v>34</v>
      </c>
      <c r="F1991" s="7">
        <v>35</v>
      </c>
      <c r="G1991" s="7">
        <v>36</v>
      </c>
      <c r="H1991" s="7">
        <v>37</v>
      </c>
      <c r="I1991" s="7">
        <v>38</v>
      </c>
      <c r="J1991" s="7">
        <v>39</v>
      </c>
      <c r="K1991" s="7">
        <v>40</v>
      </c>
      <c r="L1991" s="7">
        <v>41</v>
      </c>
      <c r="M1991" s="7">
        <v>42</v>
      </c>
      <c r="N1991" s="7">
        <v>43</v>
      </c>
      <c r="O1991" s="7">
        <v>44</v>
      </c>
      <c r="P1991" s="7">
        <v>45</v>
      </c>
      <c r="Q1991" s="7">
        <v>46</v>
      </c>
      <c r="R1991" s="7">
        <v>47</v>
      </c>
      <c r="S1991" s="7">
        <v>48</v>
      </c>
      <c r="T1991" s="7">
        <v>49</v>
      </c>
      <c r="U1991" s="7">
        <v>50</v>
      </c>
      <c r="V1991" s="7">
        <v>51</v>
      </c>
      <c r="W1991" s="7">
        <v>52</v>
      </c>
      <c r="X1991" s="7">
        <v>53</v>
      </c>
      <c r="Y1991" s="7">
        <v>54</v>
      </c>
      <c r="Z1991" s="7">
        <v>55</v>
      </c>
      <c r="AA1991" s="7">
        <v>56</v>
      </c>
      <c r="AB1991" s="7">
        <v>57</v>
      </c>
      <c r="AC1991" s="7">
        <v>58</v>
      </c>
      <c r="AD1991" s="7">
        <v>59</v>
      </c>
      <c r="AE1991" s="7">
        <v>60</v>
      </c>
      <c r="AF1991" s="7">
        <v>61</v>
      </c>
      <c r="AG1991" s="7">
        <v>62</v>
      </c>
      <c r="AH1991" s="7">
        <v>63</v>
      </c>
      <c r="AI1991" s="6"/>
    </row>
    <row r="1992" spans="1:35" ht="15.75" thickBot="1" x14ac:dyDescent="0.3">
      <c r="A1992" s="3"/>
      <c r="B1992" s="5"/>
      <c r="C1992" s="147" t="s">
        <v>13</v>
      </c>
      <c r="D1992" s="148" t="s">
        <v>14</v>
      </c>
      <c r="E1992" s="148" t="s">
        <v>15</v>
      </c>
      <c r="F1992" s="148" t="s">
        <v>16</v>
      </c>
      <c r="G1992" s="148" t="s">
        <v>17</v>
      </c>
      <c r="H1992" s="148" t="s">
        <v>18</v>
      </c>
      <c r="I1992" s="148" t="s">
        <v>19</v>
      </c>
      <c r="J1992" s="148" t="s">
        <v>20</v>
      </c>
      <c r="K1992" s="148" t="s">
        <v>21</v>
      </c>
      <c r="L1992" s="148" t="s">
        <v>22</v>
      </c>
      <c r="M1992" s="148" t="s">
        <v>23</v>
      </c>
      <c r="N1992" s="148" t="s">
        <v>24</v>
      </c>
      <c r="O1992" s="148" t="s">
        <v>25</v>
      </c>
      <c r="P1992" s="148" t="s">
        <v>26</v>
      </c>
      <c r="Q1992" s="148" t="s">
        <v>27</v>
      </c>
      <c r="R1992" s="342" t="s">
        <v>30</v>
      </c>
      <c r="S1992" s="343"/>
      <c r="T1992" s="343"/>
      <c r="U1992" s="343"/>
      <c r="V1992" s="343"/>
      <c r="W1992" s="343"/>
      <c r="X1992" s="343"/>
      <c r="Y1992" s="343"/>
      <c r="Z1992" s="343"/>
      <c r="AA1992" s="343"/>
      <c r="AB1992" s="343"/>
      <c r="AC1992" s="343"/>
      <c r="AD1992" s="343"/>
      <c r="AE1992" s="343"/>
      <c r="AF1992" s="344"/>
      <c r="AG1992" s="67" t="s">
        <v>28</v>
      </c>
      <c r="AH1992" s="149" t="s">
        <v>29</v>
      </c>
      <c r="AI1992" s="6"/>
    </row>
    <row r="1993" spans="1:35" ht="15.75" thickBot="1" x14ac:dyDescent="0.3">
      <c r="A1993" s="3"/>
      <c r="B1993" s="5"/>
      <c r="C1993" s="150">
        <v>0</v>
      </c>
      <c r="D1993" s="151">
        <v>0</v>
      </c>
      <c r="E1993" s="151">
        <v>0</v>
      </c>
      <c r="F1993" s="151">
        <v>0</v>
      </c>
      <c r="G1993" s="151">
        <v>0</v>
      </c>
      <c r="H1993" s="151">
        <v>0</v>
      </c>
      <c r="I1993" s="151">
        <v>0</v>
      </c>
      <c r="J1993" s="151">
        <v>0</v>
      </c>
      <c r="K1993" s="151">
        <v>0</v>
      </c>
      <c r="L1993" s="151">
        <v>0</v>
      </c>
      <c r="M1993" s="151">
        <v>0</v>
      </c>
      <c r="N1993" s="151">
        <v>0</v>
      </c>
      <c r="O1993" s="151">
        <v>1</v>
      </c>
      <c r="P1993" s="151">
        <v>0</v>
      </c>
      <c r="Q1993" s="151">
        <v>0</v>
      </c>
      <c r="R1993" s="151">
        <v>0</v>
      </c>
      <c r="S1993" s="151">
        <v>0</v>
      </c>
      <c r="T1993" s="151">
        <v>0</v>
      </c>
      <c r="U1993" s="151">
        <v>0</v>
      </c>
      <c r="V1993" s="151">
        <v>0</v>
      </c>
      <c r="W1993" s="151">
        <v>0</v>
      </c>
      <c r="X1993" s="151">
        <v>1</v>
      </c>
      <c r="Y1993" s="151">
        <v>1</v>
      </c>
      <c r="Z1993" s="151">
        <v>0</v>
      </c>
      <c r="AA1993" s="151">
        <v>1</v>
      </c>
      <c r="AB1993" s="151">
        <v>1</v>
      </c>
      <c r="AC1993" s="151">
        <v>1</v>
      </c>
      <c r="AD1993" s="151">
        <v>1</v>
      </c>
      <c r="AE1993" s="151">
        <v>0</v>
      </c>
      <c r="AF1993" s="151">
        <v>1</v>
      </c>
      <c r="AG1993" s="151">
        <v>0</v>
      </c>
      <c r="AH1993" s="152">
        <v>0</v>
      </c>
      <c r="AI1993" s="6"/>
    </row>
    <row r="1994" spans="1:35" x14ac:dyDescent="0.25">
      <c r="A1994" s="3"/>
      <c r="B1994" s="4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5"/>
      <c r="AH1994" s="5"/>
      <c r="AI1994" s="6"/>
    </row>
    <row r="1995" spans="1:35" x14ac:dyDescent="0.25">
      <c r="A1995" s="3"/>
      <c r="B1995" s="8" t="s">
        <v>43</v>
      </c>
      <c r="C1995" s="9"/>
      <c r="D1995" s="9"/>
      <c r="E1995" s="9"/>
      <c r="F1995" s="225" t="s">
        <v>44</v>
      </c>
      <c r="G1995" s="225"/>
      <c r="H1995" s="225"/>
      <c r="I1995" s="9"/>
      <c r="J1995" s="226" t="s">
        <v>45</v>
      </c>
      <c r="K1995" s="226"/>
      <c r="L1995" s="226"/>
      <c r="M1995" s="226"/>
      <c r="N1995" s="9"/>
      <c r="O1995" s="227" t="s">
        <v>46</v>
      </c>
      <c r="P1995" s="227"/>
      <c r="Q1995" s="227"/>
      <c r="R1995" s="227"/>
      <c r="S1995" s="9"/>
      <c r="T1995" s="1" t="s">
        <v>49</v>
      </c>
      <c r="U1995" s="10" t="s">
        <v>48</v>
      </c>
      <c r="V1995" s="5"/>
      <c r="W1995" s="9"/>
      <c r="X1995" s="9"/>
      <c r="Y1995" s="9"/>
      <c r="Z1995" s="9"/>
      <c r="AA1995" s="9"/>
      <c r="AB1995" s="9"/>
      <c r="AC1995" s="9"/>
      <c r="AD1995" s="9"/>
      <c r="AE1995" s="9"/>
      <c r="AF1995" s="9"/>
      <c r="AG1995" s="9"/>
      <c r="AH1995" s="9"/>
      <c r="AI1995" s="6"/>
    </row>
    <row r="1996" spans="1:35" ht="15" customHeight="1" x14ac:dyDescent="0.25">
      <c r="A1996" s="3"/>
      <c r="B1996" s="221" t="str">
        <f>"0x"&amp;DEC2HEX(Sheet3!$I$4,8)</f>
        <v>0x00400320</v>
      </c>
      <c r="C1996" s="221"/>
      <c r="D1996" s="221"/>
      <c r="E1996" s="12"/>
      <c r="F1996" s="319" t="str">
        <f>"0x"&amp;BIN2HEX(CONCATENATE(C1989,D1989,E1989,F1989,G1989,H1989,I1989,J1989),2)&amp;BIN2HEX(CONCATENATE(K1989,L1989,M1989,N1989,O1989,P1989,Q1989,R1989),2)&amp;BIN2HEX(CONCATENATE(S1989,T1989,U1989,V1989,W1989,X1989,Y1989,Z1989),2)&amp;BIN2HEX(CONCATENATE(AA1989,AB1989,AC1989,AD1989,AE1989,AF1989,AG1989,AH1989),2)</f>
        <v>0x00000000</v>
      </c>
      <c r="G1996" s="319"/>
      <c r="H1996" s="319"/>
      <c r="I1996" s="12"/>
      <c r="J1996" s="319" t="str">
        <f>"0b"&amp;C1993&amp;D1993&amp;E1993&amp;F1993&amp;G1993&amp;H1993&amp;I1993&amp;J1993&amp;K1993&amp;L1993&amp;M1993&amp;N1993&amp;O1993&amp;P1993&amp;Q1993</f>
        <v>0b000000000000100</v>
      </c>
      <c r="K1996" s="319"/>
      <c r="L1996" s="319"/>
      <c r="M1996" s="319"/>
      <c r="N1996" s="12"/>
      <c r="O1996" s="319" t="str">
        <f>"0b"&amp;DEC2BIN(((AF1993+AE1993*2+AD1993*4+AC1993*8+AB1993*16+AA1993*32+Z1993*64+Y1993*128+X1993*256+W1993*512+V1993*1024+U1993*2048+T1993*4096+S1993*2^13+R1993*2^14)/512),6)&amp;DEC2BIN(MOD((AF1993+AE1993*2+AD1993*4+AC1993*8+AB1993*16+AA1993*32+Z1993*64+Y1993*128+X1993*256+W1993*512+V1993*1024+U1993*2048+T1993*4096+S1993*2^13+R1993*2^14),512),9)</f>
        <v>0b000000110111101</v>
      </c>
      <c r="P1996" s="319"/>
      <c r="Q1996" s="319"/>
      <c r="R1996" s="319"/>
      <c r="S1996" s="12"/>
      <c r="T1996" s="224">
        <v>0</v>
      </c>
      <c r="U1996" s="224">
        <f>AH1993</f>
        <v>0</v>
      </c>
      <c r="V1996" s="5"/>
      <c r="W1996" s="14"/>
      <c r="X1996" s="14"/>
      <c r="Y1996" s="14"/>
      <c r="Z1996" s="14"/>
      <c r="AA1996" s="14"/>
      <c r="AB1996" s="14"/>
      <c r="AC1996" s="14"/>
      <c r="AD1996" s="14"/>
      <c r="AE1996" s="14"/>
      <c r="AF1996" s="14"/>
      <c r="AG1996" s="14"/>
      <c r="AH1996" s="14"/>
      <c r="AI1996" s="6"/>
    </row>
    <row r="1997" spans="1:35" x14ac:dyDescent="0.25">
      <c r="A1997" s="3"/>
      <c r="B1997" s="221"/>
      <c r="C1997" s="221"/>
      <c r="D1997" s="221"/>
      <c r="E1997" s="15"/>
      <c r="F1997" s="222"/>
      <c r="G1997" s="222"/>
      <c r="H1997" s="222"/>
      <c r="I1997" s="15"/>
      <c r="J1997" s="221"/>
      <c r="K1997" s="221"/>
      <c r="L1997" s="221"/>
      <c r="M1997" s="221"/>
      <c r="N1997" s="15"/>
      <c r="O1997" s="221"/>
      <c r="P1997" s="221"/>
      <c r="Q1997" s="221"/>
      <c r="R1997" s="221"/>
      <c r="S1997" s="15"/>
      <c r="T1997" s="224"/>
      <c r="U1997" s="15"/>
      <c r="V1997" s="5"/>
      <c r="W1997" s="16"/>
      <c r="X1997" s="16"/>
      <c r="Y1997" s="16"/>
      <c r="Z1997" s="16"/>
      <c r="AA1997" s="16"/>
      <c r="AB1997" s="16"/>
      <c r="AC1997" s="16"/>
      <c r="AD1997" s="16"/>
      <c r="AE1997" s="16"/>
      <c r="AF1997" s="16"/>
      <c r="AG1997" s="16"/>
      <c r="AH1997" s="16"/>
      <c r="AI1997" s="6"/>
    </row>
    <row r="1998" spans="1:35" x14ac:dyDescent="0.25">
      <c r="A1998" s="3"/>
      <c r="B1998" s="221"/>
      <c r="C1998" s="221"/>
      <c r="D1998" s="221"/>
      <c r="E1998" s="15"/>
      <c r="F1998" s="222"/>
      <c r="G1998" s="222"/>
      <c r="H1998" s="222"/>
      <c r="I1998" s="15"/>
      <c r="J1998" s="221"/>
      <c r="K1998" s="221"/>
      <c r="L1998" s="221"/>
      <c r="M1998" s="221"/>
      <c r="N1998" s="15"/>
      <c r="O1998" s="221"/>
      <c r="P1998" s="221"/>
      <c r="Q1998" s="221"/>
      <c r="R1998" s="221"/>
      <c r="S1998" s="15"/>
      <c r="T1998" s="224"/>
      <c r="U1998" s="15"/>
      <c r="V1998" s="5"/>
      <c r="W1998" s="16"/>
      <c r="X1998" s="16"/>
      <c r="Y1998" s="16"/>
      <c r="Z1998" s="16"/>
      <c r="AA1998" s="16"/>
      <c r="AB1998" s="16"/>
      <c r="AC1998" s="16"/>
      <c r="AD1998" s="16"/>
      <c r="AE1998" s="16"/>
      <c r="AF1998" s="16"/>
      <c r="AG1998" s="16"/>
      <c r="AH1998" s="16"/>
      <c r="AI1998" s="6"/>
    </row>
    <row r="1999" spans="1:35" x14ac:dyDescent="0.25">
      <c r="A1999" s="3"/>
      <c r="B1999" s="5"/>
      <c r="C1999" s="5"/>
      <c r="D1999" s="5"/>
      <c r="E1999" s="5"/>
      <c r="F1999" s="17"/>
      <c r="G1999" s="17"/>
      <c r="H1999" s="17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5"/>
      <c r="AH1999" s="5"/>
      <c r="AI1999" s="6"/>
    </row>
    <row r="2000" spans="1:35" x14ac:dyDescent="0.25">
      <c r="A2000" s="3"/>
      <c r="B2000" s="5" t="s">
        <v>47</v>
      </c>
      <c r="C2000" s="18"/>
      <c r="D2000" s="18"/>
      <c r="E2000" s="18"/>
      <c r="F2000" s="5"/>
      <c r="G2000" s="5"/>
      <c r="H2000" s="5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  <c r="AB2000" s="18"/>
      <c r="AC2000" s="18"/>
      <c r="AD2000" s="18"/>
      <c r="AE2000" s="18"/>
      <c r="AF2000" s="18"/>
      <c r="AG2000" s="18"/>
      <c r="AH2000" s="18"/>
      <c r="AI2000" s="6"/>
    </row>
    <row r="2001" spans="1:35" ht="15" customHeight="1" x14ac:dyDescent="0.25">
      <c r="A2001" s="3"/>
      <c r="B2001" s="221" t="str">
        <f>"0x"&amp;DEC2HEX(Sheet3!$I$4,8)</f>
        <v>0x00400320</v>
      </c>
      <c r="C2001" s="221"/>
      <c r="D2001" s="221"/>
      <c r="E2001" s="16"/>
      <c r="F2001" s="322" t="str">
        <f>F1996&amp;BIN2HEX(MID(J1996,3,8),2)&amp;BIN2HEX(RIGHT(J1996,7)&amp;MID(O1996,3,1),2)&amp;BIN2HEX(MID(O1996,4,8),2)&amp;BIN2HEX(RIGHT(O1996,6)&amp;T1996&amp;U1996,2)</f>
        <v>0x00000000000806F4</v>
      </c>
      <c r="G2001" s="322"/>
      <c r="H2001" s="322"/>
      <c r="I2001" s="322"/>
      <c r="J2001" s="5"/>
      <c r="K2001" s="5"/>
      <c r="L2001" s="5"/>
      <c r="M2001" s="5"/>
      <c r="N2001" s="5"/>
      <c r="O2001" s="5"/>
      <c r="P2001" s="16"/>
      <c r="Q2001" s="16"/>
      <c r="R2001" s="19"/>
      <c r="S2001" s="19"/>
      <c r="T2001" s="19"/>
      <c r="U2001" s="19"/>
      <c r="V2001" s="19"/>
      <c r="W2001" s="19"/>
      <c r="X2001" s="19"/>
      <c r="Y2001" s="19"/>
      <c r="Z2001" s="19"/>
      <c r="AA2001" s="19"/>
      <c r="AB2001" s="19"/>
      <c r="AC2001" s="19"/>
      <c r="AD2001" s="19"/>
      <c r="AE2001" s="19"/>
      <c r="AF2001" s="19"/>
      <c r="AG2001" s="5"/>
      <c r="AH2001" s="5"/>
      <c r="AI2001" s="6"/>
    </row>
    <row r="2002" spans="1:35" x14ac:dyDescent="0.25">
      <c r="A2002" s="3"/>
      <c r="B2002" s="221"/>
      <c r="C2002" s="221"/>
      <c r="D2002" s="221"/>
      <c r="E2002" s="5"/>
      <c r="F2002" s="223"/>
      <c r="G2002" s="223"/>
      <c r="H2002" s="223"/>
      <c r="I2002" s="223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5"/>
      <c r="AI2002" s="6"/>
    </row>
    <row r="2003" spans="1:35" x14ac:dyDescent="0.25">
      <c r="A2003" s="3"/>
      <c r="B2003" s="221"/>
      <c r="C2003" s="221"/>
      <c r="D2003" s="221"/>
      <c r="E2003" s="5"/>
      <c r="F2003" s="223"/>
      <c r="G2003" s="223"/>
      <c r="H2003" s="223"/>
      <c r="I2003" s="223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I2003" s="6"/>
    </row>
    <row r="2004" spans="1:35" x14ac:dyDescent="0.25">
      <c r="A2004" s="20"/>
      <c r="B2004" s="21"/>
      <c r="C2004" s="21"/>
      <c r="D2004" s="21"/>
      <c r="E2004" s="21"/>
      <c r="F2004" s="21"/>
      <c r="G2004" s="21"/>
      <c r="H2004" s="21"/>
      <c r="I2004" s="21"/>
      <c r="J2004" s="21"/>
      <c r="K2004" s="21"/>
      <c r="L2004" s="21"/>
      <c r="M2004" s="21"/>
      <c r="N2004" s="21"/>
      <c r="O2004" s="22"/>
      <c r="P2004" s="21"/>
      <c r="Q2004" s="21"/>
      <c r="R2004" s="21"/>
      <c r="S2004" s="21"/>
      <c r="T2004" s="21"/>
      <c r="U2004" s="21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  <c r="AF2004" s="21"/>
      <c r="AG2004" s="21"/>
      <c r="AH2004" s="21"/>
      <c r="AI2004" s="23"/>
    </row>
    <row r="2005" spans="1:35" x14ac:dyDescent="0.25">
      <c r="A2005" s="24"/>
      <c r="B2005" s="28"/>
      <c r="C2005" s="25"/>
      <c r="D2005" s="25"/>
      <c r="E2005" s="25"/>
      <c r="F2005" s="25"/>
      <c r="G2005" s="25"/>
      <c r="H2005" s="25"/>
      <c r="I2005" s="25"/>
      <c r="J2005" s="25"/>
      <c r="K2005" s="25"/>
      <c r="L2005" s="25"/>
      <c r="M2005" s="25"/>
      <c r="N2005" s="25"/>
      <c r="O2005" s="25"/>
      <c r="P2005" s="25"/>
      <c r="Q2005" s="25"/>
      <c r="R2005" s="25"/>
      <c r="S2005" s="25"/>
      <c r="T2005" s="25"/>
      <c r="U2005" s="25"/>
      <c r="V2005" s="25"/>
      <c r="W2005" s="25"/>
      <c r="X2005" s="25"/>
      <c r="Y2005" s="25"/>
      <c r="Z2005" s="25"/>
      <c r="AA2005" s="25"/>
      <c r="AB2005" s="25"/>
      <c r="AC2005" s="25"/>
      <c r="AD2005" s="25"/>
      <c r="AE2005" s="25"/>
      <c r="AF2005" s="25"/>
      <c r="AG2005" s="25"/>
      <c r="AH2005" s="25"/>
      <c r="AI2005" s="26"/>
    </row>
    <row r="2006" spans="1:35" x14ac:dyDescent="0.25">
      <c r="A2006" s="3"/>
      <c r="B2006" s="4" t="s">
        <v>357</v>
      </c>
      <c r="C2006" s="5"/>
      <c r="D2006" s="5"/>
      <c r="E2006" s="5"/>
      <c r="F2006" s="5"/>
      <c r="G2006" s="5"/>
      <c r="H2006" s="5"/>
      <c r="I2006" s="5" t="str">
        <f>"0x"&amp;BIN2HEX(CONCATENATE(C2011,D2011,E2011,F2011,G2011,H2011,I2011,J2011),2)&amp;BIN2HEX(CONCATENATE(K2011,L2011,M2011,N2011,O2011,P2011,Q2011,R2011),2)&amp;BIN2HEX(CONCATENATE(S2011,T2011,U2011,V2011,W2011,X2011,Y2011,Z2011),2)&amp;BIN2HEX(CONCATENATE(AA2011,AB2011,AC2011,AD2011,AE2011,AF2011,AG2011,AH2011),2)&amp;"_"&amp;BIN2HEX(CONCATENATE(C2015,D2015,E2015,F2015,G2015,H2015,I2015,J2015),2)&amp;BIN2HEX(CONCATENATE(K2015,L2015,M2015,N2015,O2015,P2015,Q2015,R2015),2)&amp;BIN2HEX(CONCATENATE(S2015,T2015,U2015,V2015,W2015,X2015,Y2015,Z2015),2)&amp;BIN2HEX(CONCATENATE(AA2015,AB2015,AC2015,AD2015,AE2015,AF2015,AG2015,AH2015),2)</f>
        <v>0x00000000_000806F8</v>
      </c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  <c r="AE2006" s="5"/>
      <c r="AF2006" s="5"/>
      <c r="AG2006" s="5"/>
      <c r="AH2006" s="5"/>
      <c r="AI2006" s="6"/>
    </row>
    <row r="2007" spans="1:35" ht="15.75" thickBot="1" x14ac:dyDescent="0.3">
      <c r="A2007" s="3"/>
      <c r="B2007" s="5"/>
      <c r="C2007" s="7">
        <v>0</v>
      </c>
      <c r="D2007" s="7">
        <v>1</v>
      </c>
      <c r="E2007" s="7">
        <v>2</v>
      </c>
      <c r="F2007" s="7">
        <v>3</v>
      </c>
      <c r="G2007" s="7">
        <v>4</v>
      </c>
      <c r="H2007" s="7">
        <v>5</v>
      </c>
      <c r="I2007" s="7">
        <v>6</v>
      </c>
      <c r="J2007" s="7">
        <v>7</v>
      </c>
      <c r="K2007" s="7">
        <v>8</v>
      </c>
      <c r="L2007" s="7">
        <v>9</v>
      </c>
      <c r="M2007" s="7">
        <v>10</v>
      </c>
      <c r="N2007" s="7">
        <v>11</v>
      </c>
      <c r="O2007" s="7">
        <v>12</v>
      </c>
      <c r="P2007" s="7">
        <v>13</v>
      </c>
      <c r="Q2007" s="7">
        <v>14</v>
      </c>
      <c r="R2007" s="7">
        <v>15</v>
      </c>
      <c r="S2007" s="7">
        <v>16</v>
      </c>
      <c r="T2007" s="7">
        <v>17</v>
      </c>
      <c r="U2007" s="7">
        <v>18</v>
      </c>
      <c r="V2007" s="7">
        <v>19</v>
      </c>
      <c r="W2007" s="7">
        <v>20</v>
      </c>
      <c r="X2007" s="7">
        <v>21</v>
      </c>
      <c r="Y2007" s="7">
        <v>22</v>
      </c>
      <c r="Z2007" s="7">
        <v>23</v>
      </c>
      <c r="AA2007" s="7">
        <v>24</v>
      </c>
      <c r="AB2007" s="7">
        <v>25</v>
      </c>
      <c r="AC2007" s="7">
        <v>26</v>
      </c>
      <c r="AD2007" s="7">
        <v>27</v>
      </c>
      <c r="AE2007" s="7">
        <v>28</v>
      </c>
      <c r="AF2007" s="7">
        <v>29</v>
      </c>
      <c r="AG2007" s="7">
        <v>30</v>
      </c>
      <c r="AH2007" s="7">
        <v>31</v>
      </c>
      <c r="AI2007" s="6"/>
    </row>
    <row r="2008" spans="1:35" x14ac:dyDescent="0.25">
      <c r="A2008" s="3"/>
      <c r="B2008" s="5" t="s">
        <v>31</v>
      </c>
      <c r="C2008" s="328" t="s">
        <v>161</v>
      </c>
      <c r="D2008" s="330" t="s">
        <v>63</v>
      </c>
      <c r="E2008" s="331"/>
      <c r="F2008" s="331"/>
      <c r="G2008" s="331"/>
      <c r="H2008" s="331"/>
      <c r="I2008" s="331"/>
      <c r="J2008" s="332"/>
      <c r="K2008" s="336">
        <v>0</v>
      </c>
      <c r="L2008" s="337"/>
      <c r="M2008" s="337"/>
      <c r="N2008" s="337"/>
      <c r="O2008" s="337"/>
      <c r="P2008" s="337"/>
      <c r="Q2008" s="337"/>
      <c r="R2008" s="337"/>
      <c r="S2008" s="337"/>
      <c r="T2008" s="337"/>
      <c r="U2008" s="337"/>
      <c r="V2008" s="337"/>
      <c r="W2008" s="337"/>
      <c r="X2008" s="337"/>
      <c r="Y2008" s="337"/>
      <c r="Z2008" s="337"/>
      <c r="AA2008" s="337"/>
      <c r="AB2008" s="337"/>
      <c r="AC2008" s="337"/>
      <c r="AD2008" s="337"/>
      <c r="AE2008" s="337"/>
      <c r="AF2008" s="337"/>
      <c r="AG2008" s="337"/>
      <c r="AH2008" s="338"/>
      <c r="AI2008" s="6"/>
    </row>
    <row r="2009" spans="1:35" x14ac:dyDescent="0.25">
      <c r="A2009" s="3"/>
      <c r="B2009" s="5" t="s">
        <v>32</v>
      </c>
      <c r="C2009" s="329"/>
      <c r="D2009" s="333"/>
      <c r="E2009" s="334"/>
      <c r="F2009" s="334"/>
      <c r="G2009" s="334"/>
      <c r="H2009" s="334"/>
      <c r="I2009" s="334"/>
      <c r="J2009" s="335"/>
      <c r="K2009" s="339"/>
      <c r="L2009" s="340"/>
      <c r="M2009" s="340"/>
      <c r="N2009" s="340"/>
      <c r="O2009" s="340"/>
      <c r="P2009" s="340"/>
      <c r="Q2009" s="340"/>
      <c r="R2009" s="340"/>
      <c r="S2009" s="340"/>
      <c r="T2009" s="340"/>
      <c r="U2009" s="340"/>
      <c r="V2009" s="340"/>
      <c r="W2009" s="340"/>
      <c r="X2009" s="340"/>
      <c r="Y2009" s="340"/>
      <c r="Z2009" s="340"/>
      <c r="AA2009" s="340"/>
      <c r="AB2009" s="340"/>
      <c r="AC2009" s="340"/>
      <c r="AD2009" s="340"/>
      <c r="AE2009" s="340"/>
      <c r="AF2009" s="340"/>
      <c r="AG2009" s="340"/>
      <c r="AH2009" s="341"/>
      <c r="AI2009" s="6"/>
    </row>
    <row r="2010" spans="1:35" x14ac:dyDescent="0.25">
      <c r="A2010" s="3"/>
      <c r="B2010" s="5" t="s">
        <v>11</v>
      </c>
      <c r="C2010" s="56">
        <v>0</v>
      </c>
      <c r="D2010" s="57">
        <v>0</v>
      </c>
      <c r="E2010" s="57">
        <v>0</v>
      </c>
      <c r="F2010" s="57">
        <v>0</v>
      </c>
      <c r="G2010" s="57">
        <v>0</v>
      </c>
      <c r="H2010" s="57">
        <v>0</v>
      </c>
      <c r="I2010" s="57">
        <v>0</v>
      </c>
      <c r="J2010" s="57">
        <v>0</v>
      </c>
      <c r="K2010" s="57">
        <v>0</v>
      </c>
      <c r="L2010" s="57">
        <v>0</v>
      </c>
      <c r="M2010" s="57">
        <v>0</v>
      </c>
      <c r="N2010" s="57">
        <v>0</v>
      </c>
      <c r="O2010" s="57">
        <v>0</v>
      </c>
      <c r="P2010" s="57">
        <v>0</v>
      </c>
      <c r="Q2010" s="57">
        <v>0</v>
      </c>
      <c r="R2010" s="57">
        <v>0</v>
      </c>
      <c r="S2010" s="57">
        <v>0</v>
      </c>
      <c r="T2010" s="57">
        <v>0</v>
      </c>
      <c r="U2010" s="57">
        <v>0</v>
      </c>
      <c r="V2010" s="57">
        <v>0</v>
      </c>
      <c r="W2010" s="57">
        <v>0</v>
      </c>
      <c r="X2010" s="57">
        <v>0</v>
      </c>
      <c r="Y2010" s="57">
        <v>0</v>
      </c>
      <c r="Z2010" s="57">
        <v>0</v>
      </c>
      <c r="AA2010" s="57">
        <v>0</v>
      </c>
      <c r="AB2010" s="57">
        <v>0</v>
      </c>
      <c r="AC2010" s="57">
        <v>0</v>
      </c>
      <c r="AD2010" s="57">
        <v>0</v>
      </c>
      <c r="AE2010" s="57">
        <v>0</v>
      </c>
      <c r="AF2010" s="57">
        <v>0</v>
      </c>
      <c r="AG2010" s="57">
        <v>0</v>
      </c>
      <c r="AH2010" s="58">
        <v>0</v>
      </c>
      <c r="AI2010" s="6"/>
    </row>
    <row r="2011" spans="1:35" ht="15.75" thickBot="1" x14ac:dyDescent="0.3">
      <c r="A2011" s="3"/>
      <c r="B2011" s="5" t="s">
        <v>12</v>
      </c>
      <c r="C2011" s="145">
        <v>0</v>
      </c>
      <c r="D2011" s="88">
        <v>0</v>
      </c>
      <c r="E2011" s="88">
        <v>0</v>
      </c>
      <c r="F2011" s="88">
        <v>0</v>
      </c>
      <c r="G2011" s="88">
        <v>0</v>
      </c>
      <c r="H2011" s="88">
        <v>0</v>
      </c>
      <c r="I2011" s="88">
        <v>0</v>
      </c>
      <c r="J2011" s="88">
        <v>0</v>
      </c>
      <c r="K2011" s="62">
        <v>0</v>
      </c>
      <c r="L2011" s="62">
        <v>0</v>
      </c>
      <c r="M2011" s="62">
        <v>0</v>
      </c>
      <c r="N2011" s="62">
        <v>0</v>
      </c>
      <c r="O2011" s="62">
        <v>0</v>
      </c>
      <c r="P2011" s="62">
        <v>0</v>
      </c>
      <c r="Q2011" s="62">
        <v>0</v>
      </c>
      <c r="R2011" s="62">
        <v>0</v>
      </c>
      <c r="S2011" s="62">
        <v>0</v>
      </c>
      <c r="T2011" s="62">
        <v>0</v>
      </c>
      <c r="U2011" s="62">
        <v>0</v>
      </c>
      <c r="V2011" s="62">
        <v>0</v>
      </c>
      <c r="W2011" s="62">
        <v>0</v>
      </c>
      <c r="X2011" s="62">
        <v>0</v>
      </c>
      <c r="Y2011" s="62">
        <v>0</v>
      </c>
      <c r="Z2011" s="62">
        <v>0</v>
      </c>
      <c r="AA2011" s="62">
        <v>0</v>
      </c>
      <c r="AB2011" s="62">
        <v>0</v>
      </c>
      <c r="AC2011" s="62">
        <v>0</v>
      </c>
      <c r="AD2011" s="62">
        <v>0</v>
      </c>
      <c r="AE2011" s="62">
        <v>0</v>
      </c>
      <c r="AF2011" s="62">
        <v>0</v>
      </c>
      <c r="AG2011" s="62">
        <v>0</v>
      </c>
      <c r="AH2011" s="146">
        <v>0</v>
      </c>
      <c r="AI2011" s="6"/>
    </row>
    <row r="2012" spans="1:35" x14ac:dyDescent="0.25">
      <c r="A2012" s="3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  <c r="AE2012" s="5"/>
      <c r="AF2012" s="5"/>
      <c r="AG2012" s="5"/>
      <c r="AH2012" s="5"/>
      <c r="AI2012" s="6"/>
    </row>
    <row r="2013" spans="1:35" ht="15.75" thickBot="1" x14ac:dyDescent="0.3">
      <c r="A2013" s="3"/>
      <c r="B2013" s="5"/>
      <c r="C2013" s="7">
        <v>32</v>
      </c>
      <c r="D2013" s="7">
        <v>33</v>
      </c>
      <c r="E2013" s="7">
        <v>34</v>
      </c>
      <c r="F2013" s="7">
        <v>35</v>
      </c>
      <c r="G2013" s="7">
        <v>36</v>
      </c>
      <c r="H2013" s="7">
        <v>37</v>
      </c>
      <c r="I2013" s="7">
        <v>38</v>
      </c>
      <c r="J2013" s="7">
        <v>39</v>
      </c>
      <c r="K2013" s="7">
        <v>40</v>
      </c>
      <c r="L2013" s="7">
        <v>41</v>
      </c>
      <c r="M2013" s="7">
        <v>42</v>
      </c>
      <c r="N2013" s="7">
        <v>43</v>
      </c>
      <c r="O2013" s="7">
        <v>44</v>
      </c>
      <c r="P2013" s="7">
        <v>45</v>
      </c>
      <c r="Q2013" s="7">
        <v>46</v>
      </c>
      <c r="R2013" s="7">
        <v>47</v>
      </c>
      <c r="S2013" s="7">
        <v>48</v>
      </c>
      <c r="T2013" s="7">
        <v>49</v>
      </c>
      <c r="U2013" s="7">
        <v>50</v>
      </c>
      <c r="V2013" s="7">
        <v>51</v>
      </c>
      <c r="W2013" s="7">
        <v>52</v>
      </c>
      <c r="X2013" s="7">
        <v>53</v>
      </c>
      <c r="Y2013" s="7">
        <v>54</v>
      </c>
      <c r="Z2013" s="7">
        <v>55</v>
      </c>
      <c r="AA2013" s="7">
        <v>56</v>
      </c>
      <c r="AB2013" s="7">
        <v>57</v>
      </c>
      <c r="AC2013" s="7">
        <v>58</v>
      </c>
      <c r="AD2013" s="7">
        <v>59</v>
      </c>
      <c r="AE2013" s="7">
        <v>60</v>
      </c>
      <c r="AF2013" s="7">
        <v>61</v>
      </c>
      <c r="AG2013" s="7">
        <v>62</v>
      </c>
      <c r="AH2013" s="7">
        <v>63</v>
      </c>
      <c r="AI2013" s="6"/>
    </row>
    <row r="2014" spans="1:35" ht="15.75" thickBot="1" x14ac:dyDescent="0.3">
      <c r="A2014" s="3"/>
      <c r="B2014" s="5"/>
      <c r="C2014" s="147" t="s">
        <v>13</v>
      </c>
      <c r="D2014" s="148" t="s">
        <v>14</v>
      </c>
      <c r="E2014" s="148" t="s">
        <v>15</v>
      </c>
      <c r="F2014" s="148" t="s">
        <v>16</v>
      </c>
      <c r="G2014" s="148" t="s">
        <v>17</v>
      </c>
      <c r="H2014" s="148" t="s">
        <v>18</v>
      </c>
      <c r="I2014" s="148" t="s">
        <v>19</v>
      </c>
      <c r="J2014" s="148" t="s">
        <v>20</v>
      </c>
      <c r="K2014" s="148" t="s">
        <v>21</v>
      </c>
      <c r="L2014" s="148" t="s">
        <v>22</v>
      </c>
      <c r="M2014" s="148" t="s">
        <v>23</v>
      </c>
      <c r="N2014" s="148" t="s">
        <v>24</v>
      </c>
      <c r="O2014" s="148" t="s">
        <v>25</v>
      </c>
      <c r="P2014" s="148" t="s">
        <v>26</v>
      </c>
      <c r="Q2014" s="148" t="s">
        <v>27</v>
      </c>
      <c r="R2014" s="342" t="s">
        <v>30</v>
      </c>
      <c r="S2014" s="343"/>
      <c r="T2014" s="343"/>
      <c r="U2014" s="343"/>
      <c r="V2014" s="343"/>
      <c r="W2014" s="343"/>
      <c r="X2014" s="343"/>
      <c r="Y2014" s="343"/>
      <c r="Z2014" s="343"/>
      <c r="AA2014" s="343"/>
      <c r="AB2014" s="343"/>
      <c r="AC2014" s="343"/>
      <c r="AD2014" s="343"/>
      <c r="AE2014" s="343"/>
      <c r="AF2014" s="344"/>
      <c r="AG2014" s="67" t="s">
        <v>28</v>
      </c>
      <c r="AH2014" s="149" t="s">
        <v>29</v>
      </c>
      <c r="AI2014" s="6"/>
    </row>
    <row r="2015" spans="1:35" ht="15.75" thickBot="1" x14ac:dyDescent="0.3">
      <c r="A2015" s="3"/>
      <c r="B2015" s="5"/>
      <c r="C2015" s="150">
        <v>0</v>
      </c>
      <c r="D2015" s="151">
        <v>0</v>
      </c>
      <c r="E2015" s="151">
        <v>0</v>
      </c>
      <c r="F2015" s="151">
        <v>0</v>
      </c>
      <c r="G2015" s="151">
        <v>0</v>
      </c>
      <c r="H2015" s="151">
        <v>0</v>
      </c>
      <c r="I2015" s="151">
        <v>0</v>
      </c>
      <c r="J2015" s="151">
        <v>0</v>
      </c>
      <c r="K2015" s="151">
        <v>0</v>
      </c>
      <c r="L2015" s="151">
        <v>0</v>
      </c>
      <c r="M2015" s="151">
        <v>0</v>
      </c>
      <c r="N2015" s="151">
        <v>0</v>
      </c>
      <c r="O2015" s="151">
        <v>1</v>
      </c>
      <c r="P2015" s="151">
        <v>0</v>
      </c>
      <c r="Q2015" s="151">
        <v>0</v>
      </c>
      <c r="R2015" s="151">
        <v>0</v>
      </c>
      <c r="S2015" s="151">
        <v>0</v>
      </c>
      <c r="T2015" s="151">
        <v>0</v>
      </c>
      <c r="U2015" s="151">
        <v>0</v>
      </c>
      <c r="V2015" s="151">
        <v>0</v>
      </c>
      <c r="W2015" s="151">
        <v>0</v>
      </c>
      <c r="X2015" s="151">
        <v>1</v>
      </c>
      <c r="Y2015" s="151">
        <v>1</v>
      </c>
      <c r="Z2015" s="151">
        <v>0</v>
      </c>
      <c r="AA2015" s="151">
        <v>1</v>
      </c>
      <c r="AB2015" s="151">
        <v>1</v>
      </c>
      <c r="AC2015" s="151">
        <v>1</v>
      </c>
      <c r="AD2015" s="151">
        <v>1</v>
      </c>
      <c r="AE2015" s="151">
        <v>1</v>
      </c>
      <c r="AF2015" s="151">
        <v>0</v>
      </c>
      <c r="AG2015" s="151">
        <v>0</v>
      </c>
      <c r="AH2015" s="152">
        <v>0</v>
      </c>
      <c r="AI2015" s="6"/>
    </row>
    <row r="2016" spans="1:35" x14ac:dyDescent="0.25">
      <c r="A2016" s="3"/>
      <c r="B2016" s="4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  <c r="AE2016" s="5"/>
      <c r="AF2016" s="5"/>
      <c r="AG2016" s="5"/>
      <c r="AH2016" s="5"/>
      <c r="AI2016" s="6"/>
    </row>
    <row r="2017" spans="1:35" x14ac:dyDescent="0.25">
      <c r="A2017" s="3"/>
      <c r="B2017" s="8" t="s">
        <v>43</v>
      </c>
      <c r="C2017" s="9"/>
      <c r="D2017" s="9"/>
      <c r="E2017" s="9"/>
      <c r="F2017" s="225" t="s">
        <v>44</v>
      </c>
      <c r="G2017" s="225"/>
      <c r="H2017" s="225"/>
      <c r="I2017" s="9"/>
      <c r="J2017" s="226" t="s">
        <v>45</v>
      </c>
      <c r="K2017" s="226"/>
      <c r="L2017" s="226"/>
      <c r="M2017" s="226"/>
      <c r="N2017" s="9"/>
      <c r="O2017" s="227" t="s">
        <v>46</v>
      </c>
      <c r="P2017" s="227"/>
      <c r="Q2017" s="227"/>
      <c r="R2017" s="227"/>
      <c r="S2017" s="9"/>
      <c r="T2017" s="1" t="s">
        <v>49</v>
      </c>
      <c r="U2017" s="10" t="s">
        <v>48</v>
      </c>
      <c r="V2017" s="5"/>
      <c r="W2017" s="9"/>
      <c r="X2017" s="9"/>
      <c r="Y2017" s="9"/>
      <c r="Z2017" s="9"/>
      <c r="AA2017" s="9"/>
      <c r="AB2017" s="9"/>
      <c r="AC2017" s="9"/>
      <c r="AD2017" s="9"/>
      <c r="AE2017" s="9"/>
      <c r="AF2017" s="9"/>
      <c r="AG2017" s="9"/>
      <c r="AH2017" s="9"/>
      <c r="AI2017" s="6"/>
    </row>
    <row r="2018" spans="1:35" x14ac:dyDescent="0.25">
      <c r="A2018" s="3"/>
      <c r="B2018" s="221" t="str">
        <f>"0x"&amp;DEC2HEX(Sheet3!$I$4,8)</f>
        <v>0x00400320</v>
      </c>
      <c r="C2018" s="221"/>
      <c r="D2018" s="221"/>
      <c r="E2018" s="12"/>
      <c r="F2018" s="319" t="str">
        <f>"0x"&amp;BIN2HEX(CONCATENATE(C2011,D2011,E2011,F2011,G2011,H2011,I2011,J2011),2)&amp;BIN2HEX(CONCATENATE(K2011,L2011,M2011,N2011,O2011,P2011,Q2011,R2011),2)&amp;BIN2HEX(CONCATENATE(S2011,T2011,U2011,V2011,W2011,X2011,Y2011,Z2011),2)&amp;BIN2HEX(CONCATENATE(AA2011,AB2011,AC2011,AD2011,AE2011,AF2011,AG2011,AH2011),2)</f>
        <v>0x00000000</v>
      </c>
      <c r="G2018" s="319"/>
      <c r="H2018" s="319"/>
      <c r="I2018" s="12"/>
      <c r="J2018" s="319" t="str">
        <f>"0b"&amp;C2015&amp;D2015&amp;E2015&amp;F2015&amp;G2015&amp;H2015&amp;I2015&amp;J2015&amp;K2015&amp;L2015&amp;M2015&amp;N2015&amp;O2015&amp;P2015&amp;Q2015</f>
        <v>0b000000000000100</v>
      </c>
      <c r="K2018" s="319"/>
      <c r="L2018" s="319"/>
      <c r="M2018" s="319"/>
      <c r="N2018" s="12"/>
      <c r="O2018" s="319" t="str">
        <f>"0b"&amp;DEC2BIN(((AF2015+AE2015*2+AD2015*4+AC2015*8+AB2015*16+AA2015*32+Z2015*64+Y2015*128+X2015*256+W2015*512+V2015*1024+U2015*2048+T2015*4096+S2015*2^13+R2015*2^14)/512),6)&amp;DEC2BIN(MOD((AF2015+AE2015*2+AD2015*4+AC2015*8+AB2015*16+AA2015*32+Z2015*64+Y2015*128+X2015*256+W2015*512+V2015*1024+U2015*2048+T2015*4096+S2015*2^13+R2015*2^14),512),9)</f>
        <v>0b000000110111110</v>
      </c>
      <c r="P2018" s="319"/>
      <c r="Q2018" s="319"/>
      <c r="R2018" s="319"/>
      <c r="S2018" s="12"/>
      <c r="T2018" s="224">
        <v>0</v>
      </c>
      <c r="U2018" s="224">
        <f>AH2015</f>
        <v>0</v>
      </c>
      <c r="V2018" s="5"/>
      <c r="W2018" s="14"/>
      <c r="X2018" s="14"/>
      <c r="Y2018" s="14"/>
      <c r="Z2018" s="14"/>
      <c r="AA2018" s="14"/>
      <c r="AB2018" s="14"/>
      <c r="AC2018" s="14"/>
      <c r="AD2018" s="14"/>
      <c r="AE2018" s="14"/>
      <c r="AF2018" s="14"/>
      <c r="AG2018" s="14"/>
      <c r="AH2018" s="14"/>
      <c r="AI2018" s="6"/>
    </row>
    <row r="2019" spans="1:35" x14ac:dyDescent="0.25">
      <c r="A2019" s="3"/>
      <c r="B2019" s="221"/>
      <c r="C2019" s="221"/>
      <c r="D2019" s="221"/>
      <c r="E2019" s="15"/>
      <c r="F2019" s="222"/>
      <c r="G2019" s="222"/>
      <c r="H2019" s="222"/>
      <c r="I2019" s="15"/>
      <c r="J2019" s="221"/>
      <c r="K2019" s="221"/>
      <c r="L2019" s="221"/>
      <c r="M2019" s="221"/>
      <c r="N2019" s="15"/>
      <c r="O2019" s="221"/>
      <c r="P2019" s="221"/>
      <c r="Q2019" s="221"/>
      <c r="R2019" s="221"/>
      <c r="S2019" s="15"/>
      <c r="T2019" s="224"/>
      <c r="U2019" s="15"/>
      <c r="V2019" s="5"/>
      <c r="W2019" s="16"/>
      <c r="X2019" s="16"/>
      <c r="Y2019" s="16"/>
      <c r="Z2019" s="16"/>
      <c r="AA2019" s="16"/>
      <c r="AB2019" s="16"/>
      <c r="AC2019" s="16"/>
      <c r="AD2019" s="16"/>
      <c r="AE2019" s="16"/>
      <c r="AF2019" s="16"/>
      <c r="AG2019" s="16"/>
      <c r="AH2019" s="16"/>
      <c r="AI2019" s="6"/>
    </row>
    <row r="2020" spans="1:35" x14ac:dyDescent="0.25">
      <c r="A2020" s="3"/>
      <c r="B2020" s="221"/>
      <c r="C2020" s="221"/>
      <c r="D2020" s="221"/>
      <c r="E2020" s="15"/>
      <c r="F2020" s="222"/>
      <c r="G2020" s="222"/>
      <c r="H2020" s="222"/>
      <c r="I2020" s="15"/>
      <c r="J2020" s="221"/>
      <c r="K2020" s="221"/>
      <c r="L2020" s="221"/>
      <c r="M2020" s="221"/>
      <c r="N2020" s="15"/>
      <c r="O2020" s="221"/>
      <c r="P2020" s="221"/>
      <c r="Q2020" s="221"/>
      <c r="R2020" s="221"/>
      <c r="S2020" s="15"/>
      <c r="T2020" s="224"/>
      <c r="U2020" s="15"/>
      <c r="V2020" s="5"/>
      <c r="W2020" s="16"/>
      <c r="X2020" s="16"/>
      <c r="Y2020" s="16"/>
      <c r="Z2020" s="16"/>
      <c r="AA2020" s="16"/>
      <c r="AB2020" s="16"/>
      <c r="AC2020" s="16"/>
      <c r="AD2020" s="16"/>
      <c r="AE2020" s="16"/>
      <c r="AF2020" s="16"/>
      <c r="AG2020" s="16"/>
      <c r="AH2020" s="16"/>
      <c r="AI2020" s="6"/>
    </row>
    <row r="2021" spans="1:35" x14ac:dyDescent="0.25">
      <c r="A2021" s="3"/>
      <c r="B2021" s="5"/>
      <c r="C2021" s="5"/>
      <c r="D2021" s="5"/>
      <c r="E2021" s="5"/>
      <c r="F2021" s="17"/>
      <c r="G2021" s="17"/>
      <c r="H2021" s="17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I2021" s="6"/>
    </row>
    <row r="2022" spans="1:35" x14ac:dyDescent="0.25">
      <c r="A2022" s="3"/>
      <c r="B2022" s="5" t="s">
        <v>47</v>
      </c>
      <c r="C2022" s="18"/>
      <c r="D2022" s="18"/>
      <c r="E2022" s="18"/>
      <c r="F2022" s="5"/>
      <c r="G2022" s="5"/>
      <c r="H2022" s="5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  <c r="AB2022" s="18"/>
      <c r="AC2022" s="18"/>
      <c r="AD2022" s="18"/>
      <c r="AE2022" s="18"/>
      <c r="AF2022" s="18"/>
      <c r="AG2022" s="18"/>
      <c r="AH2022" s="18"/>
      <c r="AI2022" s="6"/>
    </row>
    <row r="2023" spans="1:35" x14ac:dyDescent="0.25">
      <c r="A2023" s="3"/>
      <c r="B2023" s="221" t="str">
        <f>"0x"&amp;DEC2HEX(Sheet3!$I$4,8)</f>
        <v>0x00400320</v>
      </c>
      <c r="C2023" s="221"/>
      <c r="D2023" s="221"/>
      <c r="E2023" s="16"/>
      <c r="F2023" s="322" t="str">
        <f>F2018&amp;BIN2HEX(MID(J2018,3,8),2)&amp;BIN2HEX(RIGHT(J2018,7)&amp;MID(O2018,3,1),2)&amp;BIN2HEX(MID(O2018,4,8),2)&amp;BIN2HEX(RIGHT(O2018,6)&amp;T2018&amp;U2018,2)</f>
        <v>0x00000000000806F8</v>
      </c>
      <c r="G2023" s="322"/>
      <c r="H2023" s="322"/>
      <c r="I2023" s="322"/>
      <c r="J2023" s="5"/>
      <c r="K2023" s="5"/>
      <c r="L2023" s="5"/>
      <c r="M2023" s="5"/>
      <c r="N2023" s="5"/>
      <c r="O2023" s="5"/>
      <c r="P2023" s="16"/>
      <c r="Q2023" s="16"/>
      <c r="R2023" s="19"/>
      <c r="S2023" s="19"/>
      <c r="T2023" s="19"/>
      <c r="U2023" s="19"/>
      <c r="V2023" s="19"/>
      <c r="W2023" s="19"/>
      <c r="X2023" s="19"/>
      <c r="Y2023" s="19"/>
      <c r="Z2023" s="19"/>
      <c r="AA2023" s="19"/>
      <c r="AB2023" s="19"/>
      <c r="AC2023" s="19"/>
      <c r="AD2023" s="19"/>
      <c r="AE2023" s="19"/>
      <c r="AF2023" s="19"/>
      <c r="AG2023" s="5"/>
      <c r="AH2023" s="5"/>
      <c r="AI2023" s="6"/>
    </row>
    <row r="2024" spans="1:35" x14ac:dyDescent="0.25">
      <c r="A2024" s="3"/>
      <c r="B2024" s="221"/>
      <c r="C2024" s="221"/>
      <c r="D2024" s="221"/>
      <c r="E2024" s="5"/>
      <c r="F2024" s="223"/>
      <c r="G2024" s="223"/>
      <c r="H2024" s="223"/>
      <c r="I2024" s="223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5"/>
      <c r="AI2024" s="6"/>
    </row>
    <row r="2025" spans="1:35" x14ac:dyDescent="0.25">
      <c r="A2025" s="3"/>
      <c r="B2025" s="221"/>
      <c r="C2025" s="221"/>
      <c r="D2025" s="221"/>
      <c r="E2025" s="5"/>
      <c r="F2025" s="223"/>
      <c r="G2025" s="223"/>
      <c r="H2025" s="223"/>
      <c r="I2025" s="223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  <c r="AE2025" s="5"/>
      <c r="AF2025" s="5"/>
      <c r="AG2025" s="5"/>
      <c r="AH2025" s="5"/>
      <c r="AI2025" s="6"/>
    </row>
    <row r="2026" spans="1:35" x14ac:dyDescent="0.25">
      <c r="A2026" s="20"/>
      <c r="B2026" s="21"/>
      <c r="C2026" s="21"/>
      <c r="D2026" s="21"/>
      <c r="E2026" s="21"/>
      <c r="F2026" s="21"/>
      <c r="G2026" s="21"/>
      <c r="H2026" s="21"/>
      <c r="I2026" s="21"/>
      <c r="J2026" s="21"/>
      <c r="K2026" s="21"/>
      <c r="L2026" s="21"/>
      <c r="M2026" s="21"/>
      <c r="N2026" s="21"/>
      <c r="O2026" s="22"/>
      <c r="P2026" s="21"/>
      <c r="Q2026" s="21"/>
      <c r="R2026" s="21"/>
      <c r="S2026" s="21"/>
      <c r="T2026" s="21"/>
      <c r="U2026" s="21"/>
      <c r="V2026" s="21"/>
      <c r="W2026" s="21"/>
      <c r="X2026" s="21"/>
      <c r="Y2026" s="21"/>
      <c r="Z2026" s="21"/>
      <c r="AA2026" s="21"/>
      <c r="AB2026" s="21"/>
      <c r="AC2026" s="21"/>
      <c r="AD2026" s="21"/>
      <c r="AE2026" s="21"/>
      <c r="AF2026" s="21"/>
      <c r="AG2026" s="21"/>
      <c r="AH2026" s="21"/>
      <c r="AI2026" s="23"/>
    </row>
    <row r="2027" spans="1:35" x14ac:dyDescent="0.25">
      <c r="A2027" s="24"/>
      <c r="B2027" s="28"/>
      <c r="C2027" s="25"/>
      <c r="D2027" s="25"/>
      <c r="E2027" s="25"/>
      <c r="F2027" s="25"/>
      <c r="G2027" s="25"/>
      <c r="H2027" s="25"/>
      <c r="I2027" s="25"/>
      <c r="J2027" s="25"/>
      <c r="K2027" s="25"/>
      <c r="L2027" s="25"/>
      <c r="M2027" s="25"/>
      <c r="N2027" s="25"/>
      <c r="O2027" s="25"/>
      <c r="P2027" s="25"/>
      <c r="Q2027" s="25"/>
      <c r="R2027" s="25"/>
      <c r="S2027" s="25"/>
      <c r="T2027" s="25"/>
      <c r="U2027" s="25"/>
      <c r="V2027" s="25"/>
      <c r="W2027" s="25"/>
      <c r="X2027" s="25"/>
      <c r="Y2027" s="25"/>
      <c r="Z2027" s="25"/>
      <c r="AA2027" s="25"/>
      <c r="AB2027" s="25"/>
      <c r="AC2027" s="25"/>
      <c r="AD2027" s="25"/>
      <c r="AE2027" s="25"/>
      <c r="AF2027" s="25"/>
      <c r="AG2027" s="25"/>
      <c r="AH2027" s="25"/>
      <c r="AI2027" s="26"/>
    </row>
    <row r="2028" spans="1:35" x14ac:dyDescent="0.25">
      <c r="A2028" s="3"/>
      <c r="B2028" s="4" t="s">
        <v>358</v>
      </c>
      <c r="C2028" s="5"/>
      <c r="D2028" s="5"/>
      <c r="E2028" s="5"/>
      <c r="F2028" s="5"/>
      <c r="G2028" s="5"/>
      <c r="H2028" s="5"/>
      <c r="I2028" s="5" t="str">
        <f>"0x"&amp;BIN2HEX(CONCATENATE(C2033,D2033,E2033,F2033,G2033,H2033,I2033,J2033),2)&amp;BIN2HEX(CONCATENATE(K2033,L2033,M2033,N2033,O2033,P2033,Q2033,R2033),2)&amp;BIN2HEX(CONCATENATE(S2033,T2033,U2033,V2033,W2033,X2033,Y2033,Z2033),2)&amp;BIN2HEX(CONCATENATE(AA2033,AB2033,AC2033,AD2033,AE2033,AF2033,AG2033,AH2033),2)&amp;"_"&amp;BIN2HEX(CONCATENATE(C2037,D2037,E2037,F2037,G2037,H2037,I2037,J2037),2)&amp;BIN2HEX(CONCATENATE(K2037,L2037,M2037,N2037,O2037,P2037,Q2037,R2037),2)&amp;BIN2HEX(CONCATENATE(S2037,T2037,U2037,V2037,W2037,X2037,Y2037,Z2037),2)&amp;BIN2HEX(CONCATENATE(AA2037,AB2037,AC2037,AD2037,AE2037,AF2037,AG2037,AH2037),2)</f>
        <v>0x00000000_000806FC</v>
      </c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  <c r="AE2028" s="5"/>
      <c r="AF2028" s="5"/>
      <c r="AG2028" s="5"/>
      <c r="AH2028" s="5"/>
      <c r="AI2028" s="6"/>
    </row>
    <row r="2029" spans="1:35" ht="15.75" thickBot="1" x14ac:dyDescent="0.3">
      <c r="A2029" s="3"/>
      <c r="B2029" s="5"/>
      <c r="C2029" s="7">
        <v>0</v>
      </c>
      <c r="D2029" s="7">
        <v>1</v>
      </c>
      <c r="E2029" s="7">
        <v>2</v>
      </c>
      <c r="F2029" s="7">
        <v>3</v>
      </c>
      <c r="G2029" s="7">
        <v>4</v>
      </c>
      <c r="H2029" s="7">
        <v>5</v>
      </c>
      <c r="I2029" s="7">
        <v>6</v>
      </c>
      <c r="J2029" s="7">
        <v>7</v>
      </c>
      <c r="K2029" s="7">
        <v>8</v>
      </c>
      <c r="L2029" s="7">
        <v>9</v>
      </c>
      <c r="M2029" s="7">
        <v>10</v>
      </c>
      <c r="N2029" s="7">
        <v>11</v>
      </c>
      <c r="O2029" s="7">
        <v>12</v>
      </c>
      <c r="P2029" s="7">
        <v>13</v>
      </c>
      <c r="Q2029" s="7">
        <v>14</v>
      </c>
      <c r="R2029" s="7">
        <v>15</v>
      </c>
      <c r="S2029" s="7">
        <v>16</v>
      </c>
      <c r="T2029" s="7">
        <v>17</v>
      </c>
      <c r="U2029" s="7">
        <v>18</v>
      </c>
      <c r="V2029" s="7">
        <v>19</v>
      </c>
      <c r="W2029" s="7">
        <v>20</v>
      </c>
      <c r="X2029" s="7">
        <v>21</v>
      </c>
      <c r="Y2029" s="7">
        <v>22</v>
      </c>
      <c r="Z2029" s="7">
        <v>23</v>
      </c>
      <c r="AA2029" s="7">
        <v>24</v>
      </c>
      <c r="AB2029" s="7">
        <v>25</v>
      </c>
      <c r="AC2029" s="7">
        <v>26</v>
      </c>
      <c r="AD2029" s="7">
        <v>27</v>
      </c>
      <c r="AE2029" s="7">
        <v>28</v>
      </c>
      <c r="AF2029" s="7">
        <v>29</v>
      </c>
      <c r="AG2029" s="7">
        <v>30</v>
      </c>
      <c r="AH2029" s="7">
        <v>31</v>
      </c>
      <c r="AI2029" s="6"/>
    </row>
    <row r="2030" spans="1:35" x14ac:dyDescent="0.25">
      <c r="A2030" s="3"/>
      <c r="B2030" s="5" t="s">
        <v>31</v>
      </c>
      <c r="C2030" s="328" t="s">
        <v>161</v>
      </c>
      <c r="D2030" s="330" t="s">
        <v>63</v>
      </c>
      <c r="E2030" s="331"/>
      <c r="F2030" s="331"/>
      <c r="G2030" s="331"/>
      <c r="H2030" s="331"/>
      <c r="I2030" s="331"/>
      <c r="J2030" s="332"/>
      <c r="K2030" s="336">
        <v>0</v>
      </c>
      <c r="L2030" s="337"/>
      <c r="M2030" s="337"/>
      <c r="N2030" s="337"/>
      <c r="O2030" s="337"/>
      <c r="P2030" s="337"/>
      <c r="Q2030" s="337"/>
      <c r="R2030" s="337"/>
      <c r="S2030" s="337"/>
      <c r="T2030" s="337"/>
      <c r="U2030" s="337"/>
      <c r="V2030" s="337"/>
      <c r="W2030" s="337"/>
      <c r="X2030" s="337"/>
      <c r="Y2030" s="337"/>
      <c r="Z2030" s="337"/>
      <c r="AA2030" s="337"/>
      <c r="AB2030" s="337"/>
      <c r="AC2030" s="337"/>
      <c r="AD2030" s="337"/>
      <c r="AE2030" s="337"/>
      <c r="AF2030" s="337"/>
      <c r="AG2030" s="337"/>
      <c r="AH2030" s="338"/>
      <c r="AI2030" s="6"/>
    </row>
    <row r="2031" spans="1:35" x14ac:dyDescent="0.25">
      <c r="A2031" s="3"/>
      <c r="B2031" s="5" t="s">
        <v>32</v>
      </c>
      <c r="C2031" s="329"/>
      <c r="D2031" s="333"/>
      <c r="E2031" s="334"/>
      <c r="F2031" s="334"/>
      <c r="G2031" s="334"/>
      <c r="H2031" s="334"/>
      <c r="I2031" s="334"/>
      <c r="J2031" s="335"/>
      <c r="K2031" s="339"/>
      <c r="L2031" s="340"/>
      <c r="M2031" s="340"/>
      <c r="N2031" s="340"/>
      <c r="O2031" s="340"/>
      <c r="P2031" s="340"/>
      <c r="Q2031" s="340"/>
      <c r="R2031" s="340"/>
      <c r="S2031" s="340"/>
      <c r="T2031" s="340"/>
      <c r="U2031" s="340"/>
      <c r="V2031" s="340"/>
      <c r="W2031" s="340"/>
      <c r="X2031" s="340"/>
      <c r="Y2031" s="340"/>
      <c r="Z2031" s="340"/>
      <c r="AA2031" s="340"/>
      <c r="AB2031" s="340"/>
      <c r="AC2031" s="340"/>
      <c r="AD2031" s="340"/>
      <c r="AE2031" s="340"/>
      <c r="AF2031" s="340"/>
      <c r="AG2031" s="340"/>
      <c r="AH2031" s="341"/>
      <c r="AI2031" s="6"/>
    </row>
    <row r="2032" spans="1:35" x14ac:dyDescent="0.25">
      <c r="A2032" s="3"/>
      <c r="B2032" s="5" t="s">
        <v>11</v>
      </c>
      <c r="C2032" s="56">
        <v>0</v>
      </c>
      <c r="D2032" s="57">
        <v>0</v>
      </c>
      <c r="E2032" s="57">
        <v>0</v>
      </c>
      <c r="F2032" s="57">
        <v>0</v>
      </c>
      <c r="G2032" s="57">
        <v>0</v>
      </c>
      <c r="H2032" s="57">
        <v>0</v>
      </c>
      <c r="I2032" s="57">
        <v>0</v>
      </c>
      <c r="J2032" s="57">
        <v>0</v>
      </c>
      <c r="K2032" s="57">
        <v>0</v>
      </c>
      <c r="L2032" s="57">
        <v>0</v>
      </c>
      <c r="M2032" s="57">
        <v>0</v>
      </c>
      <c r="N2032" s="57">
        <v>0</v>
      </c>
      <c r="O2032" s="57">
        <v>0</v>
      </c>
      <c r="P2032" s="57">
        <v>0</v>
      </c>
      <c r="Q2032" s="57">
        <v>0</v>
      </c>
      <c r="R2032" s="57">
        <v>0</v>
      </c>
      <c r="S2032" s="57">
        <v>0</v>
      </c>
      <c r="T2032" s="57">
        <v>0</v>
      </c>
      <c r="U2032" s="57">
        <v>0</v>
      </c>
      <c r="V2032" s="57">
        <v>0</v>
      </c>
      <c r="W2032" s="57">
        <v>0</v>
      </c>
      <c r="X2032" s="57">
        <v>0</v>
      </c>
      <c r="Y2032" s="57">
        <v>0</v>
      </c>
      <c r="Z2032" s="57">
        <v>0</v>
      </c>
      <c r="AA2032" s="57">
        <v>0</v>
      </c>
      <c r="AB2032" s="57">
        <v>0</v>
      </c>
      <c r="AC2032" s="57">
        <v>0</v>
      </c>
      <c r="AD2032" s="57">
        <v>0</v>
      </c>
      <c r="AE2032" s="57">
        <v>0</v>
      </c>
      <c r="AF2032" s="57">
        <v>0</v>
      </c>
      <c r="AG2032" s="57">
        <v>0</v>
      </c>
      <c r="AH2032" s="58">
        <v>0</v>
      </c>
      <c r="AI2032" s="6"/>
    </row>
    <row r="2033" spans="1:35" ht="15.75" thickBot="1" x14ac:dyDescent="0.3">
      <c r="A2033" s="3"/>
      <c r="B2033" s="5" t="s">
        <v>12</v>
      </c>
      <c r="C2033" s="145">
        <v>0</v>
      </c>
      <c r="D2033" s="88">
        <v>0</v>
      </c>
      <c r="E2033" s="88">
        <v>0</v>
      </c>
      <c r="F2033" s="88">
        <v>0</v>
      </c>
      <c r="G2033" s="88">
        <v>0</v>
      </c>
      <c r="H2033" s="88">
        <v>0</v>
      </c>
      <c r="I2033" s="88">
        <v>0</v>
      </c>
      <c r="J2033" s="88">
        <v>0</v>
      </c>
      <c r="K2033" s="62">
        <v>0</v>
      </c>
      <c r="L2033" s="62">
        <v>0</v>
      </c>
      <c r="M2033" s="62">
        <v>0</v>
      </c>
      <c r="N2033" s="62">
        <v>0</v>
      </c>
      <c r="O2033" s="62">
        <v>0</v>
      </c>
      <c r="P2033" s="62">
        <v>0</v>
      </c>
      <c r="Q2033" s="62">
        <v>0</v>
      </c>
      <c r="R2033" s="62">
        <v>0</v>
      </c>
      <c r="S2033" s="62">
        <v>0</v>
      </c>
      <c r="T2033" s="62">
        <v>0</v>
      </c>
      <c r="U2033" s="62">
        <v>0</v>
      </c>
      <c r="V2033" s="62">
        <v>0</v>
      </c>
      <c r="W2033" s="62">
        <v>0</v>
      </c>
      <c r="X2033" s="62">
        <v>0</v>
      </c>
      <c r="Y2033" s="62">
        <v>0</v>
      </c>
      <c r="Z2033" s="62">
        <v>0</v>
      </c>
      <c r="AA2033" s="62">
        <v>0</v>
      </c>
      <c r="AB2033" s="62">
        <v>0</v>
      </c>
      <c r="AC2033" s="62">
        <v>0</v>
      </c>
      <c r="AD2033" s="62">
        <v>0</v>
      </c>
      <c r="AE2033" s="62">
        <v>0</v>
      </c>
      <c r="AF2033" s="62">
        <v>0</v>
      </c>
      <c r="AG2033" s="62">
        <v>0</v>
      </c>
      <c r="AH2033" s="146">
        <v>0</v>
      </c>
      <c r="AI2033" s="6"/>
    </row>
    <row r="2034" spans="1:35" x14ac:dyDescent="0.25">
      <c r="A2034" s="3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  <c r="AE2034" s="5"/>
      <c r="AF2034" s="5"/>
      <c r="AG2034" s="5"/>
      <c r="AH2034" s="5"/>
      <c r="AI2034" s="6"/>
    </row>
    <row r="2035" spans="1:35" ht="15.75" thickBot="1" x14ac:dyDescent="0.3">
      <c r="A2035" s="3"/>
      <c r="B2035" s="5"/>
      <c r="C2035" s="7">
        <v>32</v>
      </c>
      <c r="D2035" s="7">
        <v>33</v>
      </c>
      <c r="E2035" s="7">
        <v>34</v>
      </c>
      <c r="F2035" s="7">
        <v>35</v>
      </c>
      <c r="G2035" s="7">
        <v>36</v>
      </c>
      <c r="H2035" s="7">
        <v>37</v>
      </c>
      <c r="I2035" s="7">
        <v>38</v>
      </c>
      <c r="J2035" s="7">
        <v>39</v>
      </c>
      <c r="K2035" s="7">
        <v>40</v>
      </c>
      <c r="L2035" s="7">
        <v>41</v>
      </c>
      <c r="M2035" s="7">
        <v>42</v>
      </c>
      <c r="N2035" s="7">
        <v>43</v>
      </c>
      <c r="O2035" s="7">
        <v>44</v>
      </c>
      <c r="P2035" s="7">
        <v>45</v>
      </c>
      <c r="Q2035" s="7">
        <v>46</v>
      </c>
      <c r="R2035" s="7">
        <v>47</v>
      </c>
      <c r="S2035" s="7">
        <v>48</v>
      </c>
      <c r="T2035" s="7">
        <v>49</v>
      </c>
      <c r="U2035" s="7">
        <v>50</v>
      </c>
      <c r="V2035" s="7">
        <v>51</v>
      </c>
      <c r="W2035" s="7">
        <v>52</v>
      </c>
      <c r="X2035" s="7">
        <v>53</v>
      </c>
      <c r="Y2035" s="7">
        <v>54</v>
      </c>
      <c r="Z2035" s="7">
        <v>55</v>
      </c>
      <c r="AA2035" s="7">
        <v>56</v>
      </c>
      <c r="AB2035" s="7">
        <v>57</v>
      </c>
      <c r="AC2035" s="7">
        <v>58</v>
      </c>
      <c r="AD2035" s="7">
        <v>59</v>
      </c>
      <c r="AE2035" s="7">
        <v>60</v>
      </c>
      <c r="AF2035" s="7">
        <v>61</v>
      </c>
      <c r="AG2035" s="7">
        <v>62</v>
      </c>
      <c r="AH2035" s="7">
        <v>63</v>
      </c>
      <c r="AI2035" s="6"/>
    </row>
    <row r="2036" spans="1:35" ht="15.75" thickBot="1" x14ac:dyDescent="0.3">
      <c r="A2036" s="3"/>
      <c r="B2036" s="5"/>
      <c r="C2036" s="147" t="s">
        <v>13</v>
      </c>
      <c r="D2036" s="148" t="s">
        <v>14</v>
      </c>
      <c r="E2036" s="148" t="s">
        <v>15</v>
      </c>
      <c r="F2036" s="148" t="s">
        <v>16</v>
      </c>
      <c r="G2036" s="148" t="s">
        <v>17</v>
      </c>
      <c r="H2036" s="148" t="s">
        <v>18</v>
      </c>
      <c r="I2036" s="148" t="s">
        <v>19</v>
      </c>
      <c r="J2036" s="148" t="s">
        <v>20</v>
      </c>
      <c r="K2036" s="148" t="s">
        <v>21</v>
      </c>
      <c r="L2036" s="148" t="s">
        <v>22</v>
      </c>
      <c r="M2036" s="148" t="s">
        <v>23</v>
      </c>
      <c r="N2036" s="148" t="s">
        <v>24</v>
      </c>
      <c r="O2036" s="148" t="s">
        <v>25</v>
      </c>
      <c r="P2036" s="148" t="s">
        <v>26</v>
      </c>
      <c r="Q2036" s="148" t="s">
        <v>27</v>
      </c>
      <c r="R2036" s="342" t="s">
        <v>30</v>
      </c>
      <c r="S2036" s="343"/>
      <c r="T2036" s="343"/>
      <c r="U2036" s="343"/>
      <c r="V2036" s="343"/>
      <c r="W2036" s="343"/>
      <c r="X2036" s="343"/>
      <c r="Y2036" s="343"/>
      <c r="Z2036" s="343"/>
      <c r="AA2036" s="343"/>
      <c r="AB2036" s="343"/>
      <c r="AC2036" s="343"/>
      <c r="AD2036" s="343"/>
      <c r="AE2036" s="343"/>
      <c r="AF2036" s="344"/>
      <c r="AG2036" s="67" t="s">
        <v>28</v>
      </c>
      <c r="AH2036" s="149" t="s">
        <v>29</v>
      </c>
      <c r="AI2036" s="6"/>
    </row>
    <row r="2037" spans="1:35" ht="15.75" thickBot="1" x14ac:dyDescent="0.3">
      <c r="A2037" s="3"/>
      <c r="B2037" s="5"/>
      <c r="C2037" s="150">
        <v>0</v>
      </c>
      <c r="D2037" s="151">
        <v>0</v>
      </c>
      <c r="E2037" s="151">
        <v>0</v>
      </c>
      <c r="F2037" s="151">
        <v>0</v>
      </c>
      <c r="G2037" s="151">
        <v>0</v>
      </c>
      <c r="H2037" s="151">
        <v>0</v>
      </c>
      <c r="I2037" s="151">
        <v>0</v>
      </c>
      <c r="J2037" s="151">
        <v>0</v>
      </c>
      <c r="K2037" s="151">
        <v>0</v>
      </c>
      <c r="L2037" s="151">
        <v>0</v>
      </c>
      <c r="M2037" s="151">
        <v>0</v>
      </c>
      <c r="N2037" s="151">
        <v>0</v>
      </c>
      <c r="O2037" s="151">
        <v>1</v>
      </c>
      <c r="P2037" s="151">
        <v>0</v>
      </c>
      <c r="Q2037" s="151">
        <v>0</v>
      </c>
      <c r="R2037" s="151">
        <v>0</v>
      </c>
      <c r="S2037" s="151">
        <v>0</v>
      </c>
      <c r="T2037" s="151">
        <v>0</v>
      </c>
      <c r="U2037" s="151">
        <v>0</v>
      </c>
      <c r="V2037" s="151">
        <v>0</v>
      </c>
      <c r="W2037" s="151">
        <v>0</v>
      </c>
      <c r="X2037" s="151">
        <v>1</v>
      </c>
      <c r="Y2037" s="151">
        <v>1</v>
      </c>
      <c r="Z2037" s="151">
        <v>0</v>
      </c>
      <c r="AA2037" s="151">
        <v>1</v>
      </c>
      <c r="AB2037" s="151">
        <v>1</v>
      </c>
      <c r="AC2037" s="151">
        <v>1</v>
      </c>
      <c r="AD2037" s="151">
        <v>1</v>
      </c>
      <c r="AE2037" s="151">
        <v>1</v>
      </c>
      <c r="AF2037" s="151">
        <v>1</v>
      </c>
      <c r="AG2037" s="151">
        <v>0</v>
      </c>
      <c r="AH2037" s="152">
        <v>0</v>
      </c>
      <c r="AI2037" s="6"/>
    </row>
    <row r="2038" spans="1:35" x14ac:dyDescent="0.25">
      <c r="A2038" s="3"/>
      <c r="B2038" s="4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  <c r="AE2038" s="5"/>
      <c r="AF2038" s="5"/>
      <c r="AG2038" s="5"/>
      <c r="AH2038" s="5"/>
      <c r="AI2038" s="6"/>
    </row>
    <row r="2039" spans="1:35" x14ac:dyDescent="0.25">
      <c r="A2039" s="3"/>
      <c r="B2039" s="8" t="s">
        <v>43</v>
      </c>
      <c r="C2039" s="9"/>
      <c r="D2039" s="9"/>
      <c r="E2039" s="9"/>
      <c r="F2039" s="225" t="s">
        <v>44</v>
      </c>
      <c r="G2039" s="225"/>
      <c r="H2039" s="225"/>
      <c r="I2039" s="9"/>
      <c r="J2039" s="226" t="s">
        <v>45</v>
      </c>
      <c r="K2039" s="226"/>
      <c r="L2039" s="226"/>
      <c r="M2039" s="226"/>
      <c r="N2039" s="9"/>
      <c r="O2039" s="227" t="s">
        <v>46</v>
      </c>
      <c r="P2039" s="227"/>
      <c r="Q2039" s="227"/>
      <c r="R2039" s="227"/>
      <c r="S2039" s="9"/>
      <c r="T2039" s="1" t="s">
        <v>49</v>
      </c>
      <c r="U2039" s="10" t="s">
        <v>48</v>
      </c>
      <c r="V2039" s="5"/>
      <c r="W2039" s="9"/>
      <c r="X2039" s="9"/>
      <c r="Y2039" s="9"/>
      <c r="Z2039" s="9"/>
      <c r="AA2039" s="9"/>
      <c r="AB2039" s="9"/>
      <c r="AC2039" s="9"/>
      <c r="AD2039" s="9"/>
      <c r="AE2039" s="9"/>
      <c r="AF2039" s="9"/>
      <c r="AG2039" s="9"/>
      <c r="AH2039" s="9"/>
      <c r="AI2039" s="6"/>
    </row>
    <row r="2040" spans="1:35" x14ac:dyDescent="0.25">
      <c r="A2040" s="3"/>
      <c r="B2040" s="221" t="str">
        <f>"0x"&amp;DEC2HEX(Sheet3!$I$4,8)</f>
        <v>0x00400320</v>
      </c>
      <c r="C2040" s="221"/>
      <c r="D2040" s="221"/>
      <c r="E2040" s="12"/>
      <c r="F2040" s="319" t="str">
        <f>"0x"&amp;BIN2HEX(CONCATENATE(C2033,D2033,E2033,F2033,G2033,H2033,I2033,J2033),2)&amp;BIN2HEX(CONCATENATE(K2033,L2033,M2033,N2033,O2033,P2033,Q2033,R2033),2)&amp;BIN2HEX(CONCATENATE(S2033,T2033,U2033,V2033,W2033,X2033,Y2033,Z2033),2)&amp;BIN2HEX(CONCATENATE(AA2033,AB2033,AC2033,AD2033,AE2033,AF2033,AG2033,AH2033),2)</f>
        <v>0x00000000</v>
      </c>
      <c r="G2040" s="319"/>
      <c r="H2040" s="319"/>
      <c r="I2040" s="12"/>
      <c r="J2040" s="319" t="str">
        <f>"0b"&amp;C2037&amp;D2037&amp;E2037&amp;F2037&amp;G2037&amp;H2037&amp;I2037&amp;J2037&amp;K2037&amp;L2037&amp;M2037&amp;N2037&amp;O2037&amp;P2037&amp;Q2037</f>
        <v>0b000000000000100</v>
      </c>
      <c r="K2040" s="319"/>
      <c r="L2040" s="319"/>
      <c r="M2040" s="319"/>
      <c r="N2040" s="12"/>
      <c r="O2040" s="319" t="str">
        <f>"0b"&amp;DEC2BIN(((AF2037+AE2037*2+AD2037*4+AC2037*8+AB2037*16+AA2037*32+Z2037*64+Y2037*128+X2037*256+W2037*512+V2037*1024+U2037*2048+T2037*4096+S2037*2^13+R2037*2^14)/512),6)&amp;DEC2BIN(MOD((AF2037+AE2037*2+AD2037*4+AC2037*8+AB2037*16+AA2037*32+Z2037*64+Y2037*128+X2037*256+W2037*512+V2037*1024+U2037*2048+T2037*4096+S2037*2^13+R2037*2^14),512),9)</f>
        <v>0b000000110111111</v>
      </c>
      <c r="P2040" s="319"/>
      <c r="Q2040" s="319"/>
      <c r="R2040" s="319"/>
      <c r="S2040" s="12"/>
      <c r="T2040" s="224">
        <v>0</v>
      </c>
      <c r="U2040" s="224">
        <f>AH2037</f>
        <v>0</v>
      </c>
      <c r="V2040" s="5"/>
      <c r="W2040" s="14"/>
      <c r="X2040" s="14"/>
      <c r="Y2040" s="14"/>
      <c r="Z2040" s="14"/>
      <c r="AA2040" s="14"/>
      <c r="AB2040" s="14"/>
      <c r="AC2040" s="14"/>
      <c r="AD2040" s="14"/>
      <c r="AE2040" s="14"/>
      <c r="AF2040" s="14"/>
      <c r="AG2040" s="14"/>
      <c r="AH2040" s="14"/>
      <c r="AI2040" s="6"/>
    </row>
    <row r="2041" spans="1:35" x14ac:dyDescent="0.25">
      <c r="A2041" s="3"/>
      <c r="B2041" s="221"/>
      <c r="C2041" s="221"/>
      <c r="D2041" s="221"/>
      <c r="E2041" s="15"/>
      <c r="F2041" s="222"/>
      <c r="G2041" s="222"/>
      <c r="H2041" s="222"/>
      <c r="I2041" s="15"/>
      <c r="J2041" s="221"/>
      <c r="K2041" s="221"/>
      <c r="L2041" s="221"/>
      <c r="M2041" s="221"/>
      <c r="N2041" s="15"/>
      <c r="O2041" s="221"/>
      <c r="P2041" s="221"/>
      <c r="Q2041" s="221"/>
      <c r="R2041" s="221"/>
      <c r="S2041" s="15"/>
      <c r="T2041" s="224"/>
      <c r="U2041" s="15"/>
      <c r="V2041" s="5"/>
      <c r="W2041" s="16"/>
      <c r="X2041" s="16"/>
      <c r="Y2041" s="16"/>
      <c r="Z2041" s="16"/>
      <c r="AA2041" s="16"/>
      <c r="AB2041" s="16"/>
      <c r="AC2041" s="16"/>
      <c r="AD2041" s="16"/>
      <c r="AE2041" s="16"/>
      <c r="AF2041" s="16"/>
      <c r="AG2041" s="16"/>
      <c r="AH2041" s="16"/>
      <c r="AI2041" s="6"/>
    </row>
    <row r="2042" spans="1:35" x14ac:dyDescent="0.25">
      <c r="A2042" s="3"/>
      <c r="B2042" s="221"/>
      <c r="C2042" s="221"/>
      <c r="D2042" s="221"/>
      <c r="E2042" s="15"/>
      <c r="F2042" s="222"/>
      <c r="G2042" s="222"/>
      <c r="H2042" s="222"/>
      <c r="I2042" s="15"/>
      <c r="J2042" s="221"/>
      <c r="K2042" s="221"/>
      <c r="L2042" s="221"/>
      <c r="M2042" s="221"/>
      <c r="N2042" s="15"/>
      <c r="O2042" s="221"/>
      <c r="P2042" s="221"/>
      <c r="Q2042" s="221"/>
      <c r="R2042" s="221"/>
      <c r="S2042" s="15"/>
      <c r="T2042" s="224"/>
      <c r="U2042" s="15"/>
      <c r="V2042" s="5"/>
      <c r="W2042" s="16"/>
      <c r="X2042" s="16"/>
      <c r="Y2042" s="16"/>
      <c r="Z2042" s="16"/>
      <c r="AA2042" s="16"/>
      <c r="AB2042" s="16"/>
      <c r="AC2042" s="16"/>
      <c r="AD2042" s="16"/>
      <c r="AE2042" s="16"/>
      <c r="AF2042" s="16"/>
      <c r="AG2042" s="16"/>
      <c r="AH2042" s="16"/>
      <c r="AI2042" s="6"/>
    </row>
    <row r="2043" spans="1:35" x14ac:dyDescent="0.25">
      <c r="A2043" s="3"/>
      <c r="B2043" s="5"/>
      <c r="C2043" s="5"/>
      <c r="D2043" s="5"/>
      <c r="E2043" s="5"/>
      <c r="F2043" s="17"/>
      <c r="G2043" s="17"/>
      <c r="H2043" s="17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  <c r="AE2043" s="5"/>
      <c r="AF2043" s="5"/>
      <c r="AG2043" s="5"/>
      <c r="AH2043" s="5"/>
      <c r="AI2043" s="6"/>
    </row>
    <row r="2044" spans="1:35" x14ac:dyDescent="0.25">
      <c r="A2044" s="3"/>
      <c r="B2044" s="5" t="s">
        <v>47</v>
      </c>
      <c r="C2044" s="18"/>
      <c r="D2044" s="18"/>
      <c r="E2044" s="18"/>
      <c r="F2044" s="5"/>
      <c r="G2044" s="5"/>
      <c r="H2044" s="5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  <c r="AB2044" s="18"/>
      <c r="AC2044" s="18"/>
      <c r="AD2044" s="18"/>
      <c r="AE2044" s="18"/>
      <c r="AF2044" s="18"/>
      <c r="AG2044" s="18"/>
      <c r="AH2044" s="18"/>
      <c r="AI2044" s="6"/>
    </row>
    <row r="2045" spans="1:35" x14ac:dyDescent="0.25">
      <c r="A2045" s="3"/>
      <c r="B2045" s="221" t="str">
        <f>"0x"&amp;DEC2HEX(Sheet3!$I$4,8)</f>
        <v>0x00400320</v>
      </c>
      <c r="C2045" s="221"/>
      <c r="D2045" s="221"/>
      <c r="E2045" s="16"/>
      <c r="F2045" s="322" t="str">
        <f>F2040&amp;BIN2HEX(MID(J2040,3,8),2)&amp;BIN2HEX(RIGHT(J2040,7)&amp;MID(O2040,3,1),2)&amp;BIN2HEX(MID(O2040,4,8),2)&amp;BIN2HEX(RIGHT(O2040,6)&amp;T2040&amp;U2040,2)</f>
        <v>0x00000000000806FC</v>
      </c>
      <c r="G2045" s="322"/>
      <c r="H2045" s="322"/>
      <c r="I2045" s="322"/>
      <c r="J2045" s="5"/>
      <c r="K2045" s="5"/>
      <c r="L2045" s="5"/>
      <c r="M2045" s="5"/>
      <c r="N2045" s="5"/>
      <c r="O2045" s="5"/>
      <c r="P2045" s="16"/>
      <c r="Q2045" s="16"/>
      <c r="R2045" s="19"/>
      <c r="S2045" s="19"/>
      <c r="T2045" s="19"/>
      <c r="U2045" s="19"/>
      <c r="V2045" s="19"/>
      <c r="W2045" s="19"/>
      <c r="X2045" s="19"/>
      <c r="Y2045" s="19"/>
      <c r="Z2045" s="19"/>
      <c r="AA2045" s="19"/>
      <c r="AB2045" s="19"/>
      <c r="AC2045" s="19"/>
      <c r="AD2045" s="19"/>
      <c r="AE2045" s="19"/>
      <c r="AF2045" s="19"/>
      <c r="AG2045" s="5"/>
      <c r="AH2045" s="5"/>
      <c r="AI2045" s="6"/>
    </row>
    <row r="2046" spans="1:35" x14ac:dyDescent="0.25">
      <c r="A2046" s="3"/>
      <c r="B2046" s="221"/>
      <c r="C2046" s="221"/>
      <c r="D2046" s="221"/>
      <c r="E2046" s="5"/>
      <c r="F2046" s="223"/>
      <c r="G2046" s="223"/>
      <c r="H2046" s="223"/>
      <c r="I2046" s="223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  <c r="AE2046" s="5"/>
      <c r="AF2046" s="5"/>
      <c r="AG2046" s="5"/>
      <c r="AH2046" s="5"/>
      <c r="AI2046" s="6"/>
    </row>
    <row r="2047" spans="1:35" x14ac:dyDescent="0.25">
      <c r="A2047" s="3"/>
      <c r="B2047" s="221"/>
      <c r="C2047" s="221"/>
      <c r="D2047" s="221"/>
      <c r="E2047" s="5"/>
      <c r="F2047" s="223"/>
      <c r="G2047" s="223"/>
      <c r="H2047" s="223"/>
      <c r="I2047" s="223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  <c r="AE2047" s="5"/>
      <c r="AF2047" s="5"/>
      <c r="AG2047" s="5"/>
      <c r="AH2047" s="5"/>
      <c r="AI2047" s="6"/>
    </row>
    <row r="2048" spans="1:35" x14ac:dyDescent="0.25">
      <c r="A2048" s="20"/>
      <c r="B2048" s="21"/>
      <c r="C2048" s="21"/>
      <c r="D2048" s="21"/>
      <c r="E2048" s="21"/>
      <c r="F2048" s="21"/>
      <c r="G2048" s="21"/>
      <c r="H2048" s="21"/>
      <c r="I2048" s="21"/>
      <c r="J2048" s="21"/>
      <c r="K2048" s="21"/>
      <c r="L2048" s="21"/>
      <c r="M2048" s="21"/>
      <c r="N2048" s="21"/>
      <c r="O2048" s="22"/>
      <c r="P2048" s="21"/>
      <c r="Q2048" s="21"/>
      <c r="R2048" s="21"/>
      <c r="S2048" s="21"/>
      <c r="T2048" s="21"/>
      <c r="U2048" s="21"/>
      <c r="V2048" s="21"/>
      <c r="W2048" s="21"/>
      <c r="X2048" s="21"/>
      <c r="Y2048" s="21"/>
      <c r="Z2048" s="21"/>
      <c r="AA2048" s="21"/>
      <c r="AB2048" s="21"/>
      <c r="AC2048" s="21"/>
      <c r="AD2048" s="21"/>
      <c r="AE2048" s="21"/>
      <c r="AF2048" s="21"/>
      <c r="AG2048" s="21"/>
      <c r="AH2048" s="21"/>
      <c r="AI2048" s="23"/>
    </row>
    <row r="2049" spans="1:35" x14ac:dyDescent="0.25">
      <c r="A2049" s="24"/>
      <c r="B2049" s="28"/>
      <c r="C2049" s="25"/>
      <c r="D2049" s="25"/>
      <c r="E2049" s="25"/>
      <c r="F2049" s="25"/>
      <c r="G2049" s="25"/>
      <c r="H2049" s="25"/>
      <c r="I2049" s="25"/>
      <c r="J2049" s="25"/>
      <c r="K2049" s="25"/>
      <c r="L2049" s="25"/>
      <c r="M2049" s="25"/>
      <c r="N2049" s="25"/>
      <c r="O2049" s="25"/>
      <c r="P2049" s="25"/>
      <c r="Q2049" s="25"/>
      <c r="R2049" s="25"/>
      <c r="S2049" s="25"/>
      <c r="T2049" s="25"/>
      <c r="U2049" s="25"/>
      <c r="V2049" s="25"/>
      <c r="W2049" s="25"/>
      <c r="X2049" s="25"/>
      <c r="Y2049" s="25"/>
      <c r="Z2049" s="25"/>
      <c r="AA2049" s="25"/>
      <c r="AB2049" s="25"/>
      <c r="AC2049" s="25"/>
      <c r="AD2049" s="25"/>
      <c r="AE2049" s="25"/>
      <c r="AF2049" s="25"/>
      <c r="AG2049" s="25"/>
      <c r="AH2049" s="25"/>
      <c r="AI2049" s="26"/>
    </row>
    <row r="2050" spans="1:35" x14ac:dyDescent="0.25">
      <c r="A2050" s="3"/>
      <c r="B2050" s="4" t="s">
        <v>359</v>
      </c>
      <c r="C2050" s="5"/>
      <c r="D2050" s="5"/>
      <c r="E2050" s="5"/>
      <c r="F2050" s="5"/>
      <c r="G2050" s="5"/>
      <c r="H2050" s="5"/>
      <c r="I2050" s="5" t="str">
        <f>"0x"&amp;BIN2HEX(CONCATENATE(C2055,D2055,E2055,F2055,G2055,H2055,I2055,J2055),2)&amp;BIN2HEX(CONCATENATE(K2055,L2055,M2055,N2055,O2055,P2055,Q2055,R2055),2)&amp;BIN2HEX(CONCATENATE(S2055,T2055,U2055,V2055,W2055,X2055,Y2055,Z2055),2)&amp;BIN2HEX(CONCATENATE(AA2055,AB2055,AC2055,AD2055,AE2055,AF2055,AG2055,AH2055),2)&amp;"_"&amp;BIN2HEX(CONCATENATE(C2059,D2059,E2059,F2059,G2059,H2059,I2059,J2059),2)&amp;BIN2HEX(CONCATENATE(K2059,L2059,M2059,N2059,O2059,P2059,Q2059,R2059),2)&amp;BIN2HEX(CONCATENATE(S2059,T2059,U2059,V2059,W2059,X2059,Y2059,Z2059),2)&amp;BIN2HEX(CONCATENATE(AA2059,AB2059,AC2059,AD2059,AE2059,AF2059,AG2059,AH2059),2)</f>
        <v>0x00000000_00080700</v>
      </c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  <c r="AE2050" s="5"/>
      <c r="AF2050" s="5"/>
      <c r="AG2050" s="5"/>
      <c r="AH2050" s="5"/>
      <c r="AI2050" s="6"/>
    </row>
    <row r="2051" spans="1:35" ht="15.75" thickBot="1" x14ac:dyDescent="0.3">
      <c r="A2051" s="3"/>
      <c r="B2051" s="5"/>
      <c r="C2051" s="7">
        <v>0</v>
      </c>
      <c r="D2051" s="7">
        <v>1</v>
      </c>
      <c r="E2051" s="7">
        <v>2</v>
      </c>
      <c r="F2051" s="7">
        <v>3</v>
      </c>
      <c r="G2051" s="7">
        <v>4</v>
      </c>
      <c r="H2051" s="7">
        <v>5</v>
      </c>
      <c r="I2051" s="7">
        <v>6</v>
      </c>
      <c r="J2051" s="7">
        <v>7</v>
      </c>
      <c r="K2051" s="7">
        <v>8</v>
      </c>
      <c r="L2051" s="7">
        <v>9</v>
      </c>
      <c r="M2051" s="7">
        <v>10</v>
      </c>
      <c r="N2051" s="7">
        <v>11</v>
      </c>
      <c r="O2051" s="7">
        <v>12</v>
      </c>
      <c r="P2051" s="7">
        <v>13</v>
      </c>
      <c r="Q2051" s="7">
        <v>14</v>
      </c>
      <c r="R2051" s="7">
        <v>15</v>
      </c>
      <c r="S2051" s="7">
        <v>16</v>
      </c>
      <c r="T2051" s="7">
        <v>17</v>
      </c>
      <c r="U2051" s="7">
        <v>18</v>
      </c>
      <c r="V2051" s="7">
        <v>19</v>
      </c>
      <c r="W2051" s="7">
        <v>20</v>
      </c>
      <c r="X2051" s="7">
        <v>21</v>
      </c>
      <c r="Y2051" s="7">
        <v>22</v>
      </c>
      <c r="Z2051" s="7">
        <v>23</v>
      </c>
      <c r="AA2051" s="7">
        <v>24</v>
      </c>
      <c r="AB2051" s="7">
        <v>25</v>
      </c>
      <c r="AC2051" s="7">
        <v>26</v>
      </c>
      <c r="AD2051" s="7">
        <v>27</v>
      </c>
      <c r="AE2051" s="7">
        <v>28</v>
      </c>
      <c r="AF2051" s="7">
        <v>29</v>
      </c>
      <c r="AG2051" s="7">
        <v>30</v>
      </c>
      <c r="AH2051" s="7">
        <v>31</v>
      </c>
      <c r="AI2051" s="6"/>
    </row>
    <row r="2052" spans="1:35" x14ac:dyDescent="0.25">
      <c r="A2052" s="3"/>
      <c r="B2052" s="5" t="s">
        <v>31</v>
      </c>
      <c r="C2052" s="328" t="s">
        <v>161</v>
      </c>
      <c r="D2052" s="330" t="s">
        <v>63</v>
      </c>
      <c r="E2052" s="331"/>
      <c r="F2052" s="331"/>
      <c r="G2052" s="331"/>
      <c r="H2052" s="331"/>
      <c r="I2052" s="331"/>
      <c r="J2052" s="332"/>
      <c r="K2052" s="336">
        <v>0</v>
      </c>
      <c r="L2052" s="337"/>
      <c r="M2052" s="337"/>
      <c r="N2052" s="337"/>
      <c r="O2052" s="337"/>
      <c r="P2052" s="337"/>
      <c r="Q2052" s="337"/>
      <c r="R2052" s="337"/>
      <c r="S2052" s="337"/>
      <c r="T2052" s="337"/>
      <c r="U2052" s="337"/>
      <c r="V2052" s="337"/>
      <c r="W2052" s="337"/>
      <c r="X2052" s="337"/>
      <c r="Y2052" s="337"/>
      <c r="Z2052" s="337"/>
      <c r="AA2052" s="337"/>
      <c r="AB2052" s="337"/>
      <c r="AC2052" s="337"/>
      <c r="AD2052" s="337"/>
      <c r="AE2052" s="337"/>
      <c r="AF2052" s="337"/>
      <c r="AG2052" s="337"/>
      <c r="AH2052" s="338"/>
      <c r="AI2052" s="6"/>
    </row>
    <row r="2053" spans="1:35" x14ac:dyDescent="0.25">
      <c r="A2053" s="3"/>
      <c r="B2053" s="5" t="s">
        <v>32</v>
      </c>
      <c r="C2053" s="329"/>
      <c r="D2053" s="333"/>
      <c r="E2053" s="334"/>
      <c r="F2053" s="334"/>
      <c r="G2053" s="334"/>
      <c r="H2053" s="334"/>
      <c r="I2053" s="334"/>
      <c r="J2053" s="335"/>
      <c r="K2053" s="339"/>
      <c r="L2053" s="340"/>
      <c r="M2053" s="340"/>
      <c r="N2053" s="340"/>
      <c r="O2053" s="340"/>
      <c r="P2053" s="340"/>
      <c r="Q2053" s="340"/>
      <c r="R2053" s="340"/>
      <c r="S2053" s="340"/>
      <c r="T2053" s="340"/>
      <c r="U2053" s="340"/>
      <c r="V2053" s="340"/>
      <c r="W2053" s="340"/>
      <c r="X2053" s="340"/>
      <c r="Y2053" s="340"/>
      <c r="Z2053" s="340"/>
      <c r="AA2053" s="340"/>
      <c r="AB2053" s="340"/>
      <c r="AC2053" s="340"/>
      <c r="AD2053" s="340"/>
      <c r="AE2053" s="340"/>
      <c r="AF2053" s="340"/>
      <c r="AG2053" s="340"/>
      <c r="AH2053" s="341"/>
      <c r="AI2053" s="6"/>
    </row>
    <row r="2054" spans="1:35" x14ac:dyDescent="0.25">
      <c r="A2054" s="3"/>
      <c r="B2054" s="5" t="s">
        <v>11</v>
      </c>
      <c r="C2054" s="56">
        <v>0</v>
      </c>
      <c r="D2054" s="57">
        <v>0</v>
      </c>
      <c r="E2054" s="57">
        <v>0</v>
      </c>
      <c r="F2054" s="57">
        <v>0</v>
      </c>
      <c r="G2054" s="57">
        <v>0</v>
      </c>
      <c r="H2054" s="57">
        <v>0</v>
      </c>
      <c r="I2054" s="57">
        <v>0</v>
      </c>
      <c r="J2054" s="57">
        <v>0</v>
      </c>
      <c r="K2054" s="57">
        <v>0</v>
      </c>
      <c r="L2054" s="57">
        <v>0</v>
      </c>
      <c r="M2054" s="57">
        <v>0</v>
      </c>
      <c r="N2054" s="57">
        <v>0</v>
      </c>
      <c r="O2054" s="57">
        <v>0</v>
      </c>
      <c r="P2054" s="57">
        <v>0</v>
      </c>
      <c r="Q2054" s="57">
        <v>0</v>
      </c>
      <c r="R2054" s="57">
        <v>0</v>
      </c>
      <c r="S2054" s="57">
        <v>0</v>
      </c>
      <c r="T2054" s="57">
        <v>0</v>
      </c>
      <c r="U2054" s="57">
        <v>0</v>
      </c>
      <c r="V2054" s="57">
        <v>0</v>
      </c>
      <c r="W2054" s="57">
        <v>0</v>
      </c>
      <c r="X2054" s="57">
        <v>0</v>
      </c>
      <c r="Y2054" s="57">
        <v>0</v>
      </c>
      <c r="Z2054" s="57">
        <v>0</v>
      </c>
      <c r="AA2054" s="57">
        <v>0</v>
      </c>
      <c r="AB2054" s="57">
        <v>0</v>
      </c>
      <c r="AC2054" s="57">
        <v>0</v>
      </c>
      <c r="AD2054" s="57">
        <v>0</v>
      </c>
      <c r="AE2054" s="57">
        <v>0</v>
      </c>
      <c r="AF2054" s="57">
        <v>0</v>
      </c>
      <c r="AG2054" s="57">
        <v>0</v>
      </c>
      <c r="AH2054" s="58">
        <v>0</v>
      </c>
      <c r="AI2054" s="6"/>
    </row>
    <row r="2055" spans="1:35" ht="15.75" thickBot="1" x14ac:dyDescent="0.3">
      <c r="A2055" s="3"/>
      <c r="B2055" s="5" t="s">
        <v>12</v>
      </c>
      <c r="C2055" s="145">
        <v>0</v>
      </c>
      <c r="D2055" s="88">
        <v>0</v>
      </c>
      <c r="E2055" s="88">
        <v>0</v>
      </c>
      <c r="F2055" s="88">
        <v>0</v>
      </c>
      <c r="G2055" s="88">
        <v>0</v>
      </c>
      <c r="H2055" s="88">
        <v>0</v>
      </c>
      <c r="I2055" s="88">
        <v>0</v>
      </c>
      <c r="J2055" s="88">
        <v>0</v>
      </c>
      <c r="K2055" s="62">
        <v>0</v>
      </c>
      <c r="L2055" s="62">
        <v>0</v>
      </c>
      <c r="M2055" s="62">
        <v>0</v>
      </c>
      <c r="N2055" s="62">
        <v>0</v>
      </c>
      <c r="O2055" s="62">
        <v>0</v>
      </c>
      <c r="P2055" s="62">
        <v>0</v>
      </c>
      <c r="Q2055" s="62">
        <v>0</v>
      </c>
      <c r="R2055" s="62">
        <v>0</v>
      </c>
      <c r="S2055" s="62">
        <v>0</v>
      </c>
      <c r="T2055" s="62">
        <v>0</v>
      </c>
      <c r="U2055" s="62">
        <v>0</v>
      </c>
      <c r="V2055" s="62">
        <v>0</v>
      </c>
      <c r="W2055" s="62">
        <v>0</v>
      </c>
      <c r="X2055" s="62">
        <v>0</v>
      </c>
      <c r="Y2055" s="62">
        <v>0</v>
      </c>
      <c r="Z2055" s="62">
        <v>0</v>
      </c>
      <c r="AA2055" s="62">
        <v>0</v>
      </c>
      <c r="AB2055" s="62">
        <v>0</v>
      </c>
      <c r="AC2055" s="62">
        <v>0</v>
      </c>
      <c r="AD2055" s="62">
        <v>0</v>
      </c>
      <c r="AE2055" s="62">
        <v>0</v>
      </c>
      <c r="AF2055" s="62">
        <v>0</v>
      </c>
      <c r="AG2055" s="62">
        <v>0</v>
      </c>
      <c r="AH2055" s="146">
        <v>0</v>
      </c>
      <c r="AI2055" s="6"/>
    </row>
    <row r="2056" spans="1:35" x14ac:dyDescent="0.25">
      <c r="A2056" s="3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5"/>
      <c r="AI2056" s="6"/>
    </row>
    <row r="2057" spans="1:35" ht="15.75" thickBot="1" x14ac:dyDescent="0.3">
      <c r="A2057" s="3"/>
      <c r="B2057" s="5"/>
      <c r="C2057" s="7">
        <v>32</v>
      </c>
      <c r="D2057" s="7">
        <v>33</v>
      </c>
      <c r="E2057" s="7">
        <v>34</v>
      </c>
      <c r="F2057" s="7">
        <v>35</v>
      </c>
      <c r="G2057" s="7">
        <v>36</v>
      </c>
      <c r="H2057" s="7">
        <v>37</v>
      </c>
      <c r="I2057" s="7">
        <v>38</v>
      </c>
      <c r="J2057" s="7">
        <v>39</v>
      </c>
      <c r="K2057" s="7">
        <v>40</v>
      </c>
      <c r="L2057" s="7">
        <v>41</v>
      </c>
      <c r="M2057" s="7">
        <v>42</v>
      </c>
      <c r="N2057" s="7">
        <v>43</v>
      </c>
      <c r="O2057" s="7">
        <v>44</v>
      </c>
      <c r="P2057" s="7">
        <v>45</v>
      </c>
      <c r="Q2057" s="7">
        <v>46</v>
      </c>
      <c r="R2057" s="7">
        <v>47</v>
      </c>
      <c r="S2057" s="7">
        <v>48</v>
      </c>
      <c r="T2057" s="7">
        <v>49</v>
      </c>
      <c r="U2057" s="7">
        <v>50</v>
      </c>
      <c r="V2057" s="7">
        <v>51</v>
      </c>
      <c r="W2057" s="7">
        <v>52</v>
      </c>
      <c r="X2057" s="7">
        <v>53</v>
      </c>
      <c r="Y2057" s="7">
        <v>54</v>
      </c>
      <c r="Z2057" s="7">
        <v>55</v>
      </c>
      <c r="AA2057" s="7">
        <v>56</v>
      </c>
      <c r="AB2057" s="7">
        <v>57</v>
      </c>
      <c r="AC2057" s="7">
        <v>58</v>
      </c>
      <c r="AD2057" s="7">
        <v>59</v>
      </c>
      <c r="AE2057" s="7">
        <v>60</v>
      </c>
      <c r="AF2057" s="7">
        <v>61</v>
      </c>
      <c r="AG2057" s="7">
        <v>62</v>
      </c>
      <c r="AH2057" s="7">
        <v>63</v>
      </c>
      <c r="AI2057" s="6"/>
    </row>
    <row r="2058" spans="1:35" ht="15.75" thickBot="1" x14ac:dyDescent="0.3">
      <c r="A2058" s="3"/>
      <c r="B2058" s="5"/>
      <c r="C2058" s="147" t="s">
        <v>13</v>
      </c>
      <c r="D2058" s="148" t="s">
        <v>14</v>
      </c>
      <c r="E2058" s="148" t="s">
        <v>15</v>
      </c>
      <c r="F2058" s="148" t="s">
        <v>16</v>
      </c>
      <c r="G2058" s="148" t="s">
        <v>17</v>
      </c>
      <c r="H2058" s="148" t="s">
        <v>18</v>
      </c>
      <c r="I2058" s="148" t="s">
        <v>19</v>
      </c>
      <c r="J2058" s="148" t="s">
        <v>20</v>
      </c>
      <c r="K2058" s="148" t="s">
        <v>21</v>
      </c>
      <c r="L2058" s="148" t="s">
        <v>22</v>
      </c>
      <c r="M2058" s="148" t="s">
        <v>23</v>
      </c>
      <c r="N2058" s="148" t="s">
        <v>24</v>
      </c>
      <c r="O2058" s="148" t="s">
        <v>25</v>
      </c>
      <c r="P2058" s="148" t="s">
        <v>26</v>
      </c>
      <c r="Q2058" s="148" t="s">
        <v>27</v>
      </c>
      <c r="R2058" s="342" t="s">
        <v>30</v>
      </c>
      <c r="S2058" s="343"/>
      <c r="T2058" s="343"/>
      <c r="U2058" s="343"/>
      <c r="V2058" s="343"/>
      <c r="W2058" s="343"/>
      <c r="X2058" s="343"/>
      <c r="Y2058" s="343"/>
      <c r="Z2058" s="343"/>
      <c r="AA2058" s="343"/>
      <c r="AB2058" s="343"/>
      <c r="AC2058" s="343"/>
      <c r="AD2058" s="343"/>
      <c r="AE2058" s="343"/>
      <c r="AF2058" s="344"/>
      <c r="AG2058" s="67" t="s">
        <v>28</v>
      </c>
      <c r="AH2058" s="149" t="s">
        <v>29</v>
      </c>
      <c r="AI2058" s="6"/>
    </row>
    <row r="2059" spans="1:35" ht="15.75" thickBot="1" x14ac:dyDescent="0.3">
      <c r="A2059" s="3"/>
      <c r="B2059" s="5"/>
      <c r="C2059" s="150">
        <v>0</v>
      </c>
      <c r="D2059" s="151">
        <v>0</v>
      </c>
      <c r="E2059" s="151">
        <v>0</v>
      </c>
      <c r="F2059" s="151">
        <v>0</v>
      </c>
      <c r="G2059" s="151">
        <v>0</v>
      </c>
      <c r="H2059" s="151">
        <v>0</v>
      </c>
      <c r="I2059" s="151">
        <v>0</v>
      </c>
      <c r="J2059" s="151">
        <v>0</v>
      </c>
      <c r="K2059" s="151">
        <v>0</v>
      </c>
      <c r="L2059" s="151">
        <v>0</v>
      </c>
      <c r="M2059" s="151">
        <v>0</v>
      </c>
      <c r="N2059" s="151">
        <v>0</v>
      </c>
      <c r="O2059" s="151">
        <v>1</v>
      </c>
      <c r="P2059" s="151">
        <v>0</v>
      </c>
      <c r="Q2059" s="151">
        <v>0</v>
      </c>
      <c r="R2059" s="151">
        <v>0</v>
      </c>
      <c r="S2059" s="151">
        <v>0</v>
      </c>
      <c r="T2059" s="151">
        <v>0</v>
      </c>
      <c r="U2059" s="151">
        <v>0</v>
      </c>
      <c r="V2059" s="151">
        <v>0</v>
      </c>
      <c r="W2059" s="151">
        <v>0</v>
      </c>
      <c r="X2059" s="151">
        <v>1</v>
      </c>
      <c r="Y2059" s="151">
        <v>1</v>
      </c>
      <c r="Z2059" s="151">
        <v>1</v>
      </c>
      <c r="AA2059" s="151">
        <v>0</v>
      </c>
      <c r="AB2059" s="151">
        <v>0</v>
      </c>
      <c r="AC2059" s="151">
        <v>0</v>
      </c>
      <c r="AD2059" s="151">
        <v>0</v>
      </c>
      <c r="AE2059" s="151">
        <v>0</v>
      </c>
      <c r="AF2059" s="151">
        <v>0</v>
      </c>
      <c r="AG2059" s="151">
        <v>0</v>
      </c>
      <c r="AH2059" s="152">
        <v>0</v>
      </c>
      <c r="AI2059" s="6"/>
    </row>
    <row r="2060" spans="1:35" x14ac:dyDescent="0.25">
      <c r="A2060" s="3"/>
      <c r="B2060" s="4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  <c r="AE2060" s="5"/>
      <c r="AF2060" s="5"/>
      <c r="AG2060" s="5"/>
      <c r="AH2060" s="5"/>
      <c r="AI2060" s="6"/>
    </row>
    <row r="2061" spans="1:35" x14ac:dyDescent="0.25">
      <c r="A2061" s="3"/>
      <c r="B2061" s="8" t="s">
        <v>43</v>
      </c>
      <c r="C2061" s="9"/>
      <c r="D2061" s="9"/>
      <c r="E2061" s="9"/>
      <c r="F2061" s="225" t="s">
        <v>44</v>
      </c>
      <c r="G2061" s="225"/>
      <c r="H2061" s="225"/>
      <c r="I2061" s="9"/>
      <c r="J2061" s="226" t="s">
        <v>45</v>
      </c>
      <c r="K2061" s="226"/>
      <c r="L2061" s="226"/>
      <c r="M2061" s="226"/>
      <c r="N2061" s="9"/>
      <c r="O2061" s="227" t="s">
        <v>46</v>
      </c>
      <c r="P2061" s="227"/>
      <c r="Q2061" s="227"/>
      <c r="R2061" s="227"/>
      <c r="S2061" s="9"/>
      <c r="T2061" s="1" t="s">
        <v>49</v>
      </c>
      <c r="U2061" s="10" t="s">
        <v>48</v>
      </c>
      <c r="V2061" s="5"/>
      <c r="W2061" s="9"/>
      <c r="X2061" s="9"/>
      <c r="Y2061" s="9"/>
      <c r="Z2061" s="9"/>
      <c r="AA2061" s="9"/>
      <c r="AB2061" s="9"/>
      <c r="AC2061" s="9"/>
      <c r="AD2061" s="9"/>
      <c r="AE2061" s="9"/>
      <c r="AF2061" s="9"/>
      <c r="AG2061" s="9"/>
      <c r="AH2061" s="9"/>
      <c r="AI2061" s="6"/>
    </row>
    <row r="2062" spans="1:35" x14ac:dyDescent="0.25">
      <c r="A2062" s="3"/>
      <c r="B2062" s="221" t="str">
        <f>"0x"&amp;DEC2HEX(Sheet3!$I$4,8)</f>
        <v>0x00400320</v>
      </c>
      <c r="C2062" s="221"/>
      <c r="D2062" s="221"/>
      <c r="E2062" s="12"/>
      <c r="F2062" s="319" t="str">
        <f>"0x"&amp;BIN2HEX(CONCATENATE(C2055,D2055,E2055,F2055,G2055,H2055,I2055,J2055),2)&amp;BIN2HEX(CONCATENATE(K2055,L2055,M2055,N2055,O2055,P2055,Q2055,R2055),2)&amp;BIN2HEX(CONCATENATE(S2055,T2055,U2055,V2055,W2055,X2055,Y2055,Z2055),2)&amp;BIN2HEX(CONCATENATE(AA2055,AB2055,AC2055,AD2055,AE2055,AF2055,AG2055,AH2055),2)</f>
        <v>0x00000000</v>
      </c>
      <c r="G2062" s="319"/>
      <c r="H2062" s="319"/>
      <c r="I2062" s="12"/>
      <c r="J2062" s="319" t="str">
        <f>"0b"&amp;C2059&amp;D2059&amp;E2059&amp;F2059&amp;G2059&amp;H2059&amp;I2059&amp;J2059&amp;K2059&amp;L2059&amp;M2059&amp;N2059&amp;O2059&amp;P2059&amp;Q2059</f>
        <v>0b000000000000100</v>
      </c>
      <c r="K2062" s="319"/>
      <c r="L2062" s="319"/>
      <c r="M2062" s="319"/>
      <c r="N2062" s="12"/>
      <c r="O2062" s="319" t="str">
        <f>"0b"&amp;DEC2BIN(((AF2059+AE2059*2+AD2059*4+AC2059*8+AB2059*16+AA2059*32+Z2059*64+Y2059*128+X2059*256+W2059*512+V2059*1024+U2059*2048+T2059*4096+S2059*2^13+R2059*2^14)/512),6)&amp;DEC2BIN(MOD((AF2059+AE2059*2+AD2059*4+AC2059*8+AB2059*16+AA2059*32+Z2059*64+Y2059*128+X2059*256+W2059*512+V2059*1024+U2059*2048+T2059*4096+S2059*2^13+R2059*2^14),512),9)</f>
        <v>0b000000111000000</v>
      </c>
      <c r="P2062" s="319"/>
      <c r="Q2062" s="319"/>
      <c r="R2062" s="319"/>
      <c r="S2062" s="12"/>
      <c r="T2062" s="224">
        <v>0</v>
      </c>
      <c r="U2062" s="224">
        <f>AH2059</f>
        <v>0</v>
      </c>
      <c r="V2062" s="5"/>
      <c r="W2062" s="14"/>
      <c r="X2062" s="14"/>
      <c r="Y2062" s="14"/>
      <c r="Z2062" s="14"/>
      <c r="AA2062" s="14"/>
      <c r="AB2062" s="14"/>
      <c r="AC2062" s="14"/>
      <c r="AD2062" s="14"/>
      <c r="AE2062" s="14"/>
      <c r="AF2062" s="14"/>
      <c r="AG2062" s="14"/>
      <c r="AH2062" s="14"/>
      <c r="AI2062" s="6"/>
    </row>
    <row r="2063" spans="1:35" x14ac:dyDescent="0.25">
      <c r="A2063" s="3"/>
      <c r="B2063" s="221"/>
      <c r="C2063" s="221"/>
      <c r="D2063" s="221"/>
      <c r="E2063" s="15"/>
      <c r="F2063" s="222"/>
      <c r="G2063" s="222"/>
      <c r="H2063" s="222"/>
      <c r="I2063" s="15"/>
      <c r="J2063" s="221"/>
      <c r="K2063" s="221"/>
      <c r="L2063" s="221"/>
      <c r="M2063" s="221"/>
      <c r="N2063" s="15"/>
      <c r="O2063" s="221"/>
      <c r="P2063" s="221"/>
      <c r="Q2063" s="221"/>
      <c r="R2063" s="221"/>
      <c r="S2063" s="15"/>
      <c r="T2063" s="224"/>
      <c r="U2063" s="15"/>
      <c r="V2063" s="5"/>
      <c r="W2063" s="16"/>
      <c r="X2063" s="16"/>
      <c r="Y2063" s="16"/>
      <c r="Z2063" s="16"/>
      <c r="AA2063" s="16"/>
      <c r="AB2063" s="16"/>
      <c r="AC2063" s="16"/>
      <c r="AD2063" s="16"/>
      <c r="AE2063" s="16"/>
      <c r="AF2063" s="16"/>
      <c r="AG2063" s="16"/>
      <c r="AH2063" s="16"/>
      <c r="AI2063" s="6"/>
    </row>
    <row r="2064" spans="1:35" x14ac:dyDescent="0.25">
      <c r="A2064" s="3"/>
      <c r="B2064" s="221"/>
      <c r="C2064" s="221"/>
      <c r="D2064" s="221"/>
      <c r="E2064" s="15"/>
      <c r="F2064" s="222"/>
      <c r="G2064" s="222"/>
      <c r="H2064" s="222"/>
      <c r="I2064" s="15"/>
      <c r="J2064" s="221"/>
      <c r="K2064" s="221"/>
      <c r="L2064" s="221"/>
      <c r="M2064" s="221"/>
      <c r="N2064" s="15"/>
      <c r="O2064" s="221"/>
      <c r="P2064" s="221"/>
      <c r="Q2064" s="221"/>
      <c r="R2064" s="221"/>
      <c r="S2064" s="15"/>
      <c r="T2064" s="224"/>
      <c r="U2064" s="15"/>
      <c r="V2064" s="5"/>
      <c r="W2064" s="16"/>
      <c r="X2064" s="16"/>
      <c r="Y2064" s="16"/>
      <c r="Z2064" s="16"/>
      <c r="AA2064" s="16"/>
      <c r="AB2064" s="16"/>
      <c r="AC2064" s="16"/>
      <c r="AD2064" s="16"/>
      <c r="AE2064" s="16"/>
      <c r="AF2064" s="16"/>
      <c r="AG2064" s="16"/>
      <c r="AH2064" s="16"/>
      <c r="AI2064" s="6"/>
    </row>
    <row r="2065" spans="1:35" x14ac:dyDescent="0.25">
      <c r="A2065" s="3"/>
      <c r="B2065" s="5"/>
      <c r="C2065" s="5"/>
      <c r="D2065" s="5"/>
      <c r="E2065" s="5"/>
      <c r="F2065" s="17"/>
      <c r="G2065" s="17"/>
      <c r="H2065" s="17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  <c r="AE2065" s="5"/>
      <c r="AF2065" s="5"/>
      <c r="AG2065" s="5"/>
      <c r="AH2065" s="5"/>
      <c r="AI2065" s="6"/>
    </row>
    <row r="2066" spans="1:35" x14ac:dyDescent="0.25">
      <c r="A2066" s="3"/>
      <c r="B2066" s="5" t="s">
        <v>47</v>
      </c>
      <c r="C2066" s="18"/>
      <c r="D2066" s="18"/>
      <c r="E2066" s="18"/>
      <c r="F2066" s="5"/>
      <c r="G2066" s="5"/>
      <c r="H2066" s="5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  <c r="AB2066" s="18"/>
      <c r="AC2066" s="18"/>
      <c r="AD2066" s="18"/>
      <c r="AE2066" s="18"/>
      <c r="AF2066" s="18"/>
      <c r="AG2066" s="18"/>
      <c r="AH2066" s="18"/>
      <c r="AI2066" s="6"/>
    </row>
    <row r="2067" spans="1:35" x14ac:dyDescent="0.25">
      <c r="A2067" s="3"/>
      <c r="B2067" s="221" t="str">
        <f>"0x"&amp;DEC2HEX(Sheet3!$I$4,8)</f>
        <v>0x00400320</v>
      </c>
      <c r="C2067" s="221"/>
      <c r="D2067" s="221"/>
      <c r="E2067" s="16"/>
      <c r="F2067" s="322" t="str">
        <f>F2062&amp;BIN2HEX(MID(J2062,3,8),2)&amp;BIN2HEX(RIGHT(J2062,7)&amp;MID(O2062,3,1),2)&amp;BIN2HEX(MID(O2062,4,8),2)&amp;BIN2HEX(RIGHT(O2062,6)&amp;T2062&amp;U2062,2)</f>
        <v>0x0000000000080700</v>
      </c>
      <c r="G2067" s="322"/>
      <c r="H2067" s="322"/>
      <c r="I2067" s="322"/>
      <c r="J2067" s="5"/>
      <c r="K2067" s="5"/>
      <c r="L2067" s="5"/>
      <c r="M2067" s="5"/>
      <c r="N2067" s="5"/>
      <c r="O2067" s="5"/>
      <c r="P2067" s="16"/>
      <c r="Q2067" s="16"/>
      <c r="R2067" s="19"/>
      <c r="S2067" s="19"/>
      <c r="T2067" s="19"/>
      <c r="U2067" s="19"/>
      <c r="V2067" s="19"/>
      <c r="W2067" s="19"/>
      <c r="X2067" s="19"/>
      <c r="Y2067" s="19"/>
      <c r="Z2067" s="19"/>
      <c r="AA2067" s="19"/>
      <c r="AB2067" s="19"/>
      <c r="AC2067" s="19"/>
      <c r="AD2067" s="19"/>
      <c r="AE2067" s="19"/>
      <c r="AF2067" s="19"/>
      <c r="AG2067" s="5"/>
      <c r="AH2067" s="5"/>
      <c r="AI2067" s="6"/>
    </row>
    <row r="2068" spans="1:35" x14ac:dyDescent="0.25">
      <c r="A2068" s="3"/>
      <c r="B2068" s="221"/>
      <c r="C2068" s="221"/>
      <c r="D2068" s="221"/>
      <c r="E2068" s="5"/>
      <c r="F2068" s="223"/>
      <c r="G2068" s="223"/>
      <c r="H2068" s="223"/>
      <c r="I2068" s="223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  <c r="AE2068" s="5"/>
      <c r="AF2068" s="5"/>
      <c r="AG2068" s="5"/>
      <c r="AH2068" s="5"/>
      <c r="AI2068" s="6"/>
    </row>
    <row r="2069" spans="1:35" x14ac:dyDescent="0.25">
      <c r="A2069" s="3"/>
      <c r="B2069" s="221"/>
      <c r="C2069" s="221"/>
      <c r="D2069" s="221"/>
      <c r="E2069" s="5"/>
      <c r="F2069" s="223"/>
      <c r="G2069" s="223"/>
      <c r="H2069" s="223"/>
      <c r="I2069" s="223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  <c r="AE2069" s="5"/>
      <c r="AF2069" s="5"/>
      <c r="AG2069" s="5"/>
      <c r="AH2069" s="5"/>
      <c r="AI2069" s="6"/>
    </row>
    <row r="2070" spans="1:35" x14ac:dyDescent="0.25">
      <c r="A2070" s="20"/>
      <c r="B2070" s="21"/>
      <c r="C2070" s="21"/>
      <c r="D2070" s="21"/>
      <c r="E2070" s="21"/>
      <c r="F2070" s="21"/>
      <c r="G2070" s="21"/>
      <c r="H2070" s="21"/>
      <c r="I2070" s="21"/>
      <c r="J2070" s="21"/>
      <c r="K2070" s="21"/>
      <c r="L2070" s="21"/>
      <c r="M2070" s="21"/>
      <c r="N2070" s="21"/>
      <c r="O2070" s="22"/>
      <c r="P2070" s="21"/>
      <c r="Q2070" s="21"/>
      <c r="R2070" s="21"/>
      <c r="S2070" s="21"/>
      <c r="T2070" s="21"/>
      <c r="U2070" s="21"/>
      <c r="V2070" s="21"/>
      <c r="W2070" s="21"/>
      <c r="X2070" s="21"/>
      <c r="Y2070" s="21"/>
      <c r="Z2070" s="21"/>
      <c r="AA2070" s="21"/>
      <c r="AB2070" s="21"/>
      <c r="AC2070" s="21"/>
      <c r="AD2070" s="21"/>
      <c r="AE2070" s="21"/>
      <c r="AF2070" s="21"/>
      <c r="AG2070" s="21"/>
      <c r="AH2070" s="21"/>
      <c r="AI2070" s="23"/>
    </row>
    <row r="2071" spans="1:35" x14ac:dyDescent="0.25">
      <c r="A2071" s="24"/>
      <c r="B2071" s="28"/>
      <c r="C2071" s="25"/>
      <c r="D2071" s="25"/>
      <c r="E2071" s="25"/>
      <c r="F2071" s="25"/>
      <c r="G2071" s="25"/>
      <c r="H2071" s="25"/>
      <c r="I2071" s="25"/>
      <c r="J2071" s="25"/>
      <c r="K2071" s="25"/>
      <c r="L2071" s="25"/>
      <c r="M2071" s="25"/>
      <c r="N2071" s="25"/>
      <c r="O2071" s="25"/>
      <c r="P2071" s="25"/>
      <c r="Q2071" s="25"/>
      <c r="R2071" s="25"/>
      <c r="S2071" s="25"/>
      <c r="T2071" s="25"/>
      <c r="U2071" s="25"/>
      <c r="V2071" s="25"/>
      <c r="W2071" s="25"/>
      <c r="X2071" s="25"/>
      <c r="Y2071" s="25"/>
      <c r="Z2071" s="25"/>
      <c r="AA2071" s="25"/>
      <c r="AB2071" s="25"/>
      <c r="AC2071" s="25"/>
      <c r="AD2071" s="25"/>
      <c r="AE2071" s="25"/>
      <c r="AF2071" s="25"/>
      <c r="AG2071" s="25"/>
      <c r="AH2071" s="25"/>
      <c r="AI2071" s="26"/>
    </row>
    <row r="2072" spans="1:35" x14ac:dyDescent="0.25">
      <c r="A2072" s="3"/>
      <c r="B2072" s="4" t="s">
        <v>360</v>
      </c>
      <c r="C2072" s="5"/>
      <c r="D2072" s="5"/>
      <c r="E2072" s="5"/>
      <c r="F2072" s="5"/>
      <c r="G2072" s="5"/>
      <c r="H2072" s="5"/>
      <c r="I2072" s="5" t="str">
        <f>"0x"&amp;BIN2HEX(CONCATENATE(C2077,D2077,E2077,F2077,G2077,H2077,I2077,J2077),2)&amp;BIN2HEX(CONCATENATE(K2077,L2077,M2077,N2077,O2077,P2077,Q2077,R2077),2)&amp;BIN2HEX(CONCATENATE(S2077,T2077,U2077,V2077,W2077,X2077,Y2077,Z2077),2)&amp;BIN2HEX(CONCATENATE(AA2077,AB2077,AC2077,AD2077,AE2077,AF2077,AG2077,AH2077),2)&amp;"_"&amp;BIN2HEX(CONCATENATE(C2081,D2081,E2081,F2081,G2081,H2081,I2081,J2081),2)&amp;BIN2HEX(CONCATENATE(K2081,L2081,M2081,N2081,O2081,P2081,Q2081,R2081),2)&amp;BIN2HEX(CONCATENATE(S2081,T2081,U2081,V2081,W2081,X2081,Y2081,Z2081),2)&amp;BIN2HEX(CONCATENATE(AA2081,AB2081,AC2081,AD2081,AE2081,AF2081,AG2081,AH2081),2)</f>
        <v>0x00000000_00080704</v>
      </c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  <c r="AE2072" s="5"/>
      <c r="AF2072" s="5"/>
      <c r="AG2072" s="5"/>
      <c r="AH2072" s="5"/>
      <c r="AI2072" s="6"/>
    </row>
    <row r="2073" spans="1:35" ht="15.75" thickBot="1" x14ac:dyDescent="0.3">
      <c r="A2073" s="3"/>
      <c r="B2073" s="5"/>
      <c r="C2073" s="7">
        <v>0</v>
      </c>
      <c r="D2073" s="7">
        <v>1</v>
      </c>
      <c r="E2073" s="7">
        <v>2</v>
      </c>
      <c r="F2073" s="7">
        <v>3</v>
      </c>
      <c r="G2073" s="7">
        <v>4</v>
      </c>
      <c r="H2073" s="7">
        <v>5</v>
      </c>
      <c r="I2073" s="7">
        <v>6</v>
      </c>
      <c r="J2073" s="7">
        <v>7</v>
      </c>
      <c r="K2073" s="7">
        <v>8</v>
      </c>
      <c r="L2073" s="7">
        <v>9</v>
      </c>
      <c r="M2073" s="7">
        <v>10</v>
      </c>
      <c r="N2073" s="7">
        <v>11</v>
      </c>
      <c r="O2073" s="7">
        <v>12</v>
      </c>
      <c r="P2073" s="7">
        <v>13</v>
      </c>
      <c r="Q2073" s="7">
        <v>14</v>
      </c>
      <c r="R2073" s="7">
        <v>15</v>
      </c>
      <c r="S2073" s="7">
        <v>16</v>
      </c>
      <c r="T2073" s="7">
        <v>17</v>
      </c>
      <c r="U2073" s="7">
        <v>18</v>
      </c>
      <c r="V2073" s="7">
        <v>19</v>
      </c>
      <c r="W2073" s="7">
        <v>20</v>
      </c>
      <c r="X2073" s="7">
        <v>21</v>
      </c>
      <c r="Y2073" s="7">
        <v>22</v>
      </c>
      <c r="Z2073" s="7">
        <v>23</v>
      </c>
      <c r="AA2073" s="7">
        <v>24</v>
      </c>
      <c r="AB2073" s="7">
        <v>25</v>
      </c>
      <c r="AC2073" s="7">
        <v>26</v>
      </c>
      <c r="AD2073" s="7">
        <v>27</v>
      </c>
      <c r="AE2073" s="7">
        <v>28</v>
      </c>
      <c r="AF2073" s="7">
        <v>29</v>
      </c>
      <c r="AG2073" s="7">
        <v>30</v>
      </c>
      <c r="AH2073" s="7">
        <v>31</v>
      </c>
      <c r="AI2073" s="6"/>
    </row>
    <row r="2074" spans="1:35" x14ac:dyDescent="0.25">
      <c r="A2074" s="3"/>
      <c r="B2074" s="5" t="s">
        <v>31</v>
      </c>
      <c r="C2074" s="328" t="s">
        <v>161</v>
      </c>
      <c r="D2074" s="330" t="s">
        <v>63</v>
      </c>
      <c r="E2074" s="331"/>
      <c r="F2074" s="331"/>
      <c r="G2074" s="331"/>
      <c r="H2074" s="331"/>
      <c r="I2074" s="331"/>
      <c r="J2074" s="332"/>
      <c r="K2074" s="336">
        <v>0</v>
      </c>
      <c r="L2074" s="337"/>
      <c r="M2074" s="337"/>
      <c r="N2074" s="337"/>
      <c r="O2074" s="337"/>
      <c r="P2074" s="337"/>
      <c r="Q2074" s="337"/>
      <c r="R2074" s="337"/>
      <c r="S2074" s="337"/>
      <c r="T2074" s="337"/>
      <c r="U2074" s="337"/>
      <c r="V2074" s="337"/>
      <c r="W2074" s="337"/>
      <c r="X2074" s="337"/>
      <c r="Y2074" s="337"/>
      <c r="Z2074" s="337"/>
      <c r="AA2074" s="337"/>
      <c r="AB2074" s="337"/>
      <c r="AC2074" s="337"/>
      <c r="AD2074" s="337"/>
      <c r="AE2074" s="337"/>
      <c r="AF2074" s="337"/>
      <c r="AG2074" s="337"/>
      <c r="AH2074" s="338"/>
      <c r="AI2074" s="6"/>
    </row>
    <row r="2075" spans="1:35" x14ac:dyDescent="0.25">
      <c r="A2075" s="3"/>
      <c r="B2075" s="5" t="s">
        <v>32</v>
      </c>
      <c r="C2075" s="329"/>
      <c r="D2075" s="333"/>
      <c r="E2075" s="334"/>
      <c r="F2075" s="334"/>
      <c r="G2075" s="334"/>
      <c r="H2075" s="334"/>
      <c r="I2075" s="334"/>
      <c r="J2075" s="335"/>
      <c r="K2075" s="339"/>
      <c r="L2075" s="340"/>
      <c r="M2075" s="340"/>
      <c r="N2075" s="340"/>
      <c r="O2075" s="340"/>
      <c r="P2075" s="340"/>
      <c r="Q2075" s="340"/>
      <c r="R2075" s="340"/>
      <c r="S2075" s="340"/>
      <c r="T2075" s="340"/>
      <c r="U2075" s="340"/>
      <c r="V2075" s="340"/>
      <c r="W2075" s="340"/>
      <c r="X2075" s="340"/>
      <c r="Y2075" s="340"/>
      <c r="Z2075" s="340"/>
      <c r="AA2075" s="340"/>
      <c r="AB2075" s="340"/>
      <c r="AC2075" s="340"/>
      <c r="AD2075" s="340"/>
      <c r="AE2075" s="340"/>
      <c r="AF2075" s="340"/>
      <c r="AG2075" s="340"/>
      <c r="AH2075" s="341"/>
      <c r="AI2075" s="6"/>
    </row>
    <row r="2076" spans="1:35" x14ac:dyDescent="0.25">
      <c r="A2076" s="3"/>
      <c r="B2076" s="5" t="s">
        <v>11</v>
      </c>
      <c r="C2076" s="56">
        <v>0</v>
      </c>
      <c r="D2076" s="57">
        <v>0</v>
      </c>
      <c r="E2076" s="57">
        <v>0</v>
      </c>
      <c r="F2076" s="57">
        <v>0</v>
      </c>
      <c r="G2076" s="57">
        <v>0</v>
      </c>
      <c r="H2076" s="57">
        <v>0</v>
      </c>
      <c r="I2076" s="57">
        <v>0</v>
      </c>
      <c r="J2076" s="57">
        <v>0</v>
      </c>
      <c r="K2076" s="57">
        <v>0</v>
      </c>
      <c r="L2076" s="57">
        <v>0</v>
      </c>
      <c r="M2076" s="57">
        <v>0</v>
      </c>
      <c r="N2076" s="57">
        <v>0</v>
      </c>
      <c r="O2076" s="57">
        <v>0</v>
      </c>
      <c r="P2076" s="57">
        <v>0</v>
      </c>
      <c r="Q2076" s="57">
        <v>0</v>
      </c>
      <c r="R2076" s="57">
        <v>0</v>
      </c>
      <c r="S2076" s="57">
        <v>0</v>
      </c>
      <c r="T2076" s="57">
        <v>0</v>
      </c>
      <c r="U2076" s="57">
        <v>0</v>
      </c>
      <c r="V2076" s="57">
        <v>0</v>
      </c>
      <c r="W2076" s="57">
        <v>0</v>
      </c>
      <c r="X2076" s="57">
        <v>0</v>
      </c>
      <c r="Y2076" s="57">
        <v>0</v>
      </c>
      <c r="Z2076" s="57">
        <v>0</v>
      </c>
      <c r="AA2076" s="57">
        <v>0</v>
      </c>
      <c r="AB2076" s="57">
        <v>0</v>
      </c>
      <c r="AC2076" s="57">
        <v>0</v>
      </c>
      <c r="AD2076" s="57">
        <v>0</v>
      </c>
      <c r="AE2076" s="57">
        <v>0</v>
      </c>
      <c r="AF2076" s="57">
        <v>0</v>
      </c>
      <c r="AG2076" s="57">
        <v>0</v>
      </c>
      <c r="AH2076" s="58">
        <v>0</v>
      </c>
      <c r="AI2076" s="6"/>
    </row>
    <row r="2077" spans="1:35" ht="15.75" thickBot="1" x14ac:dyDescent="0.3">
      <c r="A2077" s="3"/>
      <c r="B2077" s="5" t="s">
        <v>12</v>
      </c>
      <c r="C2077" s="145">
        <v>0</v>
      </c>
      <c r="D2077" s="88">
        <v>0</v>
      </c>
      <c r="E2077" s="88">
        <v>0</v>
      </c>
      <c r="F2077" s="88">
        <v>0</v>
      </c>
      <c r="G2077" s="88">
        <v>0</v>
      </c>
      <c r="H2077" s="88">
        <v>0</v>
      </c>
      <c r="I2077" s="88">
        <v>0</v>
      </c>
      <c r="J2077" s="88">
        <v>0</v>
      </c>
      <c r="K2077" s="62">
        <v>0</v>
      </c>
      <c r="L2077" s="62">
        <v>0</v>
      </c>
      <c r="M2077" s="62">
        <v>0</v>
      </c>
      <c r="N2077" s="62">
        <v>0</v>
      </c>
      <c r="O2077" s="62">
        <v>0</v>
      </c>
      <c r="P2077" s="62">
        <v>0</v>
      </c>
      <c r="Q2077" s="62">
        <v>0</v>
      </c>
      <c r="R2077" s="62">
        <v>0</v>
      </c>
      <c r="S2077" s="62">
        <v>0</v>
      </c>
      <c r="T2077" s="62">
        <v>0</v>
      </c>
      <c r="U2077" s="62">
        <v>0</v>
      </c>
      <c r="V2077" s="62">
        <v>0</v>
      </c>
      <c r="W2077" s="62">
        <v>0</v>
      </c>
      <c r="X2077" s="62">
        <v>0</v>
      </c>
      <c r="Y2077" s="62">
        <v>0</v>
      </c>
      <c r="Z2077" s="62">
        <v>0</v>
      </c>
      <c r="AA2077" s="62">
        <v>0</v>
      </c>
      <c r="AB2077" s="62">
        <v>0</v>
      </c>
      <c r="AC2077" s="62">
        <v>0</v>
      </c>
      <c r="AD2077" s="62">
        <v>0</v>
      </c>
      <c r="AE2077" s="62">
        <v>0</v>
      </c>
      <c r="AF2077" s="62">
        <v>0</v>
      </c>
      <c r="AG2077" s="62">
        <v>0</v>
      </c>
      <c r="AH2077" s="146">
        <v>0</v>
      </c>
      <c r="AI2077" s="6"/>
    </row>
    <row r="2078" spans="1:35" x14ac:dyDescent="0.25">
      <c r="A2078" s="3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  <c r="AE2078" s="5"/>
      <c r="AF2078" s="5"/>
      <c r="AG2078" s="5"/>
      <c r="AH2078" s="5"/>
      <c r="AI2078" s="6"/>
    </row>
    <row r="2079" spans="1:35" ht="15.75" thickBot="1" x14ac:dyDescent="0.3">
      <c r="A2079" s="3"/>
      <c r="B2079" s="5"/>
      <c r="C2079" s="7">
        <v>32</v>
      </c>
      <c r="D2079" s="7">
        <v>33</v>
      </c>
      <c r="E2079" s="7">
        <v>34</v>
      </c>
      <c r="F2079" s="7">
        <v>35</v>
      </c>
      <c r="G2079" s="7">
        <v>36</v>
      </c>
      <c r="H2079" s="7">
        <v>37</v>
      </c>
      <c r="I2079" s="7">
        <v>38</v>
      </c>
      <c r="J2079" s="7">
        <v>39</v>
      </c>
      <c r="K2079" s="7">
        <v>40</v>
      </c>
      <c r="L2079" s="7">
        <v>41</v>
      </c>
      <c r="M2079" s="7">
        <v>42</v>
      </c>
      <c r="N2079" s="7">
        <v>43</v>
      </c>
      <c r="O2079" s="7">
        <v>44</v>
      </c>
      <c r="P2079" s="7">
        <v>45</v>
      </c>
      <c r="Q2079" s="7">
        <v>46</v>
      </c>
      <c r="R2079" s="7">
        <v>47</v>
      </c>
      <c r="S2079" s="7">
        <v>48</v>
      </c>
      <c r="T2079" s="7">
        <v>49</v>
      </c>
      <c r="U2079" s="7">
        <v>50</v>
      </c>
      <c r="V2079" s="7">
        <v>51</v>
      </c>
      <c r="W2079" s="7">
        <v>52</v>
      </c>
      <c r="X2079" s="7">
        <v>53</v>
      </c>
      <c r="Y2079" s="7">
        <v>54</v>
      </c>
      <c r="Z2079" s="7">
        <v>55</v>
      </c>
      <c r="AA2079" s="7">
        <v>56</v>
      </c>
      <c r="AB2079" s="7">
        <v>57</v>
      </c>
      <c r="AC2079" s="7">
        <v>58</v>
      </c>
      <c r="AD2079" s="7">
        <v>59</v>
      </c>
      <c r="AE2079" s="7">
        <v>60</v>
      </c>
      <c r="AF2079" s="7">
        <v>61</v>
      </c>
      <c r="AG2079" s="7">
        <v>62</v>
      </c>
      <c r="AH2079" s="7">
        <v>63</v>
      </c>
      <c r="AI2079" s="6"/>
    </row>
    <row r="2080" spans="1:35" ht="15.75" thickBot="1" x14ac:dyDescent="0.3">
      <c r="A2080" s="3"/>
      <c r="B2080" s="5"/>
      <c r="C2080" s="147" t="s">
        <v>13</v>
      </c>
      <c r="D2080" s="148" t="s">
        <v>14</v>
      </c>
      <c r="E2080" s="148" t="s">
        <v>15</v>
      </c>
      <c r="F2080" s="148" t="s">
        <v>16</v>
      </c>
      <c r="G2080" s="148" t="s">
        <v>17</v>
      </c>
      <c r="H2080" s="148" t="s">
        <v>18</v>
      </c>
      <c r="I2080" s="148" t="s">
        <v>19</v>
      </c>
      <c r="J2080" s="148" t="s">
        <v>20</v>
      </c>
      <c r="K2080" s="148" t="s">
        <v>21</v>
      </c>
      <c r="L2080" s="148" t="s">
        <v>22</v>
      </c>
      <c r="M2080" s="148" t="s">
        <v>23</v>
      </c>
      <c r="N2080" s="148" t="s">
        <v>24</v>
      </c>
      <c r="O2080" s="148" t="s">
        <v>25</v>
      </c>
      <c r="P2080" s="148" t="s">
        <v>26</v>
      </c>
      <c r="Q2080" s="148" t="s">
        <v>27</v>
      </c>
      <c r="R2080" s="342" t="s">
        <v>30</v>
      </c>
      <c r="S2080" s="343"/>
      <c r="T2080" s="343"/>
      <c r="U2080" s="343"/>
      <c r="V2080" s="343"/>
      <c r="W2080" s="343"/>
      <c r="X2080" s="343"/>
      <c r="Y2080" s="343"/>
      <c r="Z2080" s="343"/>
      <c r="AA2080" s="343"/>
      <c r="AB2080" s="343"/>
      <c r="AC2080" s="343"/>
      <c r="AD2080" s="343"/>
      <c r="AE2080" s="343"/>
      <c r="AF2080" s="344"/>
      <c r="AG2080" s="67" t="s">
        <v>28</v>
      </c>
      <c r="AH2080" s="149" t="s">
        <v>29</v>
      </c>
      <c r="AI2080" s="6"/>
    </row>
    <row r="2081" spans="1:35" ht="15.75" thickBot="1" x14ac:dyDescent="0.3">
      <c r="A2081" s="3"/>
      <c r="B2081" s="5"/>
      <c r="C2081" s="150">
        <v>0</v>
      </c>
      <c r="D2081" s="151">
        <v>0</v>
      </c>
      <c r="E2081" s="151">
        <v>0</v>
      </c>
      <c r="F2081" s="151">
        <v>0</v>
      </c>
      <c r="G2081" s="151">
        <v>0</v>
      </c>
      <c r="H2081" s="151">
        <v>0</v>
      </c>
      <c r="I2081" s="151">
        <v>0</v>
      </c>
      <c r="J2081" s="151">
        <v>0</v>
      </c>
      <c r="K2081" s="151">
        <v>0</v>
      </c>
      <c r="L2081" s="151">
        <v>0</v>
      </c>
      <c r="M2081" s="151">
        <v>0</v>
      </c>
      <c r="N2081" s="151">
        <v>0</v>
      </c>
      <c r="O2081" s="151">
        <v>1</v>
      </c>
      <c r="P2081" s="151">
        <v>0</v>
      </c>
      <c r="Q2081" s="151">
        <v>0</v>
      </c>
      <c r="R2081" s="151">
        <v>0</v>
      </c>
      <c r="S2081" s="151">
        <v>0</v>
      </c>
      <c r="T2081" s="151">
        <v>0</v>
      </c>
      <c r="U2081" s="151">
        <v>0</v>
      </c>
      <c r="V2081" s="151">
        <v>0</v>
      </c>
      <c r="W2081" s="151">
        <v>0</v>
      </c>
      <c r="X2081" s="151">
        <v>1</v>
      </c>
      <c r="Y2081" s="151">
        <v>1</v>
      </c>
      <c r="Z2081" s="151">
        <v>1</v>
      </c>
      <c r="AA2081" s="151">
        <v>0</v>
      </c>
      <c r="AB2081" s="151">
        <v>0</v>
      </c>
      <c r="AC2081" s="151">
        <v>0</v>
      </c>
      <c r="AD2081" s="151">
        <v>0</v>
      </c>
      <c r="AE2081" s="151">
        <v>0</v>
      </c>
      <c r="AF2081" s="151">
        <v>1</v>
      </c>
      <c r="AG2081" s="151">
        <v>0</v>
      </c>
      <c r="AH2081" s="152">
        <v>0</v>
      </c>
      <c r="AI2081" s="6"/>
    </row>
    <row r="2082" spans="1:35" x14ac:dyDescent="0.25">
      <c r="A2082" s="3"/>
      <c r="B2082" s="4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  <c r="AE2082" s="5"/>
      <c r="AF2082" s="5"/>
      <c r="AG2082" s="5"/>
      <c r="AH2082" s="5"/>
      <c r="AI2082" s="6"/>
    </row>
    <row r="2083" spans="1:35" x14ac:dyDescent="0.25">
      <c r="A2083" s="3"/>
      <c r="B2083" s="8" t="s">
        <v>43</v>
      </c>
      <c r="C2083" s="9"/>
      <c r="D2083" s="9"/>
      <c r="E2083" s="9"/>
      <c r="F2083" s="225" t="s">
        <v>44</v>
      </c>
      <c r="G2083" s="225"/>
      <c r="H2083" s="225"/>
      <c r="I2083" s="9"/>
      <c r="J2083" s="226" t="s">
        <v>45</v>
      </c>
      <c r="K2083" s="226"/>
      <c r="L2083" s="226"/>
      <c r="M2083" s="226"/>
      <c r="N2083" s="9"/>
      <c r="O2083" s="227" t="s">
        <v>46</v>
      </c>
      <c r="P2083" s="227"/>
      <c r="Q2083" s="227"/>
      <c r="R2083" s="227"/>
      <c r="S2083" s="9"/>
      <c r="T2083" s="1" t="s">
        <v>49</v>
      </c>
      <c r="U2083" s="10" t="s">
        <v>48</v>
      </c>
      <c r="V2083" s="5"/>
      <c r="W2083" s="9"/>
      <c r="X2083" s="9"/>
      <c r="Y2083" s="9"/>
      <c r="Z2083" s="9"/>
      <c r="AA2083" s="9"/>
      <c r="AB2083" s="9"/>
      <c r="AC2083" s="9"/>
      <c r="AD2083" s="9"/>
      <c r="AE2083" s="9"/>
      <c r="AF2083" s="9"/>
      <c r="AG2083" s="9"/>
      <c r="AH2083" s="9"/>
      <c r="AI2083" s="6"/>
    </row>
    <row r="2084" spans="1:35" x14ac:dyDescent="0.25">
      <c r="A2084" s="3"/>
      <c r="B2084" s="221" t="str">
        <f>"0x"&amp;DEC2HEX(Sheet3!$I$4,8)</f>
        <v>0x00400320</v>
      </c>
      <c r="C2084" s="221"/>
      <c r="D2084" s="221"/>
      <c r="E2084" s="12"/>
      <c r="F2084" s="319" t="str">
        <f>"0x"&amp;BIN2HEX(CONCATENATE(C2077,D2077,E2077,F2077,G2077,H2077,I2077,J2077),2)&amp;BIN2HEX(CONCATENATE(K2077,L2077,M2077,N2077,O2077,P2077,Q2077,R2077),2)&amp;BIN2HEX(CONCATENATE(S2077,T2077,U2077,V2077,W2077,X2077,Y2077,Z2077),2)&amp;BIN2HEX(CONCATENATE(AA2077,AB2077,AC2077,AD2077,AE2077,AF2077,AG2077,AH2077),2)</f>
        <v>0x00000000</v>
      </c>
      <c r="G2084" s="319"/>
      <c r="H2084" s="319"/>
      <c r="I2084" s="12"/>
      <c r="J2084" s="319" t="str">
        <f>"0b"&amp;C2081&amp;D2081&amp;E2081&amp;F2081&amp;G2081&amp;H2081&amp;I2081&amp;J2081&amp;K2081&amp;L2081&amp;M2081&amp;N2081&amp;O2081&amp;P2081&amp;Q2081</f>
        <v>0b000000000000100</v>
      </c>
      <c r="K2084" s="319"/>
      <c r="L2084" s="319"/>
      <c r="M2084" s="319"/>
      <c r="N2084" s="12"/>
      <c r="O2084" s="319" t="str">
        <f>"0b"&amp;DEC2BIN(((AF2081+AE2081*2+AD2081*4+AC2081*8+AB2081*16+AA2081*32+Z2081*64+Y2081*128+X2081*256+W2081*512+V2081*1024+U2081*2048+T2081*4096+S2081*2^13+R2081*2^14)/512),6)&amp;DEC2BIN(MOD((AF2081+AE2081*2+AD2081*4+AC2081*8+AB2081*16+AA2081*32+Z2081*64+Y2081*128+X2081*256+W2081*512+V2081*1024+U2081*2048+T2081*4096+S2081*2^13+R2081*2^14),512),9)</f>
        <v>0b000000111000001</v>
      </c>
      <c r="P2084" s="319"/>
      <c r="Q2084" s="319"/>
      <c r="R2084" s="319"/>
      <c r="S2084" s="12"/>
      <c r="T2084" s="224">
        <v>0</v>
      </c>
      <c r="U2084" s="224">
        <f>AH2081</f>
        <v>0</v>
      </c>
      <c r="V2084" s="5"/>
      <c r="W2084" s="14"/>
      <c r="X2084" s="14"/>
      <c r="Y2084" s="14"/>
      <c r="Z2084" s="14"/>
      <c r="AA2084" s="14"/>
      <c r="AB2084" s="14"/>
      <c r="AC2084" s="14"/>
      <c r="AD2084" s="14"/>
      <c r="AE2084" s="14"/>
      <c r="AF2084" s="14"/>
      <c r="AG2084" s="14"/>
      <c r="AH2084" s="14"/>
      <c r="AI2084" s="6"/>
    </row>
    <row r="2085" spans="1:35" x14ac:dyDescent="0.25">
      <c r="A2085" s="3"/>
      <c r="B2085" s="221"/>
      <c r="C2085" s="221"/>
      <c r="D2085" s="221"/>
      <c r="E2085" s="15"/>
      <c r="F2085" s="222"/>
      <c r="G2085" s="222"/>
      <c r="H2085" s="222"/>
      <c r="I2085" s="15"/>
      <c r="J2085" s="221"/>
      <c r="K2085" s="221"/>
      <c r="L2085" s="221"/>
      <c r="M2085" s="221"/>
      <c r="N2085" s="15"/>
      <c r="O2085" s="221"/>
      <c r="P2085" s="221"/>
      <c r="Q2085" s="221"/>
      <c r="R2085" s="221"/>
      <c r="S2085" s="15"/>
      <c r="T2085" s="224"/>
      <c r="U2085" s="15"/>
      <c r="V2085" s="5"/>
      <c r="W2085" s="16"/>
      <c r="X2085" s="16"/>
      <c r="Y2085" s="16"/>
      <c r="Z2085" s="16"/>
      <c r="AA2085" s="16"/>
      <c r="AB2085" s="16"/>
      <c r="AC2085" s="16"/>
      <c r="AD2085" s="16"/>
      <c r="AE2085" s="16"/>
      <c r="AF2085" s="16"/>
      <c r="AG2085" s="16"/>
      <c r="AH2085" s="16"/>
      <c r="AI2085" s="6"/>
    </row>
    <row r="2086" spans="1:35" x14ac:dyDescent="0.25">
      <c r="A2086" s="3"/>
      <c r="B2086" s="221"/>
      <c r="C2086" s="221"/>
      <c r="D2086" s="221"/>
      <c r="E2086" s="15"/>
      <c r="F2086" s="222"/>
      <c r="G2086" s="222"/>
      <c r="H2086" s="222"/>
      <c r="I2086" s="15"/>
      <c r="J2086" s="221"/>
      <c r="K2086" s="221"/>
      <c r="L2086" s="221"/>
      <c r="M2086" s="221"/>
      <c r="N2086" s="15"/>
      <c r="O2086" s="221"/>
      <c r="P2086" s="221"/>
      <c r="Q2086" s="221"/>
      <c r="R2086" s="221"/>
      <c r="S2086" s="15"/>
      <c r="T2086" s="224"/>
      <c r="U2086" s="15"/>
      <c r="V2086" s="5"/>
      <c r="W2086" s="16"/>
      <c r="X2086" s="16"/>
      <c r="Y2086" s="16"/>
      <c r="Z2086" s="16"/>
      <c r="AA2086" s="16"/>
      <c r="AB2086" s="16"/>
      <c r="AC2086" s="16"/>
      <c r="AD2086" s="16"/>
      <c r="AE2086" s="16"/>
      <c r="AF2086" s="16"/>
      <c r="AG2086" s="16"/>
      <c r="AH2086" s="16"/>
      <c r="AI2086" s="6"/>
    </row>
    <row r="2087" spans="1:35" x14ac:dyDescent="0.25">
      <c r="A2087" s="3"/>
      <c r="B2087" s="5"/>
      <c r="C2087" s="5"/>
      <c r="D2087" s="5"/>
      <c r="E2087" s="5"/>
      <c r="F2087" s="17"/>
      <c r="G2087" s="17"/>
      <c r="H2087" s="17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  <c r="AE2087" s="5"/>
      <c r="AF2087" s="5"/>
      <c r="AG2087" s="5"/>
      <c r="AH2087" s="5"/>
      <c r="AI2087" s="6"/>
    </row>
    <row r="2088" spans="1:35" x14ac:dyDescent="0.25">
      <c r="A2088" s="3"/>
      <c r="B2088" s="5" t="s">
        <v>47</v>
      </c>
      <c r="C2088" s="18"/>
      <c r="D2088" s="18"/>
      <c r="E2088" s="18"/>
      <c r="F2088" s="5"/>
      <c r="G2088" s="5"/>
      <c r="H2088" s="5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  <c r="AB2088" s="18"/>
      <c r="AC2088" s="18"/>
      <c r="AD2088" s="18"/>
      <c r="AE2088" s="18"/>
      <c r="AF2088" s="18"/>
      <c r="AG2088" s="18"/>
      <c r="AH2088" s="18"/>
      <c r="AI2088" s="6"/>
    </row>
    <row r="2089" spans="1:35" x14ac:dyDescent="0.25">
      <c r="A2089" s="3"/>
      <c r="B2089" s="221" t="str">
        <f>"0x"&amp;DEC2HEX(Sheet3!$I$4,8)</f>
        <v>0x00400320</v>
      </c>
      <c r="C2089" s="221"/>
      <c r="D2089" s="221"/>
      <c r="E2089" s="16"/>
      <c r="F2089" s="322" t="str">
        <f>F2084&amp;BIN2HEX(MID(J2084,3,8),2)&amp;BIN2HEX(RIGHT(J2084,7)&amp;MID(O2084,3,1),2)&amp;BIN2HEX(MID(O2084,4,8),2)&amp;BIN2HEX(RIGHT(O2084,6)&amp;T2084&amp;U2084,2)</f>
        <v>0x0000000000080704</v>
      </c>
      <c r="G2089" s="322"/>
      <c r="H2089" s="322"/>
      <c r="I2089" s="322"/>
      <c r="J2089" s="5"/>
      <c r="K2089" s="5"/>
      <c r="L2089" s="5"/>
      <c r="M2089" s="5"/>
      <c r="N2089" s="5"/>
      <c r="O2089" s="5"/>
      <c r="P2089" s="16"/>
      <c r="Q2089" s="16"/>
      <c r="R2089" s="19"/>
      <c r="S2089" s="19"/>
      <c r="T2089" s="19"/>
      <c r="U2089" s="19"/>
      <c r="V2089" s="19"/>
      <c r="W2089" s="19"/>
      <c r="X2089" s="19"/>
      <c r="Y2089" s="19"/>
      <c r="Z2089" s="19"/>
      <c r="AA2089" s="19"/>
      <c r="AB2089" s="19"/>
      <c r="AC2089" s="19"/>
      <c r="AD2089" s="19"/>
      <c r="AE2089" s="19"/>
      <c r="AF2089" s="19"/>
      <c r="AG2089" s="5"/>
      <c r="AH2089" s="5"/>
      <c r="AI2089" s="6"/>
    </row>
    <row r="2090" spans="1:35" x14ac:dyDescent="0.25">
      <c r="A2090" s="3"/>
      <c r="B2090" s="221"/>
      <c r="C2090" s="221"/>
      <c r="D2090" s="221"/>
      <c r="E2090" s="5"/>
      <c r="F2090" s="223"/>
      <c r="G2090" s="223"/>
      <c r="H2090" s="223"/>
      <c r="I2090" s="223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  <c r="AE2090" s="5"/>
      <c r="AF2090" s="5"/>
      <c r="AG2090" s="5"/>
      <c r="AH2090" s="5"/>
      <c r="AI2090" s="6"/>
    </row>
    <row r="2091" spans="1:35" x14ac:dyDescent="0.25">
      <c r="A2091" s="3"/>
      <c r="B2091" s="221"/>
      <c r="C2091" s="221"/>
      <c r="D2091" s="221"/>
      <c r="E2091" s="5"/>
      <c r="F2091" s="223"/>
      <c r="G2091" s="223"/>
      <c r="H2091" s="223"/>
      <c r="I2091" s="223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  <c r="AE2091" s="5"/>
      <c r="AF2091" s="5"/>
      <c r="AG2091" s="5"/>
      <c r="AH2091" s="5"/>
      <c r="AI2091" s="6"/>
    </row>
    <row r="2092" spans="1:35" x14ac:dyDescent="0.25">
      <c r="A2092" s="20"/>
      <c r="B2092" s="21"/>
      <c r="C2092" s="21"/>
      <c r="D2092" s="21"/>
      <c r="E2092" s="21"/>
      <c r="F2092" s="21"/>
      <c r="G2092" s="21"/>
      <c r="H2092" s="21"/>
      <c r="I2092" s="21"/>
      <c r="J2092" s="21"/>
      <c r="K2092" s="21"/>
      <c r="L2092" s="21"/>
      <c r="M2092" s="21"/>
      <c r="N2092" s="21"/>
      <c r="O2092" s="22"/>
      <c r="P2092" s="21"/>
      <c r="Q2092" s="21"/>
      <c r="R2092" s="21"/>
      <c r="S2092" s="21"/>
      <c r="T2092" s="21"/>
      <c r="U2092" s="21"/>
      <c r="V2092" s="21"/>
      <c r="W2092" s="21"/>
      <c r="X2092" s="21"/>
      <c r="Y2092" s="21"/>
      <c r="Z2092" s="21"/>
      <c r="AA2092" s="21"/>
      <c r="AB2092" s="21"/>
      <c r="AC2092" s="21"/>
      <c r="AD2092" s="21"/>
      <c r="AE2092" s="21"/>
      <c r="AF2092" s="21"/>
      <c r="AG2092" s="21"/>
      <c r="AH2092" s="21"/>
      <c r="AI2092" s="23"/>
    </row>
    <row r="2093" spans="1:35" x14ac:dyDescent="0.25">
      <c r="A2093" s="24"/>
      <c r="B2093" s="28"/>
      <c r="C2093" s="25"/>
      <c r="D2093" s="25"/>
      <c r="E2093" s="25"/>
      <c r="F2093" s="25"/>
      <c r="G2093" s="25"/>
      <c r="H2093" s="25"/>
      <c r="I2093" s="25"/>
      <c r="J2093" s="25"/>
      <c r="K2093" s="25"/>
      <c r="L2093" s="25"/>
      <c r="M2093" s="25"/>
      <c r="N2093" s="25"/>
      <c r="O2093" s="25"/>
      <c r="P2093" s="25"/>
      <c r="Q2093" s="25"/>
      <c r="R2093" s="25"/>
      <c r="S2093" s="25"/>
      <c r="T2093" s="25"/>
      <c r="U2093" s="25"/>
      <c r="V2093" s="25"/>
      <c r="W2093" s="25"/>
      <c r="X2093" s="25"/>
      <c r="Y2093" s="25"/>
      <c r="Z2093" s="25"/>
      <c r="AA2093" s="25"/>
      <c r="AB2093" s="25"/>
      <c r="AC2093" s="25"/>
      <c r="AD2093" s="25"/>
      <c r="AE2093" s="25"/>
      <c r="AF2093" s="25"/>
      <c r="AG2093" s="25"/>
      <c r="AH2093" s="25"/>
      <c r="AI2093" s="26"/>
    </row>
    <row r="2094" spans="1:35" x14ac:dyDescent="0.25">
      <c r="A2094" s="3"/>
      <c r="B2094" s="4" t="s">
        <v>361</v>
      </c>
      <c r="C2094" s="5"/>
      <c r="D2094" s="5"/>
      <c r="E2094" s="5"/>
      <c r="F2094" s="5"/>
      <c r="G2094" s="5"/>
      <c r="H2094" s="5"/>
      <c r="I2094" s="5" t="str">
        <f>"0x"&amp;BIN2HEX(CONCATENATE(C2099,D2099,E2099,F2099,G2099,H2099,I2099,J2099),2)&amp;BIN2HEX(CONCATENATE(K2099,L2099,M2099,N2099,O2099,P2099,Q2099,R2099),2)&amp;BIN2HEX(CONCATENATE(S2099,T2099,U2099,V2099,W2099,X2099,Y2099,Z2099),2)&amp;BIN2HEX(CONCATENATE(AA2099,AB2099,AC2099,AD2099,AE2099,AF2099,AG2099,AH2099),2)&amp;"_"&amp;BIN2HEX(CONCATENATE(C2103,D2103,E2103,F2103,G2103,H2103,I2103,J2103),2)&amp;BIN2HEX(CONCATENATE(K2103,L2103,M2103,N2103,O2103,P2103,Q2103,R2103),2)&amp;BIN2HEX(CONCATENATE(S2103,T2103,U2103,V2103,W2103,X2103,Y2103,Z2103),2)&amp;BIN2HEX(CONCATENATE(AA2103,AB2103,AC2103,AD2103,AE2103,AF2103,AG2103,AH2103),2)</f>
        <v>0x00000000_00080708</v>
      </c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  <c r="AE2094" s="5"/>
      <c r="AF2094" s="5"/>
      <c r="AG2094" s="5"/>
      <c r="AH2094" s="5"/>
      <c r="AI2094" s="6"/>
    </row>
    <row r="2095" spans="1:35" ht="15.75" thickBot="1" x14ac:dyDescent="0.3">
      <c r="A2095" s="3"/>
      <c r="B2095" s="5"/>
      <c r="C2095" s="7">
        <v>0</v>
      </c>
      <c r="D2095" s="7">
        <v>1</v>
      </c>
      <c r="E2095" s="7">
        <v>2</v>
      </c>
      <c r="F2095" s="7">
        <v>3</v>
      </c>
      <c r="G2095" s="7">
        <v>4</v>
      </c>
      <c r="H2095" s="7">
        <v>5</v>
      </c>
      <c r="I2095" s="7">
        <v>6</v>
      </c>
      <c r="J2095" s="7">
        <v>7</v>
      </c>
      <c r="K2095" s="7">
        <v>8</v>
      </c>
      <c r="L2095" s="7">
        <v>9</v>
      </c>
      <c r="M2095" s="7">
        <v>10</v>
      </c>
      <c r="N2095" s="7">
        <v>11</v>
      </c>
      <c r="O2095" s="7">
        <v>12</v>
      </c>
      <c r="P2095" s="7">
        <v>13</v>
      </c>
      <c r="Q2095" s="7">
        <v>14</v>
      </c>
      <c r="R2095" s="7">
        <v>15</v>
      </c>
      <c r="S2095" s="7">
        <v>16</v>
      </c>
      <c r="T2095" s="7">
        <v>17</v>
      </c>
      <c r="U2095" s="7">
        <v>18</v>
      </c>
      <c r="V2095" s="7">
        <v>19</v>
      </c>
      <c r="W2095" s="7">
        <v>20</v>
      </c>
      <c r="X2095" s="7">
        <v>21</v>
      </c>
      <c r="Y2095" s="7">
        <v>22</v>
      </c>
      <c r="Z2095" s="7">
        <v>23</v>
      </c>
      <c r="AA2095" s="7">
        <v>24</v>
      </c>
      <c r="AB2095" s="7">
        <v>25</v>
      </c>
      <c r="AC2095" s="7">
        <v>26</v>
      </c>
      <c r="AD2095" s="7">
        <v>27</v>
      </c>
      <c r="AE2095" s="7">
        <v>28</v>
      </c>
      <c r="AF2095" s="7">
        <v>29</v>
      </c>
      <c r="AG2095" s="7">
        <v>30</v>
      </c>
      <c r="AH2095" s="7">
        <v>31</v>
      </c>
      <c r="AI2095" s="6"/>
    </row>
    <row r="2096" spans="1:35" x14ac:dyDescent="0.25">
      <c r="A2096" s="3"/>
      <c r="B2096" s="5" t="s">
        <v>31</v>
      </c>
      <c r="C2096" s="328" t="s">
        <v>161</v>
      </c>
      <c r="D2096" s="330" t="s">
        <v>63</v>
      </c>
      <c r="E2096" s="331"/>
      <c r="F2096" s="331"/>
      <c r="G2096" s="331"/>
      <c r="H2096" s="331"/>
      <c r="I2096" s="331"/>
      <c r="J2096" s="332"/>
      <c r="K2096" s="336">
        <v>0</v>
      </c>
      <c r="L2096" s="337"/>
      <c r="M2096" s="337"/>
      <c r="N2096" s="337"/>
      <c r="O2096" s="337"/>
      <c r="P2096" s="337"/>
      <c r="Q2096" s="337"/>
      <c r="R2096" s="337"/>
      <c r="S2096" s="337"/>
      <c r="T2096" s="337"/>
      <c r="U2096" s="337"/>
      <c r="V2096" s="337"/>
      <c r="W2096" s="337"/>
      <c r="X2096" s="337"/>
      <c r="Y2096" s="337"/>
      <c r="Z2096" s="337"/>
      <c r="AA2096" s="337"/>
      <c r="AB2096" s="337"/>
      <c r="AC2096" s="337"/>
      <c r="AD2096" s="337"/>
      <c r="AE2096" s="337"/>
      <c r="AF2096" s="337"/>
      <c r="AG2096" s="337"/>
      <c r="AH2096" s="338"/>
      <c r="AI2096" s="6"/>
    </row>
    <row r="2097" spans="1:35" x14ac:dyDescent="0.25">
      <c r="A2097" s="3"/>
      <c r="B2097" s="5" t="s">
        <v>32</v>
      </c>
      <c r="C2097" s="329"/>
      <c r="D2097" s="333"/>
      <c r="E2097" s="334"/>
      <c r="F2097" s="334"/>
      <c r="G2097" s="334"/>
      <c r="H2097" s="334"/>
      <c r="I2097" s="334"/>
      <c r="J2097" s="335"/>
      <c r="K2097" s="339"/>
      <c r="L2097" s="340"/>
      <c r="M2097" s="340"/>
      <c r="N2097" s="340"/>
      <c r="O2097" s="340"/>
      <c r="P2097" s="340"/>
      <c r="Q2097" s="340"/>
      <c r="R2097" s="340"/>
      <c r="S2097" s="340"/>
      <c r="T2097" s="340"/>
      <c r="U2097" s="340"/>
      <c r="V2097" s="340"/>
      <c r="W2097" s="340"/>
      <c r="X2097" s="340"/>
      <c r="Y2097" s="340"/>
      <c r="Z2097" s="340"/>
      <c r="AA2097" s="340"/>
      <c r="AB2097" s="340"/>
      <c r="AC2097" s="340"/>
      <c r="AD2097" s="340"/>
      <c r="AE2097" s="340"/>
      <c r="AF2097" s="340"/>
      <c r="AG2097" s="340"/>
      <c r="AH2097" s="341"/>
      <c r="AI2097" s="6"/>
    </row>
    <row r="2098" spans="1:35" x14ac:dyDescent="0.25">
      <c r="A2098" s="3"/>
      <c r="B2098" s="5" t="s">
        <v>11</v>
      </c>
      <c r="C2098" s="56">
        <v>0</v>
      </c>
      <c r="D2098" s="57">
        <v>0</v>
      </c>
      <c r="E2098" s="57">
        <v>0</v>
      </c>
      <c r="F2098" s="57">
        <v>0</v>
      </c>
      <c r="G2098" s="57">
        <v>0</v>
      </c>
      <c r="H2098" s="57">
        <v>0</v>
      </c>
      <c r="I2098" s="57">
        <v>0</v>
      </c>
      <c r="J2098" s="57">
        <v>0</v>
      </c>
      <c r="K2098" s="57">
        <v>0</v>
      </c>
      <c r="L2098" s="57">
        <v>0</v>
      </c>
      <c r="M2098" s="57">
        <v>0</v>
      </c>
      <c r="N2098" s="57">
        <v>0</v>
      </c>
      <c r="O2098" s="57">
        <v>0</v>
      </c>
      <c r="P2098" s="57">
        <v>0</v>
      </c>
      <c r="Q2098" s="57">
        <v>0</v>
      </c>
      <c r="R2098" s="57">
        <v>0</v>
      </c>
      <c r="S2098" s="57">
        <v>0</v>
      </c>
      <c r="T2098" s="57">
        <v>0</v>
      </c>
      <c r="U2098" s="57">
        <v>0</v>
      </c>
      <c r="V2098" s="57">
        <v>0</v>
      </c>
      <c r="W2098" s="57">
        <v>0</v>
      </c>
      <c r="X2098" s="57">
        <v>0</v>
      </c>
      <c r="Y2098" s="57">
        <v>0</v>
      </c>
      <c r="Z2098" s="57">
        <v>0</v>
      </c>
      <c r="AA2098" s="57">
        <v>0</v>
      </c>
      <c r="AB2098" s="57">
        <v>0</v>
      </c>
      <c r="AC2098" s="57">
        <v>0</v>
      </c>
      <c r="AD2098" s="57">
        <v>0</v>
      </c>
      <c r="AE2098" s="57">
        <v>0</v>
      </c>
      <c r="AF2098" s="57">
        <v>0</v>
      </c>
      <c r="AG2098" s="57">
        <v>0</v>
      </c>
      <c r="AH2098" s="58">
        <v>0</v>
      </c>
      <c r="AI2098" s="6"/>
    </row>
    <row r="2099" spans="1:35" ht="15.75" thickBot="1" x14ac:dyDescent="0.3">
      <c r="A2099" s="3"/>
      <c r="B2099" s="5" t="s">
        <v>12</v>
      </c>
      <c r="C2099" s="145">
        <v>0</v>
      </c>
      <c r="D2099" s="88">
        <v>0</v>
      </c>
      <c r="E2099" s="88">
        <v>0</v>
      </c>
      <c r="F2099" s="88">
        <v>0</v>
      </c>
      <c r="G2099" s="88">
        <v>0</v>
      </c>
      <c r="H2099" s="88">
        <v>0</v>
      </c>
      <c r="I2099" s="88">
        <v>0</v>
      </c>
      <c r="J2099" s="88">
        <v>0</v>
      </c>
      <c r="K2099" s="62">
        <v>0</v>
      </c>
      <c r="L2099" s="62">
        <v>0</v>
      </c>
      <c r="M2099" s="62">
        <v>0</v>
      </c>
      <c r="N2099" s="62">
        <v>0</v>
      </c>
      <c r="O2099" s="62">
        <v>0</v>
      </c>
      <c r="P2099" s="62">
        <v>0</v>
      </c>
      <c r="Q2099" s="62">
        <v>0</v>
      </c>
      <c r="R2099" s="62">
        <v>0</v>
      </c>
      <c r="S2099" s="62">
        <v>0</v>
      </c>
      <c r="T2099" s="62">
        <v>0</v>
      </c>
      <c r="U2099" s="62">
        <v>0</v>
      </c>
      <c r="V2099" s="62">
        <v>0</v>
      </c>
      <c r="W2099" s="62">
        <v>0</v>
      </c>
      <c r="X2099" s="62">
        <v>0</v>
      </c>
      <c r="Y2099" s="62">
        <v>0</v>
      </c>
      <c r="Z2099" s="62">
        <v>0</v>
      </c>
      <c r="AA2099" s="62">
        <v>0</v>
      </c>
      <c r="AB2099" s="62">
        <v>0</v>
      </c>
      <c r="AC2099" s="62">
        <v>0</v>
      </c>
      <c r="AD2099" s="62">
        <v>0</v>
      </c>
      <c r="AE2099" s="62">
        <v>0</v>
      </c>
      <c r="AF2099" s="62">
        <v>0</v>
      </c>
      <c r="AG2099" s="62">
        <v>0</v>
      </c>
      <c r="AH2099" s="146">
        <v>0</v>
      </c>
      <c r="AI2099" s="6"/>
    </row>
    <row r="2100" spans="1:35" x14ac:dyDescent="0.25">
      <c r="A2100" s="3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  <c r="AE2100" s="5"/>
      <c r="AF2100" s="5"/>
      <c r="AG2100" s="5"/>
      <c r="AH2100" s="5"/>
      <c r="AI2100" s="6"/>
    </row>
    <row r="2101" spans="1:35" ht="15.75" thickBot="1" x14ac:dyDescent="0.3">
      <c r="A2101" s="3"/>
      <c r="B2101" s="5"/>
      <c r="C2101" s="7">
        <v>32</v>
      </c>
      <c r="D2101" s="7">
        <v>33</v>
      </c>
      <c r="E2101" s="7">
        <v>34</v>
      </c>
      <c r="F2101" s="7">
        <v>35</v>
      </c>
      <c r="G2101" s="7">
        <v>36</v>
      </c>
      <c r="H2101" s="7">
        <v>37</v>
      </c>
      <c r="I2101" s="7">
        <v>38</v>
      </c>
      <c r="J2101" s="7">
        <v>39</v>
      </c>
      <c r="K2101" s="7">
        <v>40</v>
      </c>
      <c r="L2101" s="7">
        <v>41</v>
      </c>
      <c r="M2101" s="7">
        <v>42</v>
      </c>
      <c r="N2101" s="7">
        <v>43</v>
      </c>
      <c r="O2101" s="7">
        <v>44</v>
      </c>
      <c r="P2101" s="7">
        <v>45</v>
      </c>
      <c r="Q2101" s="7">
        <v>46</v>
      </c>
      <c r="R2101" s="7">
        <v>47</v>
      </c>
      <c r="S2101" s="7">
        <v>48</v>
      </c>
      <c r="T2101" s="7">
        <v>49</v>
      </c>
      <c r="U2101" s="7">
        <v>50</v>
      </c>
      <c r="V2101" s="7">
        <v>51</v>
      </c>
      <c r="W2101" s="7">
        <v>52</v>
      </c>
      <c r="X2101" s="7">
        <v>53</v>
      </c>
      <c r="Y2101" s="7">
        <v>54</v>
      </c>
      <c r="Z2101" s="7">
        <v>55</v>
      </c>
      <c r="AA2101" s="7">
        <v>56</v>
      </c>
      <c r="AB2101" s="7">
        <v>57</v>
      </c>
      <c r="AC2101" s="7">
        <v>58</v>
      </c>
      <c r="AD2101" s="7">
        <v>59</v>
      </c>
      <c r="AE2101" s="7">
        <v>60</v>
      </c>
      <c r="AF2101" s="7">
        <v>61</v>
      </c>
      <c r="AG2101" s="7">
        <v>62</v>
      </c>
      <c r="AH2101" s="7">
        <v>63</v>
      </c>
      <c r="AI2101" s="6"/>
    </row>
    <row r="2102" spans="1:35" ht="15.75" thickBot="1" x14ac:dyDescent="0.3">
      <c r="A2102" s="3"/>
      <c r="B2102" s="5"/>
      <c r="C2102" s="147" t="s">
        <v>13</v>
      </c>
      <c r="D2102" s="148" t="s">
        <v>14</v>
      </c>
      <c r="E2102" s="148" t="s">
        <v>15</v>
      </c>
      <c r="F2102" s="148" t="s">
        <v>16</v>
      </c>
      <c r="G2102" s="148" t="s">
        <v>17</v>
      </c>
      <c r="H2102" s="148" t="s">
        <v>18</v>
      </c>
      <c r="I2102" s="148" t="s">
        <v>19</v>
      </c>
      <c r="J2102" s="148" t="s">
        <v>20</v>
      </c>
      <c r="K2102" s="148" t="s">
        <v>21</v>
      </c>
      <c r="L2102" s="148" t="s">
        <v>22</v>
      </c>
      <c r="M2102" s="148" t="s">
        <v>23</v>
      </c>
      <c r="N2102" s="148" t="s">
        <v>24</v>
      </c>
      <c r="O2102" s="148" t="s">
        <v>25</v>
      </c>
      <c r="P2102" s="148" t="s">
        <v>26</v>
      </c>
      <c r="Q2102" s="148" t="s">
        <v>27</v>
      </c>
      <c r="R2102" s="342" t="s">
        <v>30</v>
      </c>
      <c r="S2102" s="343"/>
      <c r="T2102" s="343"/>
      <c r="U2102" s="343"/>
      <c r="V2102" s="343"/>
      <c r="W2102" s="343"/>
      <c r="X2102" s="343"/>
      <c r="Y2102" s="343"/>
      <c r="Z2102" s="343"/>
      <c r="AA2102" s="343"/>
      <c r="AB2102" s="343"/>
      <c r="AC2102" s="343"/>
      <c r="AD2102" s="343"/>
      <c r="AE2102" s="343"/>
      <c r="AF2102" s="344"/>
      <c r="AG2102" s="67" t="s">
        <v>28</v>
      </c>
      <c r="AH2102" s="149" t="s">
        <v>29</v>
      </c>
      <c r="AI2102" s="6"/>
    </row>
    <row r="2103" spans="1:35" ht="15.75" thickBot="1" x14ac:dyDescent="0.3">
      <c r="A2103" s="3"/>
      <c r="B2103" s="5"/>
      <c r="C2103" s="150">
        <v>0</v>
      </c>
      <c r="D2103" s="151">
        <v>0</v>
      </c>
      <c r="E2103" s="151">
        <v>0</v>
      </c>
      <c r="F2103" s="151">
        <v>0</v>
      </c>
      <c r="G2103" s="151">
        <v>0</v>
      </c>
      <c r="H2103" s="151">
        <v>0</v>
      </c>
      <c r="I2103" s="151">
        <v>0</v>
      </c>
      <c r="J2103" s="151">
        <v>0</v>
      </c>
      <c r="K2103" s="151">
        <v>0</v>
      </c>
      <c r="L2103" s="151">
        <v>0</v>
      </c>
      <c r="M2103" s="151">
        <v>0</v>
      </c>
      <c r="N2103" s="151">
        <v>0</v>
      </c>
      <c r="O2103" s="151">
        <v>1</v>
      </c>
      <c r="P2103" s="151">
        <v>0</v>
      </c>
      <c r="Q2103" s="151">
        <v>0</v>
      </c>
      <c r="R2103" s="151">
        <v>0</v>
      </c>
      <c r="S2103" s="151">
        <v>0</v>
      </c>
      <c r="T2103" s="151">
        <v>0</v>
      </c>
      <c r="U2103" s="151">
        <v>0</v>
      </c>
      <c r="V2103" s="151">
        <v>0</v>
      </c>
      <c r="W2103" s="151">
        <v>0</v>
      </c>
      <c r="X2103" s="151">
        <v>1</v>
      </c>
      <c r="Y2103" s="151">
        <v>1</v>
      </c>
      <c r="Z2103" s="151">
        <v>1</v>
      </c>
      <c r="AA2103" s="151">
        <v>0</v>
      </c>
      <c r="AB2103" s="151">
        <v>0</v>
      </c>
      <c r="AC2103" s="151">
        <v>0</v>
      </c>
      <c r="AD2103" s="151">
        <v>0</v>
      </c>
      <c r="AE2103" s="151">
        <v>1</v>
      </c>
      <c r="AF2103" s="151">
        <v>0</v>
      </c>
      <c r="AG2103" s="151">
        <v>0</v>
      </c>
      <c r="AH2103" s="152">
        <v>0</v>
      </c>
      <c r="AI2103" s="6"/>
    </row>
    <row r="2104" spans="1:35" x14ac:dyDescent="0.25">
      <c r="A2104" s="3"/>
      <c r="B2104" s="4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5"/>
      <c r="AI2104" s="6"/>
    </row>
    <row r="2105" spans="1:35" x14ac:dyDescent="0.25">
      <c r="A2105" s="3"/>
      <c r="B2105" s="8" t="s">
        <v>43</v>
      </c>
      <c r="C2105" s="9"/>
      <c r="D2105" s="9"/>
      <c r="E2105" s="9"/>
      <c r="F2105" s="225" t="s">
        <v>44</v>
      </c>
      <c r="G2105" s="225"/>
      <c r="H2105" s="225"/>
      <c r="I2105" s="9"/>
      <c r="J2105" s="226" t="s">
        <v>45</v>
      </c>
      <c r="K2105" s="226"/>
      <c r="L2105" s="226"/>
      <c r="M2105" s="226"/>
      <c r="N2105" s="9"/>
      <c r="O2105" s="227" t="s">
        <v>46</v>
      </c>
      <c r="P2105" s="227"/>
      <c r="Q2105" s="227"/>
      <c r="R2105" s="227"/>
      <c r="S2105" s="9"/>
      <c r="T2105" s="1" t="s">
        <v>49</v>
      </c>
      <c r="U2105" s="10" t="s">
        <v>48</v>
      </c>
      <c r="V2105" s="5"/>
      <c r="W2105" s="9"/>
      <c r="X2105" s="9"/>
      <c r="Y2105" s="9"/>
      <c r="Z2105" s="9"/>
      <c r="AA2105" s="9"/>
      <c r="AB2105" s="9"/>
      <c r="AC2105" s="9"/>
      <c r="AD2105" s="9"/>
      <c r="AE2105" s="9"/>
      <c r="AF2105" s="9"/>
      <c r="AG2105" s="9"/>
      <c r="AH2105" s="9"/>
      <c r="AI2105" s="6"/>
    </row>
    <row r="2106" spans="1:35" x14ac:dyDescent="0.25">
      <c r="A2106" s="3"/>
      <c r="B2106" s="221" t="str">
        <f>"0x"&amp;DEC2HEX(Sheet3!$I$4,8)</f>
        <v>0x00400320</v>
      </c>
      <c r="C2106" s="221"/>
      <c r="D2106" s="221"/>
      <c r="E2106" s="12"/>
      <c r="F2106" s="319" t="str">
        <f>"0x"&amp;BIN2HEX(CONCATENATE(C2099,D2099,E2099,F2099,G2099,H2099,I2099,J2099),2)&amp;BIN2HEX(CONCATENATE(K2099,L2099,M2099,N2099,O2099,P2099,Q2099,R2099),2)&amp;BIN2HEX(CONCATENATE(S2099,T2099,U2099,V2099,W2099,X2099,Y2099,Z2099),2)&amp;BIN2HEX(CONCATENATE(AA2099,AB2099,AC2099,AD2099,AE2099,AF2099,AG2099,AH2099),2)</f>
        <v>0x00000000</v>
      </c>
      <c r="G2106" s="319"/>
      <c r="H2106" s="319"/>
      <c r="I2106" s="12"/>
      <c r="J2106" s="319" t="str">
        <f>"0b"&amp;C2103&amp;D2103&amp;E2103&amp;F2103&amp;G2103&amp;H2103&amp;I2103&amp;J2103&amp;K2103&amp;L2103&amp;M2103&amp;N2103&amp;O2103&amp;P2103&amp;Q2103</f>
        <v>0b000000000000100</v>
      </c>
      <c r="K2106" s="319"/>
      <c r="L2106" s="319"/>
      <c r="M2106" s="319"/>
      <c r="N2106" s="12"/>
      <c r="O2106" s="319" t="str">
        <f>"0b"&amp;DEC2BIN(((AF2103+AE2103*2+AD2103*4+AC2103*8+AB2103*16+AA2103*32+Z2103*64+Y2103*128+X2103*256+W2103*512+V2103*1024+U2103*2048+T2103*4096+S2103*2^13+R2103*2^14)/512),6)&amp;DEC2BIN(MOD((AF2103+AE2103*2+AD2103*4+AC2103*8+AB2103*16+AA2103*32+Z2103*64+Y2103*128+X2103*256+W2103*512+V2103*1024+U2103*2048+T2103*4096+S2103*2^13+R2103*2^14),512),9)</f>
        <v>0b000000111000010</v>
      </c>
      <c r="P2106" s="319"/>
      <c r="Q2106" s="319"/>
      <c r="R2106" s="319"/>
      <c r="S2106" s="12"/>
      <c r="T2106" s="224">
        <v>0</v>
      </c>
      <c r="U2106" s="224">
        <f>AH2103</f>
        <v>0</v>
      </c>
      <c r="V2106" s="5"/>
      <c r="W2106" s="14"/>
      <c r="X2106" s="14"/>
      <c r="Y2106" s="14"/>
      <c r="Z2106" s="14"/>
      <c r="AA2106" s="14"/>
      <c r="AB2106" s="14"/>
      <c r="AC2106" s="14"/>
      <c r="AD2106" s="14"/>
      <c r="AE2106" s="14"/>
      <c r="AF2106" s="14"/>
      <c r="AG2106" s="14"/>
      <c r="AH2106" s="14"/>
      <c r="AI2106" s="6"/>
    </row>
    <row r="2107" spans="1:35" x14ac:dyDescent="0.25">
      <c r="A2107" s="3"/>
      <c r="B2107" s="221"/>
      <c r="C2107" s="221"/>
      <c r="D2107" s="221"/>
      <c r="E2107" s="15"/>
      <c r="F2107" s="222"/>
      <c r="G2107" s="222"/>
      <c r="H2107" s="222"/>
      <c r="I2107" s="15"/>
      <c r="J2107" s="221"/>
      <c r="K2107" s="221"/>
      <c r="L2107" s="221"/>
      <c r="M2107" s="221"/>
      <c r="N2107" s="15"/>
      <c r="O2107" s="221"/>
      <c r="P2107" s="221"/>
      <c r="Q2107" s="221"/>
      <c r="R2107" s="221"/>
      <c r="S2107" s="15"/>
      <c r="T2107" s="224"/>
      <c r="U2107" s="15"/>
      <c r="V2107" s="5"/>
      <c r="W2107" s="16"/>
      <c r="X2107" s="16"/>
      <c r="Y2107" s="16"/>
      <c r="Z2107" s="16"/>
      <c r="AA2107" s="16"/>
      <c r="AB2107" s="16"/>
      <c r="AC2107" s="16"/>
      <c r="AD2107" s="16"/>
      <c r="AE2107" s="16"/>
      <c r="AF2107" s="16"/>
      <c r="AG2107" s="16"/>
      <c r="AH2107" s="16"/>
      <c r="AI2107" s="6"/>
    </row>
    <row r="2108" spans="1:35" x14ac:dyDescent="0.25">
      <c r="A2108" s="3"/>
      <c r="B2108" s="221"/>
      <c r="C2108" s="221"/>
      <c r="D2108" s="221"/>
      <c r="E2108" s="15"/>
      <c r="F2108" s="222"/>
      <c r="G2108" s="222"/>
      <c r="H2108" s="222"/>
      <c r="I2108" s="15"/>
      <c r="J2108" s="221"/>
      <c r="K2108" s="221"/>
      <c r="L2108" s="221"/>
      <c r="M2108" s="221"/>
      <c r="N2108" s="15"/>
      <c r="O2108" s="221"/>
      <c r="P2108" s="221"/>
      <c r="Q2108" s="221"/>
      <c r="R2108" s="221"/>
      <c r="S2108" s="15"/>
      <c r="T2108" s="224"/>
      <c r="U2108" s="15"/>
      <c r="V2108" s="5"/>
      <c r="W2108" s="16"/>
      <c r="X2108" s="16"/>
      <c r="Y2108" s="16"/>
      <c r="Z2108" s="16"/>
      <c r="AA2108" s="16"/>
      <c r="AB2108" s="16"/>
      <c r="AC2108" s="16"/>
      <c r="AD2108" s="16"/>
      <c r="AE2108" s="16"/>
      <c r="AF2108" s="16"/>
      <c r="AG2108" s="16"/>
      <c r="AH2108" s="16"/>
      <c r="AI2108" s="6"/>
    </row>
    <row r="2109" spans="1:35" x14ac:dyDescent="0.25">
      <c r="A2109" s="3"/>
      <c r="B2109" s="5"/>
      <c r="C2109" s="5"/>
      <c r="D2109" s="5"/>
      <c r="E2109" s="5"/>
      <c r="F2109" s="17"/>
      <c r="G2109" s="17"/>
      <c r="H2109" s="17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5"/>
      <c r="AI2109" s="6"/>
    </row>
    <row r="2110" spans="1:35" x14ac:dyDescent="0.25">
      <c r="A2110" s="3"/>
      <c r="B2110" s="5" t="s">
        <v>47</v>
      </c>
      <c r="C2110" s="18"/>
      <c r="D2110" s="18"/>
      <c r="E2110" s="18"/>
      <c r="F2110" s="5"/>
      <c r="G2110" s="5"/>
      <c r="H2110" s="5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  <c r="AB2110" s="18"/>
      <c r="AC2110" s="18"/>
      <c r="AD2110" s="18"/>
      <c r="AE2110" s="18"/>
      <c r="AF2110" s="18"/>
      <c r="AG2110" s="18"/>
      <c r="AH2110" s="18"/>
      <c r="AI2110" s="6"/>
    </row>
    <row r="2111" spans="1:35" x14ac:dyDescent="0.25">
      <c r="A2111" s="3"/>
      <c r="B2111" s="221" t="str">
        <f>"0x"&amp;DEC2HEX(Sheet3!$I$4,8)</f>
        <v>0x00400320</v>
      </c>
      <c r="C2111" s="221"/>
      <c r="D2111" s="221"/>
      <c r="E2111" s="16"/>
      <c r="F2111" s="322" t="str">
        <f>F2106&amp;BIN2HEX(MID(J2106,3,8),2)&amp;BIN2HEX(RIGHT(J2106,7)&amp;MID(O2106,3,1),2)&amp;BIN2HEX(MID(O2106,4,8),2)&amp;BIN2HEX(RIGHT(O2106,6)&amp;T2106&amp;U2106,2)</f>
        <v>0x0000000000080708</v>
      </c>
      <c r="G2111" s="322"/>
      <c r="H2111" s="322"/>
      <c r="I2111" s="322"/>
      <c r="J2111" s="5"/>
      <c r="K2111" s="5"/>
      <c r="L2111" s="5"/>
      <c r="M2111" s="5"/>
      <c r="N2111" s="5"/>
      <c r="O2111" s="5"/>
      <c r="P2111" s="16"/>
      <c r="Q2111" s="16"/>
      <c r="R2111" s="19"/>
      <c r="S2111" s="19"/>
      <c r="T2111" s="19"/>
      <c r="U2111" s="19"/>
      <c r="V2111" s="19"/>
      <c r="W2111" s="19"/>
      <c r="X2111" s="19"/>
      <c r="Y2111" s="19"/>
      <c r="Z2111" s="19"/>
      <c r="AA2111" s="19"/>
      <c r="AB2111" s="19"/>
      <c r="AC2111" s="19"/>
      <c r="AD2111" s="19"/>
      <c r="AE2111" s="19"/>
      <c r="AF2111" s="19"/>
      <c r="AG2111" s="5"/>
      <c r="AH2111" s="5"/>
      <c r="AI2111" s="6"/>
    </row>
    <row r="2112" spans="1:35" x14ac:dyDescent="0.25">
      <c r="A2112" s="3"/>
      <c r="B2112" s="221"/>
      <c r="C2112" s="221"/>
      <c r="D2112" s="221"/>
      <c r="E2112" s="5"/>
      <c r="F2112" s="223"/>
      <c r="G2112" s="223"/>
      <c r="H2112" s="223"/>
      <c r="I2112" s="223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  <c r="AE2112" s="5"/>
      <c r="AF2112" s="5"/>
      <c r="AG2112" s="5"/>
      <c r="AH2112" s="5"/>
      <c r="AI2112" s="6"/>
    </row>
    <row r="2113" spans="1:35" x14ac:dyDescent="0.25">
      <c r="A2113" s="3"/>
      <c r="B2113" s="221"/>
      <c r="C2113" s="221"/>
      <c r="D2113" s="221"/>
      <c r="E2113" s="5"/>
      <c r="F2113" s="223"/>
      <c r="G2113" s="223"/>
      <c r="H2113" s="223"/>
      <c r="I2113" s="223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  <c r="AE2113" s="5"/>
      <c r="AF2113" s="5"/>
      <c r="AG2113" s="5"/>
      <c r="AH2113" s="5"/>
      <c r="AI2113" s="6"/>
    </row>
    <row r="2114" spans="1:35" x14ac:dyDescent="0.25">
      <c r="A2114" s="20"/>
      <c r="B2114" s="21"/>
      <c r="C2114" s="21"/>
      <c r="D2114" s="21"/>
      <c r="E2114" s="21"/>
      <c r="F2114" s="21"/>
      <c r="G2114" s="21"/>
      <c r="H2114" s="21"/>
      <c r="I2114" s="21"/>
      <c r="J2114" s="21"/>
      <c r="K2114" s="21"/>
      <c r="L2114" s="21"/>
      <c r="M2114" s="21"/>
      <c r="N2114" s="21"/>
      <c r="O2114" s="22"/>
      <c r="P2114" s="21"/>
      <c r="Q2114" s="21"/>
      <c r="R2114" s="21"/>
      <c r="S2114" s="21"/>
      <c r="T2114" s="21"/>
      <c r="U2114" s="21"/>
      <c r="V2114" s="21"/>
      <c r="W2114" s="21"/>
      <c r="X2114" s="21"/>
      <c r="Y2114" s="21"/>
      <c r="Z2114" s="21"/>
      <c r="AA2114" s="21"/>
      <c r="AB2114" s="21"/>
      <c r="AC2114" s="21"/>
      <c r="AD2114" s="21"/>
      <c r="AE2114" s="21"/>
      <c r="AF2114" s="21"/>
      <c r="AG2114" s="21"/>
      <c r="AH2114" s="21"/>
      <c r="AI2114" s="23"/>
    </row>
    <row r="2115" spans="1:35" x14ac:dyDescent="0.25">
      <c r="A2115" s="24"/>
      <c r="B2115" s="28"/>
      <c r="C2115" s="25"/>
      <c r="D2115" s="25"/>
      <c r="E2115" s="25"/>
      <c r="F2115" s="25"/>
      <c r="G2115" s="25"/>
      <c r="H2115" s="25"/>
      <c r="I2115" s="25"/>
      <c r="J2115" s="25"/>
      <c r="K2115" s="25"/>
      <c r="L2115" s="25"/>
      <c r="M2115" s="25"/>
      <c r="N2115" s="25"/>
      <c r="O2115" s="25"/>
      <c r="P2115" s="25"/>
      <c r="Q2115" s="25"/>
      <c r="R2115" s="25"/>
      <c r="S2115" s="25"/>
      <c r="T2115" s="25"/>
      <c r="U2115" s="25"/>
      <c r="V2115" s="25"/>
      <c r="W2115" s="25"/>
      <c r="X2115" s="25"/>
      <c r="Y2115" s="25"/>
      <c r="Z2115" s="25"/>
      <c r="AA2115" s="25"/>
      <c r="AB2115" s="25"/>
      <c r="AC2115" s="25"/>
      <c r="AD2115" s="25"/>
      <c r="AE2115" s="25"/>
      <c r="AF2115" s="25"/>
      <c r="AG2115" s="25"/>
      <c r="AH2115" s="25"/>
      <c r="AI2115" s="26"/>
    </row>
    <row r="2116" spans="1:35" x14ac:dyDescent="0.25">
      <c r="A2116" s="3"/>
      <c r="B2116" s="4" t="s">
        <v>362</v>
      </c>
      <c r="C2116" s="5"/>
      <c r="D2116" s="5"/>
      <c r="E2116" s="5"/>
      <c r="F2116" s="5"/>
      <c r="G2116" s="5"/>
      <c r="H2116" s="5"/>
      <c r="I2116" s="5" t="str">
        <f>"0x"&amp;BIN2HEX(CONCATENATE(C2121,D2121,E2121,F2121,G2121,H2121,I2121,J2121),2)&amp;BIN2HEX(CONCATENATE(K2121,L2121,M2121,N2121,O2121,P2121,Q2121,R2121),2)&amp;BIN2HEX(CONCATENATE(S2121,T2121,U2121,V2121,W2121,X2121,Y2121,Z2121),2)&amp;BIN2HEX(CONCATENATE(AA2121,AB2121,AC2121,AD2121,AE2121,AF2121,AG2121,AH2121),2)&amp;"_"&amp;BIN2HEX(CONCATENATE(C2125,D2125,E2125,F2125,G2125,H2125,I2125,J2125),2)&amp;BIN2HEX(CONCATENATE(K2125,L2125,M2125,N2125,O2125,P2125,Q2125,R2125),2)&amp;BIN2HEX(CONCATENATE(S2125,T2125,U2125,V2125,W2125,X2125,Y2125,Z2125),2)&amp;BIN2HEX(CONCATENATE(AA2125,AB2125,AC2125,AD2125,AE2125,AF2125,AG2125,AH2125),2)</f>
        <v>0x00000000_0008070C</v>
      </c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  <c r="AE2116" s="5"/>
      <c r="AF2116" s="5"/>
      <c r="AG2116" s="5"/>
      <c r="AH2116" s="5"/>
      <c r="AI2116" s="6"/>
    </row>
    <row r="2117" spans="1:35" ht="15.75" thickBot="1" x14ac:dyDescent="0.3">
      <c r="A2117" s="3"/>
      <c r="B2117" s="5"/>
      <c r="C2117" s="7">
        <v>0</v>
      </c>
      <c r="D2117" s="7">
        <v>1</v>
      </c>
      <c r="E2117" s="7">
        <v>2</v>
      </c>
      <c r="F2117" s="7">
        <v>3</v>
      </c>
      <c r="G2117" s="7">
        <v>4</v>
      </c>
      <c r="H2117" s="7">
        <v>5</v>
      </c>
      <c r="I2117" s="7">
        <v>6</v>
      </c>
      <c r="J2117" s="7">
        <v>7</v>
      </c>
      <c r="K2117" s="7">
        <v>8</v>
      </c>
      <c r="L2117" s="7">
        <v>9</v>
      </c>
      <c r="M2117" s="7">
        <v>10</v>
      </c>
      <c r="N2117" s="7">
        <v>11</v>
      </c>
      <c r="O2117" s="7">
        <v>12</v>
      </c>
      <c r="P2117" s="7">
        <v>13</v>
      </c>
      <c r="Q2117" s="7">
        <v>14</v>
      </c>
      <c r="R2117" s="7">
        <v>15</v>
      </c>
      <c r="S2117" s="7">
        <v>16</v>
      </c>
      <c r="T2117" s="7">
        <v>17</v>
      </c>
      <c r="U2117" s="7">
        <v>18</v>
      </c>
      <c r="V2117" s="7">
        <v>19</v>
      </c>
      <c r="W2117" s="7">
        <v>20</v>
      </c>
      <c r="X2117" s="7">
        <v>21</v>
      </c>
      <c r="Y2117" s="7">
        <v>22</v>
      </c>
      <c r="Z2117" s="7">
        <v>23</v>
      </c>
      <c r="AA2117" s="7">
        <v>24</v>
      </c>
      <c r="AB2117" s="7">
        <v>25</v>
      </c>
      <c r="AC2117" s="7">
        <v>26</v>
      </c>
      <c r="AD2117" s="7">
        <v>27</v>
      </c>
      <c r="AE2117" s="7">
        <v>28</v>
      </c>
      <c r="AF2117" s="7">
        <v>29</v>
      </c>
      <c r="AG2117" s="7">
        <v>30</v>
      </c>
      <c r="AH2117" s="7">
        <v>31</v>
      </c>
      <c r="AI2117" s="6"/>
    </row>
    <row r="2118" spans="1:35" x14ac:dyDescent="0.25">
      <c r="A2118" s="3"/>
      <c r="B2118" s="5" t="s">
        <v>31</v>
      </c>
      <c r="C2118" s="328" t="s">
        <v>161</v>
      </c>
      <c r="D2118" s="330" t="s">
        <v>63</v>
      </c>
      <c r="E2118" s="331"/>
      <c r="F2118" s="331"/>
      <c r="G2118" s="331"/>
      <c r="H2118" s="331"/>
      <c r="I2118" s="331"/>
      <c r="J2118" s="332"/>
      <c r="K2118" s="336">
        <v>0</v>
      </c>
      <c r="L2118" s="337"/>
      <c r="M2118" s="337"/>
      <c r="N2118" s="337"/>
      <c r="O2118" s="337"/>
      <c r="P2118" s="337"/>
      <c r="Q2118" s="337"/>
      <c r="R2118" s="337"/>
      <c r="S2118" s="337"/>
      <c r="T2118" s="337"/>
      <c r="U2118" s="337"/>
      <c r="V2118" s="337"/>
      <c r="W2118" s="337"/>
      <c r="X2118" s="337"/>
      <c r="Y2118" s="337"/>
      <c r="Z2118" s="337"/>
      <c r="AA2118" s="337"/>
      <c r="AB2118" s="337"/>
      <c r="AC2118" s="337"/>
      <c r="AD2118" s="337"/>
      <c r="AE2118" s="337"/>
      <c r="AF2118" s="337"/>
      <c r="AG2118" s="337"/>
      <c r="AH2118" s="338"/>
      <c r="AI2118" s="6"/>
    </row>
    <row r="2119" spans="1:35" x14ac:dyDescent="0.25">
      <c r="A2119" s="3"/>
      <c r="B2119" s="5" t="s">
        <v>32</v>
      </c>
      <c r="C2119" s="329"/>
      <c r="D2119" s="333"/>
      <c r="E2119" s="334"/>
      <c r="F2119" s="334"/>
      <c r="G2119" s="334"/>
      <c r="H2119" s="334"/>
      <c r="I2119" s="334"/>
      <c r="J2119" s="335"/>
      <c r="K2119" s="339"/>
      <c r="L2119" s="340"/>
      <c r="M2119" s="340"/>
      <c r="N2119" s="340"/>
      <c r="O2119" s="340"/>
      <c r="P2119" s="340"/>
      <c r="Q2119" s="340"/>
      <c r="R2119" s="340"/>
      <c r="S2119" s="340"/>
      <c r="T2119" s="340"/>
      <c r="U2119" s="340"/>
      <c r="V2119" s="340"/>
      <c r="W2119" s="340"/>
      <c r="X2119" s="340"/>
      <c r="Y2119" s="340"/>
      <c r="Z2119" s="340"/>
      <c r="AA2119" s="340"/>
      <c r="AB2119" s="340"/>
      <c r="AC2119" s="340"/>
      <c r="AD2119" s="340"/>
      <c r="AE2119" s="340"/>
      <c r="AF2119" s="340"/>
      <c r="AG2119" s="340"/>
      <c r="AH2119" s="341"/>
      <c r="AI2119" s="6"/>
    </row>
    <row r="2120" spans="1:35" x14ac:dyDescent="0.25">
      <c r="A2120" s="3"/>
      <c r="B2120" s="5" t="s">
        <v>11</v>
      </c>
      <c r="C2120" s="56">
        <v>0</v>
      </c>
      <c r="D2120" s="57">
        <v>0</v>
      </c>
      <c r="E2120" s="57">
        <v>0</v>
      </c>
      <c r="F2120" s="57">
        <v>0</v>
      </c>
      <c r="G2120" s="57">
        <v>0</v>
      </c>
      <c r="H2120" s="57">
        <v>0</v>
      </c>
      <c r="I2120" s="57">
        <v>0</v>
      </c>
      <c r="J2120" s="57">
        <v>0</v>
      </c>
      <c r="K2120" s="57">
        <v>0</v>
      </c>
      <c r="L2120" s="57">
        <v>0</v>
      </c>
      <c r="M2120" s="57">
        <v>0</v>
      </c>
      <c r="N2120" s="57">
        <v>0</v>
      </c>
      <c r="O2120" s="57">
        <v>0</v>
      </c>
      <c r="P2120" s="57">
        <v>0</v>
      </c>
      <c r="Q2120" s="57">
        <v>0</v>
      </c>
      <c r="R2120" s="57">
        <v>0</v>
      </c>
      <c r="S2120" s="57">
        <v>0</v>
      </c>
      <c r="T2120" s="57">
        <v>0</v>
      </c>
      <c r="U2120" s="57">
        <v>0</v>
      </c>
      <c r="V2120" s="57">
        <v>0</v>
      </c>
      <c r="W2120" s="57">
        <v>0</v>
      </c>
      <c r="X2120" s="57">
        <v>0</v>
      </c>
      <c r="Y2120" s="57">
        <v>0</v>
      </c>
      <c r="Z2120" s="57">
        <v>0</v>
      </c>
      <c r="AA2120" s="57">
        <v>0</v>
      </c>
      <c r="AB2120" s="57">
        <v>0</v>
      </c>
      <c r="AC2120" s="57">
        <v>0</v>
      </c>
      <c r="AD2120" s="57">
        <v>0</v>
      </c>
      <c r="AE2120" s="57">
        <v>0</v>
      </c>
      <c r="AF2120" s="57">
        <v>0</v>
      </c>
      <c r="AG2120" s="57">
        <v>0</v>
      </c>
      <c r="AH2120" s="58">
        <v>0</v>
      </c>
      <c r="AI2120" s="6"/>
    </row>
    <row r="2121" spans="1:35" ht="15.75" thickBot="1" x14ac:dyDescent="0.3">
      <c r="A2121" s="3"/>
      <c r="B2121" s="5" t="s">
        <v>12</v>
      </c>
      <c r="C2121" s="145">
        <v>0</v>
      </c>
      <c r="D2121" s="88">
        <v>0</v>
      </c>
      <c r="E2121" s="88">
        <v>0</v>
      </c>
      <c r="F2121" s="88">
        <v>0</v>
      </c>
      <c r="G2121" s="88">
        <v>0</v>
      </c>
      <c r="H2121" s="88">
        <v>0</v>
      </c>
      <c r="I2121" s="88">
        <v>0</v>
      </c>
      <c r="J2121" s="88">
        <v>0</v>
      </c>
      <c r="K2121" s="62">
        <v>0</v>
      </c>
      <c r="L2121" s="62">
        <v>0</v>
      </c>
      <c r="M2121" s="62">
        <v>0</v>
      </c>
      <c r="N2121" s="62">
        <v>0</v>
      </c>
      <c r="O2121" s="62">
        <v>0</v>
      </c>
      <c r="P2121" s="62">
        <v>0</v>
      </c>
      <c r="Q2121" s="62">
        <v>0</v>
      </c>
      <c r="R2121" s="62">
        <v>0</v>
      </c>
      <c r="S2121" s="62">
        <v>0</v>
      </c>
      <c r="T2121" s="62">
        <v>0</v>
      </c>
      <c r="U2121" s="62">
        <v>0</v>
      </c>
      <c r="V2121" s="62">
        <v>0</v>
      </c>
      <c r="W2121" s="62">
        <v>0</v>
      </c>
      <c r="X2121" s="62">
        <v>0</v>
      </c>
      <c r="Y2121" s="62">
        <v>0</v>
      </c>
      <c r="Z2121" s="62">
        <v>0</v>
      </c>
      <c r="AA2121" s="62">
        <v>0</v>
      </c>
      <c r="AB2121" s="62">
        <v>0</v>
      </c>
      <c r="AC2121" s="62">
        <v>0</v>
      </c>
      <c r="AD2121" s="62">
        <v>0</v>
      </c>
      <c r="AE2121" s="62">
        <v>0</v>
      </c>
      <c r="AF2121" s="62">
        <v>0</v>
      </c>
      <c r="AG2121" s="62">
        <v>0</v>
      </c>
      <c r="AH2121" s="146">
        <v>0</v>
      </c>
      <c r="AI2121" s="6"/>
    </row>
    <row r="2122" spans="1:35" x14ac:dyDescent="0.25">
      <c r="A2122" s="3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  <c r="AE2122" s="5"/>
      <c r="AF2122" s="5"/>
      <c r="AG2122" s="5"/>
      <c r="AH2122" s="5"/>
      <c r="AI2122" s="6"/>
    </row>
    <row r="2123" spans="1:35" ht="15.75" thickBot="1" x14ac:dyDescent="0.3">
      <c r="A2123" s="3"/>
      <c r="B2123" s="5"/>
      <c r="C2123" s="7">
        <v>32</v>
      </c>
      <c r="D2123" s="7">
        <v>33</v>
      </c>
      <c r="E2123" s="7">
        <v>34</v>
      </c>
      <c r="F2123" s="7">
        <v>35</v>
      </c>
      <c r="G2123" s="7">
        <v>36</v>
      </c>
      <c r="H2123" s="7">
        <v>37</v>
      </c>
      <c r="I2123" s="7">
        <v>38</v>
      </c>
      <c r="J2123" s="7">
        <v>39</v>
      </c>
      <c r="K2123" s="7">
        <v>40</v>
      </c>
      <c r="L2123" s="7">
        <v>41</v>
      </c>
      <c r="M2123" s="7">
        <v>42</v>
      </c>
      <c r="N2123" s="7">
        <v>43</v>
      </c>
      <c r="O2123" s="7">
        <v>44</v>
      </c>
      <c r="P2123" s="7">
        <v>45</v>
      </c>
      <c r="Q2123" s="7">
        <v>46</v>
      </c>
      <c r="R2123" s="7">
        <v>47</v>
      </c>
      <c r="S2123" s="7">
        <v>48</v>
      </c>
      <c r="T2123" s="7">
        <v>49</v>
      </c>
      <c r="U2123" s="7">
        <v>50</v>
      </c>
      <c r="V2123" s="7">
        <v>51</v>
      </c>
      <c r="W2123" s="7">
        <v>52</v>
      </c>
      <c r="X2123" s="7">
        <v>53</v>
      </c>
      <c r="Y2123" s="7">
        <v>54</v>
      </c>
      <c r="Z2123" s="7">
        <v>55</v>
      </c>
      <c r="AA2123" s="7">
        <v>56</v>
      </c>
      <c r="AB2123" s="7">
        <v>57</v>
      </c>
      <c r="AC2123" s="7">
        <v>58</v>
      </c>
      <c r="AD2123" s="7">
        <v>59</v>
      </c>
      <c r="AE2123" s="7">
        <v>60</v>
      </c>
      <c r="AF2123" s="7">
        <v>61</v>
      </c>
      <c r="AG2123" s="7">
        <v>62</v>
      </c>
      <c r="AH2123" s="7">
        <v>63</v>
      </c>
      <c r="AI2123" s="6"/>
    </row>
    <row r="2124" spans="1:35" ht="15.75" thickBot="1" x14ac:dyDescent="0.3">
      <c r="A2124" s="3"/>
      <c r="B2124" s="5"/>
      <c r="C2124" s="147" t="s">
        <v>13</v>
      </c>
      <c r="D2124" s="148" t="s">
        <v>14</v>
      </c>
      <c r="E2124" s="148" t="s">
        <v>15</v>
      </c>
      <c r="F2124" s="148" t="s">
        <v>16</v>
      </c>
      <c r="G2124" s="148" t="s">
        <v>17</v>
      </c>
      <c r="H2124" s="148" t="s">
        <v>18</v>
      </c>
      <c r="I2124" s="148" t="s">
        <v>19</v>
      </c>
      <c r="J2124" s="148" t="s">
        <v>20</v>
      </c>
      <c r="K2124" s="148" t="s">
        <v>21</v>
      </c>
      <c r="L2124" s="148" t="s">
        <v>22</v>
      </c>
      <c r="M2124" s="148" t="s">
        <v>23</v>
      </c>
      <c r="N2124" s="148" t="s">
        <v>24</v>
      </c>
      <c r="O2124" s="148" t="s">
        <v>25</v>
      </c>
      <c r="P2124" s="148" t="s">
        <v>26</v>
      </c>
      <c r="Q2124" s="148" t="s">
        <v>27</v>
      </c>
      <c r="R2124" s="342" t="s">
        <v>30</v>
      </c>
      <c r="S2124" s="343"/>
      <c r="T2124" s="343"/>
      <c r="U2124" s="343"/>
      <c r="V2124" s="343"/>
      <c r="W2124" s="343"/>
      <c r="X2124" s="343"/>
      <c r="Y2124" s="343"/>
      <c r="Z2124" s="343"/>
      <c r="AA2124" s="343"/>
      <c r="AB2124" s="343"/>
      <c r="AC2124" s="343"/>
      <c r="AD2124" s="343"/>
      <c r="AE2124" s="343"/>
      <c r="AF2124" s="344"/>
      <c r="AG2124" s="67" t="s">
        <v>28</v>
      </c>
      <c r="AH2124" s="149" t="s">
        <v>29</v>
      </c>
      <c r="AI2124" s="6"/>
    </row>
    <row r="2125" spans="1:35" ht="15.75" thickBot="1" x14ac:dyDescent="0.3">
      <c r="A2125" s="3"/>
      <c r="B2125" s="5"/>
      <c r="C2125" s="150">
        <v>0</v>
      </c>
      <c r="D2125" s="151">
        <v>0</v>
      </c>
      <c r="E2125" s="151">
        <v>0</v>
      </c>
      <c r="F2125" s="151">
        <v>0</v>
      </c>
      <c r="G2125" s="151">
        <v>0</v>
      </c>
      <c r="H2125" s="151">
        <v>0</v>
      </c>
      <c r="I2125" s="151">
        <v>0</v>
      </c>
      <c r="J2125" s="151">
        <v>0</v>
      </c>
      <c r="K2125" s="151">
        <v>0</v>
      </c>
      <c r="L2125" s="151">
        <v>0</v>
      </c>
      <c r="M2125" s="151">
        <v>0</v>
      </c>
      <c r="N2125" s="151">
        <v>0</v>
      </c>
      <c r="O2125" s="151">
        <v>1</v>
      </c>
      <c r="P2125" s="151">
        <v>0</v>
      </c>
      <c r="Q2125" s="151">
        <v>0</v>
      </c>
      <c r="R2125" s="151">
        <v>0</v>
      </c>
      <c r="S2125" s="151">
        <v>0</v>
      </c>
      <c r="T2125" s="151">
        <v>0</v>
      </c>
      <c r="U2125" s="151">
        <v>0</v>
      </c>
      <c r="V2125" s="151">
        <v>0</v>
      </c>
      <c r="W2125" s="151">
        <v>0</v>
      </c>
      <c r="X2125" s="151">
        <v>1</v>
      </c>
      <c r="Y2125" s="151">
        <v>1</v>
      </c>
      <c r="Z2125" s="151">
        <v>1</v>
      </c>
      <c r="AA2125" s="151">
        <v>0</v>
      </c>
      <c r="AB2125" s="151">
        <v>0</v>
      </c>
      <c r="AC2125" s="151">
        <v>0</v>
      </c>
      <c r="AD2125" s="151">
        <v>0</v>
      </c>
      <c r="AE2125" s="151">
        <v>1</v>
      </c>
      <c r="AF2125" s="151">
        <v>1</v>
      </c>
      <c r="AG2125" s="151">
        <v>0</v>
      </c>
      <c r="AH2125" s="152">
        <v>0</v>
      </c>
      <c r="AI2125" s="6"/>
    </row>
    <row r="2126" spans="1:35" x14ac:dyDescent="0.25">
      <c r="A2126" s="3"/>
      <c r="B2126" s="4"/>
      <c r="C2126" s="5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  <c r="AE2126" s="5"/>
      <c r="AF2126" s="5"/>
      <c r="AG2126" s="5"/>
      <c r="AH2126" s="5"/>
      <c r="AI2126" s="6"/>
    </row>
    <row r="2127" spans="1:35" x14ac:dyDescent="0.25">
      <c r="A2127" s="3"/>
      <c r="B2127" s="8" t="s">
        <v>43</v>
      </c>
      <c r="C2127" s="9"/>
      <c r="D2127" s="9"/>
      <c r="E2127" s="9"/>
      <c r="F2127" s="225" t="s">
        <v>44</v>
      </c>
      <c r="G2127" s="225"/>
      <c r="H2127" s="225"/>
      <c r="I2127" s="9"/>
      <c r="J2127" s="226" t="s">
        <v>45</v>
      </c>
      <c r="K2127" s="226"/>
      <c r="L2127" s="226"/>
      <c r="M2127" s="226"/>
      <c r="N2127" s="9"/>
      <c r="O2127" s="227" t="s">
        <v>46</v>
      </c>
      <c r="P2127" s="227"/>
      <c r="Q2127" s="227"/>
      <c r="R2127" s="227"/>
      <c r="S2127" s="9"/>
      <c r="T2127" s="1" t="s">
        <v>49</v>
      </c>
      <c r="U2127" s="10" t="s">
        <v>48</v>
      </c>
      <c r="V2127" s="5"/>
      <c r="W2127" s="9"/>
      <c r="X2127" s="9"/>
      <c r="Y2127" s="9"/>
      <c r="Z2127" s="9"/>
      <c r="AA2127" s="9"/>
      <c r="AB2127" s="9"/>
      <c r="AC2127" s="9"/>
      <c r="AD2127" s="9"/>
      <c r="AE2127" s="9"/>
      <c r="AF2127" s="9"/>
      <c r="AG2127" s="9"/>
      <c r="AH2127" s="9"/>
      <c r="AI2127" s="6"/>
    </row>
    <row r="2128" spans="1:35" x14ac:dyDescent="0.25">
      <c r="A2128" s="3"/>
      <c r="B2128" s="221" t="str">
        <f>"0x"&amp;DEC2HEX(Sheet3!$I$4,8)</f>
        <v>0x00400320</v>
      </c>
      <c r="C2128" s="221"/>
      <c r="D2128" s="221"/>
      <c r="E2128" s="12"/>
      <c r="F2128" s="319" t="str">
        <f>"0x"&amp;BIN2HEX(CONCATENATE(C2121,D2121,E2121,F2121,G2121,H2121,I2121,J2121),2)&amp;BIN2HEX(CONCATENATE(K2121,L2121,M2121,N2121,O2121,P2121,Q2121,R2121),2)&amp;BIN2HEX(CONCATENATE(S2121,T2121,U2121,V2121,W2121,X2121,Y2121,Z2121),2)&amp;BIN2HEX(CONCATENATE(AA2121,AB2121,AC2121,AD2121,AE2121,AF2121,AG2121,AH2121),2)</f>
        <v>0x00000000</v>
      </c>
      <c r="G2128" s="319"/>
      <c r="H2128" s="319"/>
      <c r="I2128" s="12"/>
      <c r="J2128" s="319" t="str">
        <f>"0b"&amp;C2125&amp;D2125&amp;E2125&amp;F2125&amp;G2125&amp;H2125&amp;I2125&amp;J2125&amp;K2125&amp;L2125&amp;M2125&amp;N2125&amp;O2125&amp;P2125&amp;Q2125</f>
        <v>0b000000000000100</v>
      </c>
      <c r="K2128" s="319"/>
      <c r="L2128" s="319"/>
      <c r="M2128" s="319"/>
      <c r="N2128" s="12"/>
      <c r="O2128" s="319" t="str">
        <f>"0b"&amp;DEC2BIN(((AF2125+AE2125*2+AD2125*4+AC2125*8+AB2125*16+AA2125*32+Z2125*64+Y2125*128+X2125*256+W2125*512+V2125*1024+U2125*2048+T2125*4096+S2125*2^13+R2125*2^14)/512),6)&amp;DEC2BIN(MOD((AF2125+AE2125*2+AD2125*4+AC2125*8+AB2125*16+AA2125*32+Z2125*64+Y2125*128+X2125*256+W2125*512+V2125*1024+U2125*2048+T2125*4096+S2125*2^13+R2125*2^14),512),9)</f>
        <v>0b000000111000011</v>
      </c>
      <c r="P2128" s="319"/>
      <c r="Q2128" s="319"/>
      <c r="R2128" s="319"/>
      <c r="S2128" s="12"/>
      <c r="T2128" s="224">
        <v>0</v>
      </c>
      <c r="U2128" s="224">
        <f>AH2125</f>
        <v>0</v>
      </c>
      <c r="V2128" s="5"/>
      <c r="W2128" s="14"/>
      <c r="X2128" s="14"/>
      <c r="Y2128" s="14"/>
      <c r="Z2128" s="14"/>
      <c r="AA2128" s="14"/>
      <c r="AB2128" s="14"/>
      <c r="AC2128" s="14"/>
      <c r="AD2128" s="14"/>
      <c r="AE2128" s="14"/>
      <c r="AF2128" s="14"/>
      <c r="AG2128" s="14"/>
      <c r="AH2128" s="14"/>
      <c r="AI2128" s="6"/>
    </row>
    <row r="2129" spans="1:35" x14ac:dyDescent="0.25">
      <c r="A2129" s="3"/>
      <c r="B2129" s="221"/>
      <c r="C2129" s="221"/>
      <c r="D2129" s="221"/>
      <c r="E2129" s="15"/>
      <c r="F2129" s="222"/>
      <c r="G2129" s="222"/>
      <c r="H2129" s="222"/>
      <c r="I2129" s="15"/>
      <c r="J2129" s="221"/>
      <c r="K2129" s="221"/>
      <c r="L2129" s="221"/>
      <c r="M2129" s="221"/>
      <c r="N2129" s="15"/>
      <c r="O2129" s="221"/>
      <c r="P2129" s="221"/>
      <c r="Q2129" s="221"/>
      <c r="R2129" s="221"/>
      <c r="S2129" s="15"/>
      <c r="T2129" s="224"/>
      <c r="U2129" s="15"/>
      <c r="V2129" s="5"/>
      <c r="W2129" s="16"/>
      <c r="X2129" s="16"/>
      <c r="Y2129" s="16"/>
      <c r="Z2129" s="16"/>
      <c r="AA2129" s="16"/>
      <c r="AB2129" s="16"/>
      <c r="AC2129" s="16"/>
      <c r="AD2129" s="16"/>
      <c r="AE2129" s="16"/>
      <c r="AF2129" s="16"/>
      <c r="AG2129" s="16"/>
      <c r="AH2129" s="16"/>
      <c r="AI2129" s="6"/>
    </row>
    <row r="2130" spans="1:35" x14ac:dyDescent="0.25">
      <c r="A2130" s="3"/>
      <c r="B2130" s="221"/>
      <c r="C2130" s="221"/>
      <c r="D2130" s="221"/>
      <c r="E2130" s="15"/>
      <c r="F2130" s="222"/>
      <c r="G2130" s="222"/>
      <c r="H2130" s="222"/>
      <c r="I2130" s="15"/>
      <c r="J2130" s="221"/>
      <c r="K2130" s="221"/>
      <c r="L2130" s="221"/>
      <c r="M2130" s="221"/>
      <c r="N2130" s="15"/>
      <c r="O2130" s="221"/>
      <c r="P2130" s="221"/>
      <c r="Q2130" s="221"/>
      <c r="R2130" s="221"/>
      <c r="S2130" s="15"/>
      <c r="T2130" s="224"/>
      <c r="U2130" s="15"/>
      <c r="V2130" s="5"/>
      <c r="W2130" s="16"/>
      <c r="X2130" s="16"/>
      <c r="Y2130" s="16"/>
      <c r="Z2130" s="16"/>
      <c r="AA2130" s="16"/>
      <c r="AB2130" s="16"/>
      <c r="AC2130" s="16"/>
      <c r="AD2130" s="16"/>
      <c r="AE2130" s="16"/>
      <c r="AF2130" s="16"/>
      <c r="AG2130" s="16"/>
      <c r="AH2130" s="16"/>
      <c r="AI2130" s="6"/>
    </row>
    <row r="2131" spans="1:35" x14ac:dyDescent="0.25">
      <c r="A2131" s="3"/>
      <c r="B2131" s="5"/>
      <c r="C2131" s="5"/>
      <c r="D2131" s="5"/>
      <c r="E2131" s="5"/>
      <c r="F2131" s="17"/>
      <c r="G2131" s="17"/>
      <c r="H2131" s="17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  <c r="AE2131" s="5"/>
      <c r="AF2131" s="5"/>
      <c r="AG2131" s="5"/>
      <c r="AH2131" s="5"/>
      <c r="AI2131" s="6"/>
    </row>
    <row r="2132" spans="1:35" x14ac:dyDescent="0.25">
      <c r="A2132" s="3"/>
      <c r="B2132" s="5" t="s">
        <v>47</v>
      </c>
      <c r="C2132" s="18"/>
      <c r="D2132" s="18"/>
      <c r="E2132" s="18"/>
      <c r="F2132" s="5"/>
      <c r="G2132" s="5"/>
      <c r="H2132" s="5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  <c r="AB2132" s="18"/>
      <c r="AC2132" s="18"/>
      <c r="AD2132" s="18"/>
      <c r="AE2132" s="18"/>
      <c r="AF2132" s="18"/>
      <c r="AG2132" s="18"/>
      <c r="AH2132" s="18"/>
      <c r="AI2132" s="6"/>
    </row>
    <row r="2133" spans="1:35" x14ac:dyDescent="0.25">
      <c r="A2133" s="3"/>
      <c r="B2133" s="221" t="str">
        <f>"0x"&amp;DEC2HEX(Sheet3!$I$4,8)</f>
        <v>0x00400320</v>
      </c>
      <c r="C2133" s="221"/>
      <c r="D2133" s="221"/>
      <c r="E2133" s="16"/>
      <c r="F2133" s="322" t="str">
        <f>F2128&amp;BIN2HEX(MID(J2128,3,8),2)&amp;BIN2HEX(RIGHT(J2128,7)&amp;MID(O2128,3,1),2)&amp;BIN2HEX(MID(O2128,4,8),2)&amp;BIN2HEX(RIGHT(O2128,6)&amp;T2128&amp;U2128,2)</f>
        <v>0x000000000008070C</v>
      </c>
      <c r="G2133" s="322"/>
      <c r="H2133" s="322"/>
      <c r="I2133" s="322"/>
      <c r="J2133" s="5"/>
      <c r="K2133" s="5"/>
      <c r="L2133" s="5"/>
      <c r="M2133" s="5"/>
      <c r="N2133" s="5"/>
      <c r="O2133" s="5"/>
      <c r="P2133" s="16"/>
      <c r="Q2133" s="16"/>
      <c r="R2133" s="19"/>
      <c r="S2133" s="19"/>
      <c r="T2133" s="19"/>
      <c r="U2133" s="19"/>
      <c r="V2133" s="19"/>
      <c r="W2133" s="19"/>
      <c r="X2133" s="19"/>
      <c r="Y2133" s="19"/>
      <c r="Z2133" s="19"/>
      <c r="AA2133" s="19"/>
      <c r="AB2133" s="19"/>
      <c r="AC2133" s="19"/>
      <c r="AD2133" s="19"/>
      <c r="AE2133" s="19"/>
      <c r="AF2133" s="19"/>
      <c r="AG2133" s="5"/>
      <c r="AH2133" s="5"/>
      <c r="AI2133" s="6"/>
    </row>
    <row r="2134" spans="1:35" x14ac:dyDescent="0.25">
      <c r="A2134" s="3"/>
      <c r="B2134" s="221"/>
      <c r="C2134" s="221"/>
      <c r="D2134" s="221"/>
      <c r="E2134" s="5"/>
      <c r="F2134" s="223"/>
      <c r="G2134" s="223"/>
      <c r="H2134" s="223"/>
      <c r="I2134" s="223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  <c r="AE2134" s="5"/>
      <c r="AF2134" s="5"/>
      <c r="AG2134" s="5"/>
      <c r="AH2134" s="5"/>
      <c r="AI2134" s="6"/>
    </row>
    <row r="2135" spans="1:35" x14ac:dyDescent="0.25">
      <c r="A2135" s="3"/>
      <c r="B2135" s="221"/>
      <c r="C2135" s="221"/>
      <c r="D2135" s="221"/>
      <c r="E2135" s="5"/>
      <c r="F2135" s="223"/>
      <c r="G2135" s="223"/>
      <c r="H2135" s="223"/>
      <c r="I2135" s="223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  <c r="AE2135" s="5"/>
      <c r="AF2135" s="5"/>
      <c r="AG2135" s="5"/>
      <c r="AH2135" s="5"/>
      <c r="AI2135" s="6"/>
    </row>
    <row r="2136" spans="1:35" x14ac:dyDescent="0.25">
      <c r="A2136" s="20"/>
      <c r="B2136" s="21"/>
      <c r="C2136" s="21"/>
      <c r="D2136" s="21"/>
      <c r="E2136" s="21"/>
      <c r="F2136" s="21"/>
      <c r="G2136" s="21"/>
      <c r="H2136" s="21"/>
      <c r="I2136" s="21"/>
      <c r="J2136" s="21"/>
      <c r="K2136" s="21"/>
      <c r="L2136" s="21"/>
      <c r="M2136" s="21"/>
      <c r="N2136" s="21"/>
      <c r="O2136" s="22"/>
      <c r="P2136" s="21"/>
      <c r="Q2136" s="21"/>
      <c r="R2136" s="21"/>
      <c r="S2136" s="21"/>
      <c r="T2136" s="21"/>
      <c r="U2136" s="21"/>
      <c r="V2136" s="21"/>
      <c r="W2136" s="21"/>
      <c r="X2136" s="21"/>
      <c r="Y2136" s="21"/>
      <c r="Z2136" s="21"/>
      <c r="AA2136" s="21"/>
      <c r="AB2136" s="21"/>
      <c r="AC2136" s="21"/>
      <c r="AD2136" s="21"/>
      <c r="AE2136" s="21"/>
      <c r="AF2136" s="21"/>
      <c r="AG2136" s="21"/>
      <c r="AH2136" s="21"/>
      <c r="AI2136" s="23"/>
    </row>
    <row r="2137" spans="1:35" x14ac:dyDescent="0.25">
      <c r="A2137" s="24"/>
      <c r="B2137" s="28"/>
      <c r="C2137" s="25"/>
      <c r="D2137" s="25"/>
      <c r="E2137" s="25"/>
      <c r="F2137" s="25"/>
      <c r="G2137" s="25"/>
      <c r="H2137" s="25"/>
      <c r="I2137" s="25"/>
      <c r="J2137" s="25"/>
      <c r="K2137" s="25"/>
      <c r="L2137" s="25"/>
      <c r="M2137" s="25"/>
      <c r="N2137" s="25"/>
      <c r="O2137" s="25"/>
      <c r="P2137" s="25"/>
      <c r="Q2137" s="25"/>
      <c r="R2137" s="25"/>
      <c r="S2137" s="25"/>
      <c r="T2137" s="25"/>
      <c r="U2137" s="25"/>
      <c r="V2137" s="25"/>
      <c r="W2137" s="25"/>
      <c r="X2137" s="25"/>
      <c r="Y2137" s="25"/>
      <c r="Z2137" s="25"/>
      <c r="AA2137" s="25"/>
      <c r="AB2137" s="25"/>
      <c r="AC2137" s="25"/>
      <c r="AD2137" s="25"/>
      <c r="AE2137" s="25"/>
      <c r="AF2137" s="25"/>
      <c r="AG2137" s="25"/>
      <c r="AH2137" s="25"/>
      <c r="AI2137" s="26"/>
    </row>
    <row r="2138" spans="1:35" x14ac:dyDescent="0.25">
      <c r="A2138" s="3"/>
      <c r="B2138" s="4" t="s">
        <v>363</v>
      </c>
      <c r="C2138" s="5"/>
      <c r="D2138" s="5"/>
      <c r="E2138" s="5"/>
      <c r="F2138" s="5"/>
      <c r="G2138" s="5"/>
      <c r="H2138" s="5"/>
      <c r="I2138" s="5" t="str">
        <f>"0x"&amp;BIN2HEX(CONCATENATE(C2143,D2143,E2143,F2143,G2143,H2143,I2143,J2143),2)&amp;BIN2HEX(CONCATENATE(K2143,L2143,M2143,N2143,O2143,P2143,Q2143,R2143),2)&amp;BIN2HEX(CONCATENATE(S2143,T2143,U2143,V2143,W2143,X2143,Y2143,Z2143),2)&amp;BIN2HEX(CONCATENATE(AA2143,AB2143,AC2143,AD2143,AE2143,AF2143,AG2143,AH2143),2)&amp;"_"&amp;BIN2HEX(CONCATENATE(C2147,D2147,E2147,F2147,G2147,H2147,I2147,J2147),2)&amp;BIN2HEX(CONCATENATE(K2147,L2147,M2147,N2147,O2147,P2147,Q2147,R2147),2)&amp;BIN2HEX(CONCATENATE(S2147,T2147,U2147,V2147,W2147,X2147,Y2147,Z2147),2)&amp;BIN2HEX(CONCATENATE(AA2147,AB2147,AC2147,AD2147,AE2147,AF2147,AG2147,AH2147),2)</f>
        <v>0x00000000_00080710</v>
      </c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  <c r="AE2138" s="5"/>
      <c r="AF2138" s="5"/>
      <c r="AG2138" s="5"/>
      <c r="AH2138" s="5"/>
      <c r="AI2138" s="6"/>
    </row>
    <row r="2139" spans="1:35" ht="15.75" thickBot="1" x14ac:dyDescent="0.3">
      <c r="A2139" s="3"/>
      <c r="B2139" s="5"/>
      <c r="C2139" s="7">
        <v>0</v>
      </c>
      <c r="D2139" s="7">
        <v>1</v>
      </c>
      <c r="E2139" s="7">
        <v>2</v>
      </c>
      <c r="F2139" s="7">
        <v>3</v>
      </c>
      <c r="G2139" s="7">
        <v>4</v>
      </c>
      <c r="H2139" s="7">
        <v>5</v>
      </c>
      <c r="I2139" s="7">
        <v>6</v>
      </c>
      <c r="J2139" s="7">
        <v>7</v>
      </c>
      <c r="K2139" s="7">
        <v>8</v>
      </c>
      <c r="L2139" s="7">
        <v>9</v>
      </c>
      <c r="M2139" s="7">
        <v>10</v>
      </c>
      <c r="N2139" s="7">
        <v>11</v>
      </c>
      <c r="O2139" s="7">
        <v>12</v>
      </c>
      <c r="P2139" s="7">
        <v>13</v>
      </c>
      <c r="Q2139" s="7">
        <v>14</v>
      </c>
      <c r="R2139" s="7">
        <v>15</v>
      </c>
      <c r="S2139" s="7">
        <v>16</v>
      </c>
      <c r="T2139" s="7">
        <v>17</v>
      </c>
      <c r="U2139" s="7">
        <v>18</v>
      </c>
      <c r="V2139" s="7">
        <v>19</v>
      </c>
      <c r="W2139" s="7">
        <v>20</v>
      </c>
      <c r="X2139" s="7">
        <v>21</v>
      </c>
      <c r="Y2139" s="7">
        <v>22</v>
      </c>
      <c r="Z2139" s="7">
        <v>23</v>
      </c>
      <c r="AA2139" s="7">
        <v>24</v>
      </c>
      <c r="AB2139" s="7">
        <v>25</v>
      </c>
      <c r="AC2139" s="7">
        <v>26</v>
      </c>
      <c r="AD2139" s="7">
        <v>27</v>
      </c>
      <c r="AE2139" s="7">
        <v>28</v>
      </c>
      <c r="AF2139" s="7">
        <v>29</v>
      </c>
      <c r="AG2139" s="7">
        <v>30</v>
      </c>
      <c r="AH2139" s="7">
        <v>31</v>
      </c>
      <c r="AI2139" s="6"/>
    </row>
    <row r="2140" spans="1:35" x14ac:dyDescent="0.25">
      <c r="A2140" s="3"/>
      <c r="B2140" s="5" t="s">
        <v>31</v>
      </c>
      <c r="C2140" s="328" t="s">
        <v>161</v>
      </c>
      <c r="D2140" s="330" t="s">
        <v>63</v>
      </c>
      <c r="E2140" s="331"/>
      <c r="F2140" s="331"/>
      <c r="G2140" s="331"/>
      <c r="H2140" s="331"/>
      <c r="I2140" s="331"/>
      <c r="J2140" s="332"/>
      <c r="K2140" s="336">
        <v>0</v>
      </c>
      <c r="L2140" s="337"/>
      <c r="M2140" s="337"/>
      <c r="N2140" s="337"/>
      <c r="O2140" s="337"/>
      <c r="P2140" s="337"/>
      <c r="Q2140" s="337"/>
      <c r="R2140" s="337"/>
      <c r="S2140" s="337"/>
      <c r="T2140" s="337"/>
      <c r="U2140" s="337"/>
      <c r="V2140" s="337"/>
      <c r="W2140" s="337"/>
      <c r="X2140" s="337"/>
      <c r="Y2140" s="337"/>
      <c r="Z2140" s="337"/>
      <c r="AA2140" s="337"/>
      <c r="AB2140" s="337"/>
      <c r="AC2140" s="337"/>
      <c r="AD2140" s="337"/>
      <c r="AE2140" s="337"/>
      <c r="AF2140" s="337"/>
      <c r="AG2140" s="337"/>
      <c r="AH2140" s="338"/>
      <c r="AI2140" s="6"/>
    </row>
    <row r="2141" spans="1:35" x14ac:dyDescent="0.25">
      <c r="A2141" s="3"/>
      <c r="B2141" s="5" t="s">
        <v>32</v>
      </c>
      <c r="C2141" s="329"/>
      <c r="D2141" s="333"/>
      <c r="E2141" s="334"/>
      <c r="F2141" s="334"/>
      <c r="G2141" s="334"/>
      <c r="H2141" s="334"/>
      <c r="I2141" s="334"/>
      <c r="J2141" s="335"/>
      <c r="K2141" s="339"/>
      <c r="L2141" s="340"/>
      <c r="M2141" s="340"/>
      <c r="N2141" s="340"/>
      <c r="O2141" s="340"/>
      <c r="P2141" s="340"/>
      <c r="Q2141" s="340"/>
      <c r="R2141" s="340"/>
      <c r="S2141" s="340"/>
      <c r="T2141" s="340"/>
      <c r="U2141" s="340"/>
      <c r="V2141" s="340"/>
      <c r="W2141" s="340"/>
      <c r="X2141" s="340"/>
      <c r="Y2141" s="340"/>
      <c r="Z2141" s="340"/>
      <c r="AA2141" s="340"/>
      <c r="AB2141" s="340"/>
      <c r="AC2141" s="340"/>
      <c r="AD2141" s="340"/>
      <c r="AE2141" s="340"/>
      <c r="AF2141" s="340"/>
      <c r="AG2141" s="340"/>
      <c r="AH2141" s="341"/>
      <c r="AI2141" s="6"/>
    </row>
    <row r="2142" spans="1:35" x14ac:dyDescent="0.25">
      <c r="A2142" s="3"/>
      <c r="B2142" s="5" t="s">
        <v>11</v>
      </c>
      <c r="C2142" s="56">
        <v>0</v>
      </c>
      <c r="D2142" s="57">
        <v>0</v>
      </c>
      <c r="E2142" s="57">
        <v>0</v>
      </c>
      <c r="F2142" s="57">
        <v>0</v>
      </c>
      <c r="G2142" s="57">
        <v>0</v>
      </c>
      <c r="H2142" s="57">
        <v>0</v>
      </c>
      <c r="I2142" s="57">
        <v>0</v>
      </c>
      <c r="J2142" s="57">
        <v>0</v>
      </c>
      <c r="K2142" s="57">
        <v>0</v>
      </c>
      <c r="L2142" s="57">
        <v>0</v>
      </c>
      <c r="M2142" s="57">
        <v>0</v>
      </c>
      <c r="N2142" s="57">
        <v>0</v>
      </c>
      <c r="O2142" s="57">
        <v>0</v>
      </c>
      <c r="P2142" s="57">
        <v>0</v>
      </c>
      <c r="Q2142" s="57">
        <v>0</v>
      </c>
      <c r="R2142" s="57">
        <v>0</v>
      </c>
      <c r="S2142" s="57">
        <v>0</v>
      </c>
      <c r="T2142" s="57">
        <v>0</v>
      </c>
      <c r="U2142" s="57">
        <v>0</v>
      </c>
      <c r="V2142" s="57">
        <v>0</v>
      </c>
      <c r="W2142" s="57">
        <v>0</v>
      </c>
      <c r="X2142" s="57">
        <v>0</v>
      </c>
      <c r="Y2142" s="57">
        <v>0</v>
      </c>
      <c r="Z2142" s="57">
        <v>0</v>
      </c>
      <c r="AA2142" s="57">
        <v>0</v>
      </c>
      <c r="AB2142" s="57">
        <v>0</v>
      </c>
      <c r="AC2142" s="57">
        <v>0</v>
      </c>
      <c r="AD2142" s="57">
        <v>0</v>
      </c>
      <c r="AE2142" s="57">
        <v>0</v>
      </c>
      <c r="AF2142" s="57">
        <v>0</v>
      </c>
      <c r="AG2142" s="57">
        <v>0</v>
      </c>
      <c r="AH2142" s="58">
        <v>0</v>
      </c>
      <c r="AI2142" s="6"/>
    </row>
    <row r="2143" spans="1:35" ht="15.75" thickBot="1" x14ac:dyDescent="0.3">
      <c r="A2143" s="3"/>
      <c r="B2143" s="5" t="s">
        <v>12</v>
      </c>
      <c r="C2143" s="145">
        <v>0</v>
      </c>
      <c r="D2143" s="88">
        <v>0</v>
      </c>
      <c r="E2143" s="88">
        <v>0</v>
      </c>
      <c r="F2143" s="88">
        <v>0</v>
      </c>
      <c r="G2143" s="88">
        <v>0</v>
      </c>
      <c r="H2143" s="88">
        <v>0</v>
      </c>
      <c r="I2143" s="88">
        <v>0</v>
      </c>
      <c r="J2143" s="88">
        <v>0</v>
      </c>
      <c r="K2143" s="62">
        <v>0</v>
      </c>
      <c r="L2143" s="62">
        <v>0</v>
      </c>
      <c r="M2143" s="62">
        <v>0</v>
      </c>
      <c r="N2143" s="62">
        <v>0</v>
      </c>
      <c r="O2143" s="62">
        <v>0</v>
      </c>
      <c r="P2143" s="62">
        <v>0</v>
      </c>
      <c r="Q2143" s="62">
        <v>0</v>
      </c>
      <c r="R2143" s="62">
        <v>0</v>
      </c>
      <c r="S2143" s="62">
        <v>0</v>
      </c>
      <c r="T2143" s="62">
        <v>0</v>
      </c>
      <c r="U2143" s="62">
        <v>0</v>
      </c>
      <c r="V2143" s="62">
        <v>0</v>
      </c>
      <c r="W2143" s="62">
        <v>0</v>
      </c>
      <c r="X2143" s="62">
        <v>0</v>
      </c>
      <c r="Y2143" s="62">
        <v>0</v>
      </c>
      <c r="Z2143" s="62">
        <v>0</v>
      </c>
      <c r="AA2143" s="62">
        <v>0</v>
      </c>
      <c r="AB2143" s="62">
        <v>0</v>
      </c>
      <c r="AC2143" s="62">
        <v>0</v>
      </c>
      <c r="AD2143" s="62">
        <v>0</v>
      </c>
      <c r="AE2143" s="62">
        <v>0</v>
      </c>
      <c r="AF2143" s="62">
        <v>0</v>
      </c>
      <c r="AG2143" s="62">
        <v>0</v>
      </c>
      <c r="AH2143" s="146">
        <v>0</v>
      </c>
      <c r="AI2143" s="6"/>
    </row>
    <row r="2144" spans="1:35" x14ac:dyDescent="0.25">
      <c r="A2144" s="3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  <c r="AE2144" s="5"/>
      <c r="AF2144" s="5"/>
      <c r="AG2144" s="5"/>
      <c r="AH2144" s="5"/>
      <c r="AI2144" s="6"/>
    </row>
    <row r="2145" spans="1:35" ht="15.75" thickBot="1" x14ac:dyDescent="0.3">
      <c r="A2145" s="3"/>
      <c r="B2145" s="5"/>
      <c r="C2145" s="7">
        <v>32</v>
      </c>
      <c r="D2145" s="7">
        <v>33</v>
      </c>
      <c r="E2145" s="7">
        <v>34</v>
      </c>
      <c r="F2145" s="7">
        <v>35</v>
      </c>
      <c r="G2145" s="7">
        <v>36</v>
      </c>
      <c r="H2145" s="7">
        <v>37</v>
      </c>
      <c r="I2145" s="7">
        <v>38</v>
      </c>
      <c r="J2145" s="7">
        <v>39</v>
      </c>
      <c r="K2145" s="7">
        <v>40</v>
      </c>
      <c r="L2145" s="7">
        <v>41</v>
      </c>
      <c r="M2145" s="7">
        <v>42</v>
      </c>
      <c r="N2145" s="7">
        <v>43</v>
      </c>
      <c r="O2145" s="7">
        <v>44</v>
      </c>
      <c r="P2145" s="7">
        <v>45</v>
      </c>
      <c r="Q2145" s="7">
        <v>46</v>
      </c>
      <c r="R2145" s="7">
        <v>47</v>
      </c>
      <c r="S2145" s="7">
        <v>48</v>
      </c>
      <c r="T2145" s="7">
        <v>49</v>
      </c>
      <c r="U2145" s="7">
        <v>50</v>
      </c>
      <c r="V2145" s="7">
        <v>51</v>
      </c>
      <c r="W2145" s="7">
        <v>52</v>
      </c>
      <c r="X2145" s="7">
        <v>53</v>
      </c>
      <c r="Y2145" s="7">
        <v>54</v>
      </c>
      <c r="Z2145" s="7">
        <v>55</v>
      </c>
      <c r="AA2145" s="7">
        <v>56</v>
      </c>
      <c r="AB2145" s="7">
        <v>57</v>
      </c>
      <c r="AC2145" s="7">
        <v>58</v>
      </c>
      <c r="AD2145" s="7">
        <v>59</v>
      </c>
      <c r="AE2145" s="7">
        <v>60</v>
      </c>
      <c r="AF2145" s="7">
        <v>61</v>
      </c>
      <c r="AG2145" s="7">
        <v>62</v>
      </c>
      <c r="AH2145" s="7">
        <v>63</v>
      </c>
      <c r="AI2145" s="6"/>
    </row>
    <row r="2146" spans="1:35" ht="15.75" thickBot="1" x14ac:dyDescent="0.3">
      <c r="A2146" s="3"/>
      <c r="B2146" s="5"/>
      <c r="C2146" s="147" t="s">
        <v>13</v>
      </c>
      <c r="D2146" s="148" t="s">
        <v>14</v>
      </c>
      <c r="E2146" s="148" t="s">
        <v>15</v>
      </c>
      <c r="F2146" s="148" t="s">
        <v>16</v>
      </c>
      <c r="G2146" s="148" t="s">
        <v>17</v>
      </c>
      <c r="H2146" s="148" t="s">
        <v>18</v>
      </c>
      <c r="I2146" s="148" t="s">
        <v>19</v>
      </c>
      <c r="J2146" s="148" t="s">
        <v>20</v>
      </c>
      <c r="K2146" s="148" t="s">
        <v>21</v>
      </c>
      <c r="L2146" s="148" t="s">
        <v>22</v>
      </c>
      <c r="M2146" s="148" t="s">
        <v>23</v>
      </c>
      <c r="N2146" s="148" t="s">
        <v>24</v>
      </c>
      <c r="O2146" s="148" t="s">
        <v>25</v>
      </c>
      <c r="P2146" s="148" t="s">
        <v>26</v>
      </c>
      <c r="Q2146" s="148" t="s">
        <v>27</v>
      </c>
      <c r="R2146" s="342" t="s">
        <v>30</v>
      </c>
      <c r="S2146" s="343"/>
      <c r="T2146" s="343"/>
      <c r="U2146" s="343"/>
      <c r="V2146" s="343"/>
      <c r="W2146" s="343"/>
      <c r="X2146" s="343"/>
      <c r="Y2146" s="343"/>
      <c r="Z2146" s="343"/>
      <c r="AA2146" s="343"/>
      <c r="AB2146" s="343"/>
      <c r="AC2146" s="343"/>
      <c r="AD2146" s="343"/>
      <c r="AE2146" s="343"/>
      <c r="AF2146" s="344"/>
      <c r="AG2146" s="67" t="s">
        <v>28</v>
      </c>
      <c r="AH2146" s="149" t="s">
        <v>29</v>
      </c>
      <c r="AI2146" s="6"/>
    </row>
    <row r="2147" spans="1:35" ht="15.75" thickBot="1" x14ac:dyDescent="0.3">
      <c r="A2147" s="3"/>
      <c r="B2147" s="5"/>
      <c r="C2147" s="150">
        <v>0</v>
      </c>
      <c r="D2147" s="151">
        <v>0</v>
      </c>
      <c r="E2147" s="151">
        <v>0</v>
      </c>
      <c r="F2147" s="151">
        <v>0</v>
      </c>
      <c r="G2147" s="151">
        <v>0</v>
      </c>
      <c r="H2147" s="151">
        <v>0</v>
      </c>
      <c r="I2147" s="151">
        <v>0</v>
      </c>
      <c r="J2147" s="151">
        <v>0</v>
      </c>
      <c r="K2147" s="151">
        <v>0</v>
      </c>
      <c r="L2147" s="151">
        <v>0</v>
      </c>
      <c r="M2147" s="151">
        <v>0</v>
      </c>
      <c r="N2147" s="151">
        <v>0</v>
      </c>
      <c r="O2147" s="151">
        <v>1</v>
      </c>
      <c r="P2147" s="151">
        <v>0</v>
      </c>
      <c r="Q2147" s="151">
        <v>0</v>
      </c>
      <c r="R2147" s="151">
        <v>0</v>
      </c>
      <c r="S2147" s="151">
        <v>0</v>
      </c>
      <c r="T2147" s="151">
        <v>0</v>
      </c>
      <c r="U2147" s="151">
        <v>0</v>
      </c>
      <c r="V2147" s="151">
        <v>0</v>
      </c>
      <c r="W2147" s="151">
        <v>0</v>
      </c>
      <c r="X2147" s="151">
        <v>1</v>
      </c>
      <c r="Y2147" s="151">
        <v>1</v>
      </c>
      <c r="Z2147" s="151">
        <v>1</v>
      </c>
      <c r="AA2147" s="151">
        <v>0</v>
      </c>
      <c r="AB2147" s="151">
        <v>0</v>
      </c>
      <c r="AC2147" s="151">
        <v>0</v>
      </c>
      <c r="AD2147" s="151">
        <v>1</v>
      </c>
      <c r="AE2147" s="151">
        <v>0</v>
      </c>
      <c r="AF2147" s="151">
        <v>0</v>
      </c>
      <c r="AG2147" s="151">
        <v>0</v>
      </c>
      <c r="AH2147" s="152">
        <v>0</v>
      </c>
      <c r="AI2147" s="6"/>
    </row>
    <row r="2148" spans="1:35" x14ac:dyDescent="0.25">
      <c r="A2148" s="3"/>
      <c r="B2148" s="4"/>
      <c r="C2148" s="5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  <c r="AE2148" s="5"/>
      <c r="AF2148" s="5"/>
      <c r="AG2148" s="5"/>
      <c r="AH2148" s="5"/>
      <c r="AI2148" s="6"/>
    </row>
    <row r="2149" spans="1:35" x14ac:dyDescent="0.25">
      <c r="A2149" s="3"/>
      <c r="B2149" s="8" t="s">
        <v>43</v>
      </c>
      <c r="C2149" s="9"/>
      <c r="D2149" s="9"/>
      <c r="E2149" s="9"/>
      <c r="F2149" s="225" t="s">
        <v>44</v>
      </c>
      <c r="G2149" s="225"/>
      <c r="H2149" s="225"/>
      <c r="I2149" s="9"/>
      <c r="J2149" s="226" t="s">
        <v>45</v>
      </c>
      <c r="K2149" s="226"/>
      <c r="L2149" s="226"/>
      <c r="M2149" s="226"/>
      <c r="N2149" s="9"/>
      <c r="O2149" s="227" t="s">
        <v>46</v>
      </c>
      <c r="P2149" s="227"/>
      <c r="Q2149" s="227"/>
      <c r="R2149" s="227"/>
      <c r="S2149" s="9"/>
      <c r="T2149" s="1" t="s">
        <v>49</v>
      </c>
      <c r="U2149" s="10" t="s">
        <v>48</v>
      </c>
      <c r="V2149" s="5"/>
      <c r="W2149" s="9"/>
      <c r="X2149" s="9"/>
      <c r="Y2149" s="9"/>
      <c r="Z2149" s="9"/>
      <c r="AA2149" s="9"/>
      <c r="AB2149" s="9"/>
      <c r="AC2149" s="9"/>
      <c r="AD2149" s="9"/>
      <c r="AE2149" s="9"/>
      <c r="AF2149" s="9"/>
      <c r="AG2149" s="9"/>
      <c r="AH2149" s="9"/>
      <c r="AI2149" s="6"/>
    </row>
    <row r="2150" spans="1:35" x14ac:dyDescent="0.25">
      <c r="A2150" s="3"/>
      <c r="B2150" s="221" t="str">
        <f>"0x"&amp;DEC2HEX(Sheet3!$I$4,8)</f>
        <v>0x00400320</v>
      </c>
      <c r="C2150" s="221"/>
      <c r="D2150" s="221"/>
      <c r="E2150" s="12"/>
      <c r="F2150" s="319" t="str">
        <f>"0x"&amp;BIN2HEX(CONCATENATE(C2143,D2143,E2143,F2143,G2143,H2143,I2143,J2143),2)&amp;BIN2HEX(CONCATENATE(K2143,L2143,M2143,N2143,O2143,P2143,Q2143,R2143),2)&amp;BIN2HEX(CONCATENATE(S2143,T2143,U2143,V2143,W2143,X2143,Y2143,Z2143),2)&amp;BIN2HEX(CONCATENATE(AA2143,AB2143,AC2143,AD2143,AE2143,AF2143,AG2143,AH2143),2)</f>
        <v>0x00000000</v>
      </c>
      <c r="G2150" s="319"/>
      <c r="H2150" s="319"/>
      <c r="I2150" s="12"/>
      <c r="J2150" s="319" t="str">
        <f>"0b"&amp;C2147&amp;D2147&amp;E2147&amp;F2147&amp;G2147&amp;H2147&amp;I2147&amp;J2147&amp;K2147&amp;L2147&amp;M2147&amp;N2147&amp;O2147&amp;P2147&amp;Q2147</f>
        <v>0b000000000000100</v>
      </c>
      <c r="K2150" s="319"/>
      <c r="L2150" s="319"/>
      <c r="M2150" s="319"/>
      <c r="N2150" s="12"/>
      <c r="O2150" s="319" t="str">
        <f>"0b"&amp;DEC2BIN(((AF2147+AE2147*2+AD2147*4+AC2147*8+AB2147*16+AA2147*32+Z2147*64+Y2147*128+X2147*256+W2147*512+V2147*1024+U2147*2048+T2147*4096+S2147*2^13+R2147*2^14)/512),6)&amp;DEC2BIN(MOD((AF2147+AE2147*2+AD2147*4+AC2147*8+AB2147*16+AA2147*32+Z2147*64+Y2147*128+X2147*256+W2147*512+V2147*1024+U2147*2048+T2147*4096+S2147*2^13+R2147*2^14),512),9)</f>
        <v>0b000000111000100</v>
      </c>
      <c r="P2150" s="319"/>
      <c r="Q2150" s="319"/>
      <c r="R2150" s="319"/>
      <c r="S2150" s="12"/>
      <c r="T2150" s="224">
        <v>0</v>
      </c>
      <c r="U2150" s="224">
        <f>AH2147</f>
        <v>0</v>
      </c>
      <c r="V2150" s="5"/>
      <c r="W2150" s="14"/>
      <c r="X2150" s="14"/>
      <c r="Y2150" s="14"/>
      <c r="Z2150" s="14"/>
      <c r="AA2150" s="14"/>
      <c r="AB2150" s="14"/>
      <c r="AC2150" s="14"/>
      <c r="AD2150" s="14"/>
      <c r="AE2150" s="14"/>
      <c r="AF2150" s="14"/>
      <c r="AG2150" s="14"/>
      <c r="AH2150" s="14"/>
      <c r="AI2150" s="6"/>
    </row>
    <row r="2151" spans="1:35" x14ac:dyDescent="0.25">
      <c r="A2151" s="3"/>
      <c r="B2151" s="221"/>
      <c r="C2151" s="221"/>
      <c r="D2151" s="221"/>
      <c r="E2151" s="15"/>
      <c r="F2151" s="222"/>
      <c r="G2151" s="222"/>
      <c r="H2151" s="222"/>
      <c r="I2151" s="15"/>
      <c r="J2151" s="221"/>
      <c r="K2151" s="221"/>
      <c r="L2151" s="221"/>
      <c r="M2151" s="221"/>
      <c r="N2151" s="15"/>
      <c r="O2151" s="221"/>
      <c r="P2151" s="221"/>
      <c r="Q2151" s="221"/>
      <c r="R2151" s="221"/>
      <c r="S2151" s="15"/>
      <c r="T2151" s="224"/>
      <c r="U2151" s="15"/>
      <c r="V2151" s="5"/>
      <c r="W2151" s="16"/>
      <c r="X2151" s="16"/>
      <c r="Y2151" s="16"/>
      <c r="Z2151" s="16"/>
      <c r="AA2151" s="16"/>
      <c r="AB2151" s="16"/>
      <c r="AC2151" s="16"/>
      <c r="AD2151" s="16"/>
      <c r="AE2151" s="16"/>
      <c r="AF2151" s="16"/>
      <c r="AG2151" s="16"/>
      <c r="AH2151" s="16"/>
      <c r="AI2151" s="6"/>
    </row>
    <row r="2152" spans="1:35" x14ac:dyDescent="0.25">
      <c r="A2152" s="3"/>
      <c r="B2152" s="221"/>
      <c r="C2152" s="221"/>
      <c r="D2152" s="221"/>
      <c r="E2152" s="15"/>
      <c r="F2152" s="222"/>
      <c r="G2152" s="222"/>
      <c r="H2152" s="222"/>
      <c r="I2152" s="15"/>
      <c r="J2152" s="221"/>
      <c r="K2152" s="221"/>
      <c r="L2152" s="221"/>
      <c r="M2152" s="221"/>
      <c r="N2152" s="15"/>
      <c r="O2152" s="221"/>
      <c r="P2152" s="221"/>
      <c r="Q2152" s="221"/>
      <c r="R2152" s="221"/>
      <c r="S2152" s="15"/>
      <c r="T2152" s="224"/>
      <c r="U2152" s="15"/>
      <c r="V2152" s="5"/>
      <c r="W2152" s="16"/>
      <c r="X2152" s="16"/>
      <c r="Y2152" s="16"/>
      <c r="Z2152" s="16"/>
      <c r="AA2152" s="16"/>
      <c r="AB2152" s="16"/>
      <c r="AC2152" s="16"/>
      <c r="AD2152" s="16"/>
      <c r="AE2152" s="16"/>
      <c r="AF2152" s="16"/>
      <c r="AG2152" s="16"/>
      <c r="AH2152" s="16"/>
      <c r="AI2152" s="6"/>
    </row>
    <row r="2153" spans="1:35" x14ac:dyDescent="0.25">
      <c r="A2153" s="3"/>
      <c r="B2153" s="5"/>
      <c r="C2153" s="5"/>
      <c r="D2153" s="5"/>
      <c r="E2153" s="5"/>
      <c r="F2153" s="17"/>
      <c r="G2153" s="17"/>
      <c r="H2153" s="17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I2153" s="6"/>
    </row>
    <row r="2154" spans="1:35" x14ac:dyDescent="0.25">
      <c r="A2154" s="3"/>
      <c r="B2154" s="5" t="s">
        <v>47</v>
      </c>
      <c r="C2154" s="18"/>
      <c r="D2154" s="18"/>
      <c r="E2154" s="18"/>
      <c r="F2154" s="5"/>
      <c r="G2154" s="5"/>
      <c r="H2154" s="5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  <c r="AB2154" s="18"/>
      <c r="AC2154" s="18"/>
      <c r="AD2154" s="18"/>
      <c r="AE2154" s="18"/>
      <c r="AF2154" s="18"/>
      <c r="AG2154" s="18"/>
      <c r="AH2154" s="18"/>
      <c r="AI2154" s="6"/>
    </row>
    <row r="2155" spans="1:35" x14ac:dyDescent="0.25">
      <c r="A2155" s="3"/>
      <c r="B2155" s="221" t="str">
        <f>"0x"&amp;DEC2HEX(Sheet3!$I$4,8)</f>
        <v>0x00400320</v>
      </c>
      <c r="C2155" s="221"/>
      <c r="D2155" s="221"/>
      <c r="E2155" s="16"/>
      <c r="F2155" s="322" t="str">
        <f>F2150&amp;BIN2HEX(MID(J2150,3,8),2)&amp;BIN2HEX(RIGHT(J2150,7)&amp;MID(O2150,3,1),2)&amp;BIN2HEX(MID(O2150,4,8),2)&amp;BIN2HEX(RIGHT(O2150,6)&amp;T2150&amp;U2150,2)</f>
        <v>0x0000000000080710</v>
      </c>
      <c r="G2155" s="322"/>
      <c r="H2155" s="322"/>
      <c r="I2155" s="322"/>
      <c r="J2155" s="5"/>
      <c r="K2155" s="5"/>
      <c r="L2155" s="5"/>
      <c r="M2155" s="5"/>
      <c r="N2155" s="5"/>
      <c r="O2155" s="5"/>
      <c r="P2155" s="16"/>
      <c r="Q2155" s="16"/>
      <c r="R2155" s="19"/>
      <c r="S2155" s="19"/>
      <c r="T2155" s="19"/>
      <c r="U2155" s="19"/>
      <c r="V2155" s="19"/>
      <c r="W2155" s="19"/>
      <c r="X2155" s="19"/>
      <c r="Y2155" s="19"/>
      <c r="Z2155" s="19"/>
      <c r="AA2155" s="19"/>
      <c r="AB2155" s="19"/>
      <c r="AC2155" s="19"/>
      <c r="AD2155" s="19"/>
      <c r="AE2155" s="19"/>
      <c r="AF2155" s="19"/>
      <c r="AG2155" s="5"/>
      <c r="AH2155" s="5"/>
      <c r="AI2155" s="6"/>
    </row>
    <row r="2156" spans="1:35" x14ac:dyDescent="0.25">
      <c r="A2156" s="3"/>
      <c r="B2156" s="221"/>
      <c r="C2156" s="221"/>
      <c r="D2156" s="221"/>
      <c r="E2156" s="5"/>
      <c r="F2156" s="223"/>
      <c r="G2156" s="223"/>
      <c r="H2156" s="223"/>
      <c r="I2156" s="223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  <c r="AE2156" s="5"/>
      <c r="AF2156" s="5"/>
      <c r="AG2156" s="5"/>
      <c r="AH2156" s="5"/>
      <c r="AI2156" s="6"/>
    </row>
    <row r="2157" spans="1:35" x14ac:dyDescent="0.25">
      <c r="A2157" s="3"/>
      <c r="B2157" s="221"/>
      <c r="C2157" s="221"/>
      <c r="D2157" s="221"/>
      <c r="E2157" s="5"/>
      <c r="F2157" s="223"/>
      <c r="G2157" s="223"/>
      <c r="H2157" s="223"/>
      <c r="I2157" s="223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  <c r="AE2157" s="5"/>
      <c r="AF2157" s="5"/>
      <c r="AG2157" s="5"/>
      <c r="AH2157" s="5"/>
      <c r="AI2157" s="6"/>
    </row>
    <row r="2158" spans="1:35" x14ac:dyDescent="0.25">
      <c r="A2158" s="20"/>
      <c r="B2158" s="21"/>
      <c r="C2158" s="21"/>
      <c r="D2158" s="21"/>
      <c r="E2158" s="21"/>
      <c r="F2158" s="21"/>
      <c r="G2158" s="21"/>
      <c r="H2158" s="21"/>
      <c r="I2158" s="21"/>
      <c r="J2158" s="21"/>
      <c r="K2158" s="21"/>
      <c r="L2158" s="21"/>
      <c r="M2158" s="21"/>
      <c r="N2158" s="21"/>
      <c r="O2158" s="22"/>
      <c r="P2158" s="21"/>
      <c r="Q2158" s="21"/>
      <c r="R2158" s="21"/>
      <c r="S2158" s="21"/>
      <c r="T2158" s="21"/>
      <c r="U2158" s="21"/>
      <c r="V2158" s="21"/>
      <c r="W2158" s="21"/>
      <c r="X2158" s="21"/>
      <c r="Y2158" s="21"/>
      <c r="Z2158" s="21"/>
      <c r="AA2158" s="21"/>
      <c r="AB2158" s="21"/>
      <c r="AC2158" s="21"/>
      <c r="AD2158" s="21"/>
      <c r="AE2158" s="21"/>
      <c r="AF2158" s="21"/>
      <c r="AG2158" s="21"/>
      <c r="AH2158" s="21"/>
      <c r="AI2158" s="23"/>
    </row>
    <row r="2159" spans="1:35" x14ac:dyDescent="0.25">
      <c r="A2159" s="24"/>
      <c r="B2159" s="28"/>
      <c r="C2159" s="25"/>
      <c r="D2159" s="25"/>
      <c r="E2159" s="25"/>
      <c r="F2159" s="25"/>
      <c r="G2159" s="25"/>
      <c r="H2159" s="25"/>
      <c r="I2159" s="25"/>
      <c r="J2159" s="25"/>
      <c r="K2159" s="25"/>
      <c r="L2159" s="25"/>
      <c r="M2159" s="25"/>
      <c r="N2159" s="25"/>
      <c r="O2159" s="25"/>
      <c r="P2159" s="25"/>
      <c r="Q2159" s="25"/>
      <c r="R2159" s="25"/>
      <c r="S2159" s="25"/>
      <c r="T2159" s="25"/>
      <c r="U2159" s="25"/>
      <c r="V2159" s="25"/>
      <c r="W2159" s="25"/>
      <c r="X2159" s="25"/>
      <c r="Y2159" s="25"/>
      <c r="Z2159" s="25"/>
      <c r="AA2159" s="25"/>
      <c r="AB2159" s="25"/>
      <c r="AC2159" s="25"/>
      <c r="AD2159" s="25"/>
      <c r="AE2159" s="25"/>
      <c r="AF2159" s="25"/>
      <c r="AG2159" s="25"/>
      <c r="AH2159" s="25"/>
      <c r="AI2159" s="26"/>
    </row>
    <row r="2160" spans="1:35" x14ac:dyDescent="0.25">
      <c r="A2160" s="3"/>
      <c r="B2160" s="4" t="s">
        <v>364</v>
      </c>
      <c r="C2160" s="5"/>
      <c r="D2160" s="5"/>
      <c r="E2160" s="5"/>
      <c r="F2160" s="5"/>
      <c r="G2160" s="5"/>
      <c r="H2160" s="5"/>
      <c r="I2160" s="5" t="str">
        <f>"0x"&amp;BIN2HEX(CONCATENATE(C2165,D2165,E2165,F2165,G2165,H2165,I2165,J2165),2)&amp;BIN2HEX(CONCATENATE(K2165,L2165,M2165,N2165,O2165,P2165,Q2165,R2165),2)&amp;BIN2HEX(CONCATENATE(S2165,T2165,U2165,V2165,W2165,X2165,Y2165,Z2165),2)&amp;BIN2HEX(CONCATENATE(AA2165,AB2165,AC2165,AD2165,AE2165,AF2165,AG2165,AH2165),2)&amp;"_"&amp;BIN2HEX(CONCATENATE(C2169,D2169,E2169,F2169,G2169,H2169,I2169,J2169),2)&amp;BIN2HEX(CONCATENATE(K2169,L2169,M2169,N2169,O2169,P2169,Q2169,R2169),2)&amp;BIN2HEX(CONCATENATE(S2169,T2169,U2169,V2169,W2169,X2169,Y2169,Z2169),2)&amp;BIN2HEX(CONCATENATE(AA2169,AB2169,AC2169,AD2169,AE2169,AF2169,AG2169,AH2169),2)</f>
        <v>0x00000000_00080714</v>
      </c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  <c r="AE2160" s="5"/>
      <c r="AF2160" s="5"/>
      <c r="AG2160" s="5"/>
      <c r="AH2160" s="5"/>
      <c r="AI2160" s="6"/>
    </row>
    <row r="2161" spans="1:35" ht="15.75" thickBot="1" x14ac:dyDescent="0.3">
      <c r="A2161" s="3"/>
      <c r="B2161" s="5"/>
      <c r="C2161" s="7">
        <v>0</v>
      </c>
      <c r="D2161" s="7">
        <v>1</v>
      </c>
      <c r="E2161" s="7">
        <v>2</v>
      </c>
      <c r="F2161" s="7">
        <v>3</v>
      </c>
      <c r="G2161" s="7">
        <v>4</v>
      </c>
      <c r="H2161" s="7">
        <v>5</v>
      </c>
      <c r="I2161" s="7">
        <v>6</v>
      </c>
      <c r="J2161" s="7">
        <v>7</v>
      </c>
      <c r="K2161" s="7">
        <v>8</v>
      </c>
      <c r="L2161" s="7">
        <v>9</v>
      </c>
      <c r="M2161" s="7">
        <v>10</v>
      </c>
      <c r="N2161" s="7">
        <v>11</v>
      </c>
      <c r="O2161" s="7">
        <v>12</v>
      </c>
      <c r="P2161" s="7">
        <v>13</v>
      </c>
      <c r="Q2161" s="7">
        <v>14</v>
      </c>
      <c r="R2161" s="7">
        <v>15</v>
      </c>
      <c r="S2161" s="7">
        <v>16</v>
      </c>
      <c r="T2161" s="7">
        <v>17</v>
      </c>
      <c r="U2161" s="7">
        <v>18</v>
      </c>
      <c r="V2161" s="7">
        <v>19</v>
      </c>
      <c r="W2161" s="7">
        <v>20</v>
      </c>
      <c r="X2161" s="7">
        <v>21</v>
      </c>
      <c r="Y2161" s="7">
        <v>22</v>
      </c>
      <c r="Z2161" s="7">
        <v>23</v>
      </c>
      <c r="AA2161" s="7">
        <v>24</v>
      </c>
      <c r="AB2161" s="7">
        <v>25</v>
      </c>
      <c r="AC2161" s="7">
        <v>26</v>
      </c>
      <c r="AD2161" s="7">
        <v>27</v>
      </c>
      <c r="AE2161" s="7">
        <v>28</v>
      </c>
      <c r="AF2161" s="7">
        <v>29</v>
      </c>
      <c r="AG2161" s="7">
        <v>30</v>
      </c>
      <c r="AH2161" s="7">
        <v>31</v>
      </c>
      <c r="AI2161" s="6"/>
    </row>
    <row r="2162" spans="1:35" x14ac:dyDescent="0.25">
      <c r="A2162" s="3"/>
      <c r="B2162" s="5" t="s">
        <v>31</v>
      </c>
      <c r="C2162" s="328" t="s">
        <v>161</v>
      </c>
      <c r="D2162" s="330" t="s">
        <v>63</v>
      </c>
      <c r="E2162" s="331"/>
      <c r="F2162" s="331"/>
      <c r="G2162" s="331"/>
      <c r="H2162" s="331"/>
      <c r="I2162" s="331"/>
      <c r="J2162" s="332"/>
      <c r="K2162" s="336">
        <v>0</v>
      </c>
      <c r="L2162" s="337"/>
      <c r="M2162" s="337"/>
      <c r="N2162" s="337"/>
      <c r="O2162" s="337"/>
      <c r="P2162" s="337"/>
      <c r="Q2162" s="337"/>
      <c r="R2162" s="337"/>
      <c r="S2162" s="337"/>
      <c r="T2162" s="337"/>
      <c r="U2162" s="337"/>
      <c r="V2162" s="337"/>
      <c r="W2162" s="337"/>
      <c r="X2162" s="337"/>
      <c r="Y2162" s="337"/>
      <c r="Z2162" s="337"/>
      <c r="AA2162" s="337"/>
      <c r="AB2162" s="337"/>
      <c r="AC2162" s="337"/>
      <c r="AD2162" s="337"/>
      <c r="AE2162" s="337"/>
      <c r="AF2162" s="337"/>
      <c r="AG2162" s="337"/>
      <c r="AH2162" s="338"/>
      <c r="AI2162" s="6"/>
    </row>
    <row r="2163" spans="1:35" x14ac:dyDescent="0.25">
      <c r="A2163" s="3"/>
      <c r="B2163" s="5" t="s">
        <v>32</v>
      </c>
      <c r="C2163" s="329"/>
      <c r="D2163" s="333"/>
      <c r="E2163" s="334"/>
      <c r="F2163" s="334"/>
      <c r="G2163" s="334"/>
      <c r="H2163" s="334"/>
      <c r="I2163" s="334"/>
      <c r="J2163" s="335"/>
      <c r="K2163" s="339"/>
      <c r="L2163" s="340"/>
      <c r="M2163" s="340"/>
      <c r="N2163" s="340"/>
      <c r="O2163" s="340"/>
      <c r="P2163" s="340"/>
      <c r="Q2163" s="340"/>
      <c r="R2163" s="340"/>
      <c r="S2163" s="340"/>
      <c r="T2163" s="340"/>
      <c r="U2163" s="340"/>
      <c r="V2163" s="340"/>
      <c r="W2163" s="340"/>
      <c r="X2163" s="340"/>
      <c r="Y2163" s="340"/>
      <c r="Z2163" s="340"/>
      <c r="AA2163" s="340"/>
      <c r="AB2163" s="340"/>
      <c r="AC2163" s="340"/>
      <c r="AD2163" s="340"/>
      <c r="AE2163" s="340"/>
      <c r="AF2163" s="340"/>
      <c r="AG2163" s="340"/>
      <c r="AH2163" s="341"/>
      <c r="AI2163" s="6"/>
    </row>
    <row r="2164" spans="1:35" x14ac:dyDescent="0.25">
      <c r="A2164" s="3"/>
      <c r="B2164" s="5" t="s">
        <v>11</v>
      </c>
      <c r="C2164" s="56">
        <v>0</v>
      </c>
      <c r="D2164" s="57">
        <v>0</v>
      </c>
      <c r="E2164" s="57">
        <v>0</v>
      </c>
      <c r="F2164" s="57">
        <v>0</v>
      </c>
      <c r="G2164" s="57">
        <v>0</v>
      </c>
      <c r="H2164" s="57">
        <v>0</v>
      </c>
      <c r="I2164" s="57">
        <v>0</v>
      </c>
      <c r="J2164" s="57">
        <v>0</v>
      </c>
      <c r="K2164" s="57">
        <v>0</v>
      </c>
      <c r="L2164" s="57">
        <v>0</v>
      </c>
      <c r="M2164" s="57">
        <v>0</v>
      </c>
      <c r="N2164" s="57">
        <v>0</v>
      </c>
      <c r="O2164" s="57">
        <v>0</v>
      </c>
      <c r="P2164" s="57">
        <v>0</v>
      </c>
      <c r="Q2164" s="57">
        <v>0</v>
      </c>
      <c r="R2164" s="57">
        <v>0</v>
      </c>
      <c r="S2164" s="57">
        <v>0</v>
      </c>
      <c r="T2164" s="57">
        <v>0</v>
      </c>
      <c r="U2164" s="57">
        <v>0</v>
      </c>
      <c r="V2164" s="57">
        <v>0</v>
      </c>
      <c r="W2164" s="57">
        <v>0</v>
      </c>
      <c r="X2164" s="57">
        <v>0</v>
      </c>
      <c r="Y2164" s="57">
        <v>0</v>
      </c>
      <c r="Z2164" s="57">
        <v>0</v>
      </c>
      <c r="AA2164" s="57">
        <v>0</v>
      </c>
      <c r="AB2164" s="57">
        <v>0</v>
      </c>
      <c r="AC2164" s="57">
        <v>0</v>
      </c>
      <c r="AD2164" s="57">
        <v>0</v>
      </c>
      <c r="AE2164" s="57">
        <v>0</v>
      </c>
      <c r="AF2164" s="57">
        <v>0</v>
      </c>
      <c r="AG2164" s="57">
        <v>0</v>
      </c>
      <c r="AH2164" s="58">
        <v>0</v>
      </c>
      <c r="AI2164" s="6"/>
    </row>
    <row r="2165" spans="1:35" ht="15.75" thickBot="1" x14ac:dyDescent="0.3">
      <c r="A2165" s="3"/>
      <c r="B2165" s="5" t="s">
        <v>12</v>
      </c>
      <c r="C2165" s="145">
        <v>0</v>
      </c>
      <c r="D2165" s="88">
        <v>0</v>
      </c>
      <c r="E2165" s="88">
        <v>0</v>
      </c>
      <c r="F2165" s="88">
        <v>0</v>
      </c>
      <c r="G2165" s="88">
        <v>0</v>
      </c>
      <c r="H2165" s="88">
        <v>0</v>
      </c>
      <c r="I2165" s="88">
        <v>0</v>
      </c>
      <c r="J2165" s="88">
        <v>0</v>
      </c>
      <c r="K2165" s="62">
        <v>0</v>
      </c>
      <c r="L2165" s="62">
        <v>0</v>
      </c>
      <c r="M2165" s="62">
        <v>0</v>
      </c>
      <c r="N2165" s="62">
        <v>0</v>
      </c>
      <c r="O2165" s="62">
        <v>0</v>
      </c>
      <c r="P2165" s="62">
        <v>0</v>
      </c>
      <c r="Q2165" s="62">
        <v>0</v>
      </c>
      <c r="R2165" s="62">
        <v>0</v>
      </c>
      <c r="S2165" s="62">
        <v>0</v>
      </c>
      <c r="T2165" s="62">
        <v>0</v>
      </c>
      <c r="U2165" s="62">
        <v>0</v>
      </c>
      <c r="V2165" s="62">
        <v>0</v>
      </c>
      <c r="W2165" s="62">
        <v>0</v>
      </c>
      <c r="X2165" s="62">
        <v>0</v>
      </c>
      <c r="Y2165" s="62">
        <v>0</v>
      </c>
      <c r="Z2165" s="62">
        <v>0</v>
      </c>
      <c r="AA2165" s="62">
        <v>0</v>
      </c>
      <c r="AB2165" s="62">
        <v>0</v>
      </c>
      <c r="AC2165" s="62">
        <v>0</v>
      </c>
      <c r="AD2165" s="62">
        <v>0</v>
      </c>
      <c r="AE2165" s="62">
        <v>0</v>
      </c>
      <c r="AF2165" s="62">
        <v>0</v>
      </c>
      <c r="AG2165" s="62">
        <v>0</v>
      </c>
      <c r="AH2165" s="146">
        <v>0</v>
      </c>
      <c r="AI2165" s="6"/>
    </row>
    <row r="2166" spans="1:35" x14ac:dyDescent="0.25">
      <c r="A2166" s="3"/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  <c r="AE2166" s="5"/>
      <c r="AF2166" s="5"/>
      <c r="AG2166" s="5"/>
      <c r="AH2166" s="5"/>
      <c r="AI2166" s="6"/>
    </row>
    <row r="2167" spans="1:35" ht="15.75" thickBot="1" x14ac:dyDescent="0.3">
      <c r="A2167" s="3"/>
      <c r="B2167" s="5"/>
      <c r="C2167" s="7">
        <v>32</v>
      </c>
      <c r="D2167" s="7">
        <v>33</v>
      </c>
      <c r="E2167" s="7">
        <v>34</v>
      </c>
      <c r="F2167" s="7">
        <v>35</v>
      </c>
      <c r="G2167" s="7">
        <v>36</v>
      </c>
      <c r="H2167" s="7">
        <v>37</v>
      </c>
      <c r="I2167" s="7">
        <v>38</v>
      </c>
      <c r="J2167" s="7">
        <v>39</v>
      </c>
      <c r="K2167" s="7">
        <v>40</v>
      </c>
      <c r="L2167" s="7">
        <v>41</v>
      </c>
      <c r="M2167" s="7">
        <v>42</v>
      </c>
      <c r="N2167" s="7">
        <v>43</v>
      </c>
      <c r="O2167" s="7">
        <v>44</v>
      </c>
      <c r="P2167" s="7">
        <v>45</v>
      </c>
      <c r="Q2167" s="7">
        <v>46</v>
      </c>
      <c r="R2167" s="7">
        <v>47</v>
      </c>
      <c r="S2167" s="7">
        <v>48</v>
      </c>
      <c r="T2167" s="7">
        <v>49</v>
      </c>
      <c r="U2167" s="7">
        <v>50</v>
      </c>
      <c r="V2167" s="7">
        <v>51</v>
      </c>
      <c r="W2167" s="7">
        <v>52</v>
      </c>
      <c r="X2167" s="7">
        <v>53</v>
      </c>
      <c r="Y2167" s="7">
        <v>54</v>
      </c>
      <c r="Z2167" s="7">
        <v>55</v>
      </c>
      <c r="AA2167" s="7">
        <v>56</v>
      </c>
      <c r="AB2167" s="7">
        <v>57</v>
      </c>
      <c r="AC2167" s="7">
        <v>58</v>
      </c>
      <c r="AD2167" s="7">
        <v>59</v>
      </c>
      <c r="AE2167" s="7">
        <v>60</v>
      </c>
      <c r="AF2167" s="7">
        <v>61</v>
      </c>
      <c r="AG2167" s="7">
        <v>62</v>
      </c>
      <c r="AH2167" s="7">
        <v>63</v>
      </c>
      <c r="AI2167" s="6"/>
    </row>
    <row r="2168" spans="1:35" ht="15.75" thickBot="1" x14ac:dyDescent="0.3">
      <c r="A2168" s="3"/>
      <c r="B2168" s="5"/>
      <c r="C2168" s="147" t="s">
        <v>13</v>
      </c>
      <c r="D2168" s="148" t="s">
        <v>14</v>
      </c>
      <c r="E2168" s="148" t="s">
        <v>15</v>
      </c>
      <c r="F2168" s="148" t="s">
        <v>16</v>
      </c>
      <c r="G2168" s="148" t="s">
        <v>17</v>
      </c>
      <c r="H2168" s="148" t="s">
        <v>18</v>
      </c>
      <c r="I2168" s="148" t="s">
        <v>19</v>
      </c>
      <c r="J2168" s="148" t="s">
        <v>20</v>
      </c>
      <c r="K2168" s="148" t="s">
        <v>21</v>
      </c>
      <c r="L2168" s="148" t="s">
        <v>22</v>
      </c>
      <c r="M2168" s="148" t="s">
        <v>23</v>
      </c>
      <c r="N2168" s="148" t="s">
        <v>24</v>
      </c>
      <c r="O2168" s="148" t="s">
        <v>25</v>
      </c>
      <c r="P2168" s="148" t="s">
        <v>26</v>
      </c>
      <c r="Q2168" s="148" t="s">
        <v>27</v>
      </c>
      <c r="R2168" s="342" t="s">
        <v>30</v>
      </c>
      <c r="S2168" s="343"/>
      <c r="T2168" s="343"/>
      <c r="U2168" s="343"/>
      <c r="V2168" s="343"/>
      <c r="W2168" s="343"/>
      <c r="X2168" s="343"/>
      <c r="Y2168" s="343"/>
      <c r="Z2168" s="343"/>
      <c r="AA2168" s="343"/>
      <c r="AB2168" s="343"/>
      <c r="AC2168" s="343"/>
      <c r="AD2168" s="343"/>
      <c r="AE2168" s="343"/>
      <c r="AF2168" s="344"/>
      <c r="AG2168" s="67" t="s">
        <v>28</v>
      </c>
      <c r="AH2168" s="149" t="s">
        <v>29</v>
      </c>
      <c r="AI2168" s="6"/>
    </row>
    <row r="2169" spans="1:35" ht="15.75" thickBot="1" x14ac:dyDescent="0.3">
      <c r="A2169" s="3"/>
      <c r="B2169" s="5"/>
      <c r="C2169" s="150">
        <v>0</v>
      </c>
      <c r="D2169" s="151">
        <v>0</v>
      </c>
      <c r="E2169" s="151">
        <v>0</v>
      </c>
      <c r="F2169" s="151">
        <v>0</v>
      </c>
      <c r="G2169" s="151">
        <v>0</v>
      </c>
      <c r="H2169" s="151">
        <v>0</v>
      </c>
      <c r="I2169" s="151">
        <v>0</v>
      </c>
      <c r="J2169" s="151">
        <v>0</v>
      </c>
      <c r="K2169" s="151">
        <v>0</v>
      </c>
      <c r="L2169" s="151">
        <v>0</v>
      </c>
      <c r="M2169" s="151">
        <v>0</v>
      </c>
      <c r="N2169" s="151">
        <v>0</v>
      </c>
      <c r="O2169" s="151">
        <v>1</v>
      </c>
      <c r="P2169" s="151">
        <v>0</v>
      </c>
      <c r="Q2169" s="151">
        <v>0</v>
      </c>
      <c r="R2169" s="151">
        <v>0</v>
      </c>
      <c r="S2169" s="151">
        <v>0</v>
      </c>
      <c r="T2169" s="151">
        <v>0</v>
      </c>
      <c r="U2169" s="151">
        <v>0</v>
      </c>
      <c r="V2169" s="151">
        <v>0</v>
      </c>
      <c r="W2169" s="151">
        <v>0</v>
      </c>
      <c r="X2169" s="151">
        <v>1</v>
      </c>
      <c r="Y2169" s="151">
        <v>1</v>
      </c>
      <c r="Z2169" s="151">
        <v>1</v>
      </c>
      <c r="AA2169" s="151">
        <v>0</v>
      </c>
      <c r="AB2169" s="151">
        <v>0</v>
      </c>
      <c r="AC2169" s="151">
        <v>0</v>
      </c>
      <c r="AD2169" s="151">
        <v>1</v>
      </c>
      <c r="AE2169" s="151">
        <v>0</v>
      </c>
      <c r="AF2169" s="151">
        <v>1</v>
      </c>
      <c r="AG2169" s="151">
        <v>0</v>
      </c>
      <c r="AH2169" s="152">
        <v>0</v>
      </c>
      <c r="AI2169" s="6"/>
    </row>
    <row r="2170" spans="1:35" x14ac:dyDescent="0.25">
      <c r="A2170" s="3"/>
      <c r="B2170" s="4"/>
      <c r="C2170" s="5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  <c r="AE2170" s="5"/>
      <c r="AF2170" s="5"/>
      <c r="AG2170" s="5"/>
      <c r="AH2170" s="5"/>
      <c r="AI2170" s="6"/>
    </row>
    <row r="2171" spans="1:35" x14ac:dyDescent="0.25">
      <c r="A2171" s="3"/>
      <c r="B2171" s="8" t="s">
        <v>43</v>
      </c>
      <c r="C2171" s="9"/>
      <c r="D2171" s="9"/>
      <c r="E2171" s="9"/>
      <c r="F2171" s="225" t="s">
        <v>44</v>
      </c>
      <c r="G2171" s="225"/>
      <c r="H2171" s="225"/>
      <c r="I2171" s="9"/>
      <c r="J2171" s="226" t="s">
        <v>45</v>
      </c>
      <c r="K2171" s="226"/>
      <c r="L2171" s="226"/>
      <c r="M2171" s="226"/>
      <c r="N2171" s="9"/>
      <c r="O2171" s="227" t="s">
        <v>46</v>
      </c>
      <c r="P2171" s="227"/>
      <c r="Q2171" s="227"/>
      <c r="R2171" s="227"/>
      <c r="S2171" s="9"/>
      <c r="T2171" s="1" t="s">
        <v>49</v>
      </c>
      <c r="U2171" s="10" t="s">
        <v>48</v>
      </c>
      <c r="V2171" s="5"/>
      <c r="W2171" s="9"/>
      <c r="X2171" s="9"/>
      <c r="Y2171" s="9"/>
      <c r="Z2171" s="9"/>
      <c r="AA2171" s="9"/>
      <c r="AB2171" s="9"/>
      <c r="AC2171" s="9"/>
      <c r="AD2171" s="9"/>
      <c r="AE2171" s="9"/>
      <c r="AF2171" s="9"/>
      <c r="AG2171" s="9"/>
      <c r="AH2171" s="9"/>
      <c r="AI2171" s="6"/>
    </row>
    <row r="2172" spans="1:35" x14ac:dyDescent="0.25">
      <c r="A2172" s="3"/>
      <c r="B2172" s="221" t="str">
        <f>"0x"&amp;DEC2HEX(Sheet3!$I$4,8)</f>
        <v>0x00400320</v>
      </c>
      <c r="C2172" s="221"/>
      <c r="D2172" s="221"/>
      <c r="E2172" s="12"/>
      <c r="F2172" s="319" t="str">
        <f>"0x"&amp;BIN2HEX(CONCATENATE(C2165,D2165,E2165,F2165,G2165,H2165,I2165,J2165),2)&amp;BIN2HEX(CONCATENATE(K2165,L2165,M2165,N2165,O2165,P2165,Q2165,R2165),2)&amp;BIN2HEX(CONCATENATE(S2165,T2165,U2165,V2165,W2165,X2165,Y2165,Z2165),2)&amp;BIN2HEX(CONCATENATE(AA2165,AB2165,AC2165,AD2165,AE2165,AF2165,AG2165,AH2165),2)</f>
        <v>0x00000000</v>
      </c>
      <c r="G2172" s="319"/>
      <c r="H2172" s="319"/>
      <c r="I2172" s="12"/>
      <c r="J2172" s="319" t="str">
        <f>"0b"&amp;C2169&amp;D2169&amp;E2169&amp;F2169&amp;G2169&amp;H2169&amp;I2169&amp;J2169&amp;K2169&amp;L2169&amp;M2169&amp;N2169&amp;O2169&amp;P2169&amp;Q2169</f>
        <v>0b000000000000100</v>
      </c>
      <c r="K2172" s="319"/>
      <c r="L2172" s="319"/>
      <c r="M2172" s="319"/>
      <c r="N2172" s="12"/>
      <c r="O2172" s="319" t="str">
        <f>"0b"&amp;DEC2BIN(((AF2169+AE2169*2+AD2169*4+AC2169*8+AB2169*16+AA2169*32+Z2169*64+Y2169*128+X2169*256+W2169*512+V2169*1024+U2169*2048+T2169*4096+S2169*2^13+R2169*2^14)/512),6)&amp;DEC2BIN(MOD((AF2169+AE2169*2+AD2169*4+AC2169*8+AB2169*16+AA2169*32+Z2169*64+Y2169*128+X2169*256+W2169*512+V2169*1024+U2169*2048+T2169*4096+S2169*2^13+R2169*2^14),512),9)</f>
        <v>0b000000111000101</v>
      </c>
      <c r="P2172" s="319"/>
      <c r="Q2172" s="319"/>
      <c r="R2172" s="319"/>
      <c r="S2172" s="12"/>
      <c r="T2172" s="224">
        <v>0</v>
      </c>
      <c r="U2172" s="224">
        <f>AH2169</f>
        <v>0</v>
      </c>
      <c r="V2172" s="5"/>
      <c r="W2172" s="14"/>
      <c r="X2172" s="14"/>
      <c r="Y2172" s="14"/>
      <c r="Z2172" s="14"/>
      <c r="AA2172" s="14"/>
      <c r="AB2172" s="14"/>
      <c r="AC2172" s="14"/>
      <c r="AD2172" s="14"/>
      <c r="AE2172" s="14"/>
      <c r="AF2172" s="14"/>
      <c r="AG2172" s="14"/>
      <c r="AH2172" s="14"/>
      <c r="AI2172" s="6"/>
    </row>
    <row r="2173" spans="1:35" x14ac:dyDescent="0.25">
      <c r="A2173" s="3"/>
      <c r="B2173" s="221"/>
      <c r="C2173" s="221"/>
      <c r="D2173" s="221"/>
      <c r="E2173" s="15"/>
      <c r="F2173" s="222"/>
      <c r="G2173" s="222"/>
      <c r="H2173" s="222"/>
      <c r="I2173" s="15"/>
      <c r="J2173" s="221"/>
      <c r="K2173" s="221"/>
      <c r="L2173" s="221"/>
      <c r="M2173" s="221"/>
      <c r="N2173" s="15"/>
      <c r="O2173" s="221"/>
      <c r="P2173" s="221"/>
      <c r="Q2173" s="221"/>
      <c r="R2173" s="221"/>
      <c r="S2173" s="15"/>
      <c r="T2173" s="224"/>
      <c r="U2173" s="15"/>
      <c r="V2173" s="5"/>
      <c r="W2173" s="16"/>
      <c r="X2173" s="16"/>
      <c r="Y2173" s="16"/>
      <c r="Z2173" s="16"/>
      <c r="AA2173" s="16"/>
      <c r="AB2173" s="16"/>
      <c r="AC2173" s="16"/>
      <c r="AD2173" s="16"/>
      <c r="AE2173" s="16"/>
      <c r="AF2173" s="16"/>
      <c r="AG2173" s="16"/>
      <c r="AH2173" s="16"/>
      <c r="AI2173" s="6"/>
    </row>
    <row r="2174" spans="1:35" x14ac:dyDescent="0.25">
      <c r="A2174" s="3"/>
      <c r="B2174" s="221"/>
      <c r="C2174" s="221"/>
      <c r="D2174" s="221"/>
      <c r="E2174" s="15"/>
      <c r="F2174" s="222"/>
      <c r="G2174" s="222"/>
      <c r="H2174" s="222"/>
      <c r="I2174" s="15"/>
      <c r="J2174" s="221"/>
      <c r="K2174" s="221"/>
      <c r="L2174" s="221"/>
      <c r="M2174" s="221"/>
      <c r="N2174" s="15"/>
      <c r="O2174" s="221"/>
      <c r="P2174" s="221"/>
      <c r="Q2174" s="221"/>
      <c r="R2174" s="221"/>
      <c r="S2174" s="15"/>
      <c r="T2174" s="224"/>
      <c r="U2174" s="15"/>
      <c r="V2174" s="5"/>
      <c r="W2174" s="16"/>
      <c r="X2174" s="16"/>
      <c r="Y2174" s="16"/>
      <c r="Z2174" s="16"/>
      <c r="AA2174" s="16"/>
      <c r="AB2174" s="16"/>
      <c r="AC2174" s="16"/>
      <c r="AD2174" s="16"/>
      <c r="AE2174" s="16"/>
      <c r="AF2174" s="16"/>
      <c r="AG2174" s="16"/>
      <c r="AH2174" s="16"/>
      <c r="AI2174" s="6"/>
    </row>
    <row r="2175" spans="1:35" x14ac:dyDescent="0.25">
      <c r="A2175" s="3"/>
      <c r="B2175" s="5"/>
      <c r="C2175" s="5"/>
      <c r="D2175" s="5"/>
      <c r="E2175" s="5"/>
      <c r="F2175" s="17"/>
      <c r="G2175" s="17"/>
      <c r="H2175" s="17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  <c r="AE2175" s="5"/>
      <c r="AF2175" s="5"/>
      <c r="AG2175" s="5"/>
      <c r="AH2175" s="5"/>
      <c r="AI2175" s="6"/>
    </row>
    <row r="2176" spans="1:35" x14ac:dyDescent="0.25">
      <c r="A2176" s="3"/>
      <c r="B2176" s="5" t="s">
        <v>47</v>
      </c>
      <c r="C2176" s="18"/>
      <c r="D2176" s="18"/>
      <c r="E2176" s="18"/>
      <c r="F2176" s="5"/>
      <c r="G2176" s="5"/>
      <c r="H2176" s="5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  <c r="AB2176" s="18"/>
      <c r="AC2176" s="18"/>
      <c r="AD2176" s="18"/>
      <c r="AE2176" s="18"/>
      <c r="AF2176" s="18"/>
      <c r="AG2176" s="18"/>
      <c r="AH2176" s="18"/>
      <c r="AI2176" s="6"/>
    </row>
    <row r="2177" spans="1:35" x14ac:dyDescent="0.25">
      <c r="A2177" s="3"/>
      <c r="B2177" s="221" t="str">
        <f>"0x"&amp;DEC2HEX(Sheet3!$I$4,8)</f>
        <v>0x00400320</v>
      </c>
      <c r="C2177" s="221"/>
      <c r="D2177" s="221"/>
      <c r="E2177" s="16"/>
      <c r="F2177" s="322" t="str">
        <f>F2172&amp;BIN2HEX(MID(J2172,3,8),2)&amp;BIN2HEX(RIGHT(J2172,7)&amp;MID(O2172,3,1),2)&amp;BIN2HEX(MID(O2172,4,8),2)&amp;BIN2HEX(RIGHT(O2172,6)&amp;T2172&amp;U2172,2)</f>
        <v>0x0000000000080714</v>
      </c>
      <c r="G2177" s="322"/>
      <c r="H2177" s="322"/>
      <c r="I2177" s="322"/>
      <c r="J2177" s="5"/>
      <c r="K2177" s="5"/>
      <c r="L2177" s="5"/>
      <c r="M2177" s="5"/>
      <c r="N2177" s="5"/>
      <c r="O2177" s="5"/>
      <c r="P2177" s="16"/>
      <c r="Q2177" s="16"/>
      <c r="R2177" s="19"/>
      <c r="S2177" s="19"/>
      <c r="T2177" s="19"/>
      <c r="U2177" s="19"/>
      <c r="V2177" s="19"/>
      <c r="W2177" s="19"/>
      <c r="X2177" s="19"/>
      <c r="Y2177" s="19"/>
      <c r="Z2177" s="19"/>
      <c r="AA2177" s="19"/>
      <c r="AB2177" s="19"/>
      <c r="AC2177" s="19"/>
      <c r="AD2177" s="19"/>
      <c r="AE2177" s="19"/>
      <c r="AF2177" s="19"/>
      <c r="AG2177" s="5"/>
      <c r="AH2177" s="5"/>
      <c r="AI2177" s="6"/>
    </row>
    <row r="2178" spans="1:35" x14ac:dyDescent="0.25">
      <c r="A2178" s="3"/>
      <c r="B2178" s="221"/>
      <c r="C2178" s="221"/>
      <c r="D2178" s="221"/>
      <c r="E2178" s="5"/>
      <c r="F2178" s="223"/>
      <c r="G2178" s="223"/>
      <c r="H2178" s="223"/>
      <c r="I2178" s="223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  <c r="AE2178" s="5"/>
      <c r="AF2178" s="5"/>
      <c r="AG2178" s="5"/>
      <c r="AH2178" s="5"/>
      <c r="AI2178" s="6"/>
    </row>
    <row r="2179" spans="1:35" x14ac:dyDescent="0.25">
      <c r="A2179" s="3"/>
      <c r="B2179" s="221"/>
      <c r="C2179" s="221"/>
      <c r="D2179" s="221"/>
      <c r="E2179" s="5"/>
      <c r="F2179" s="223"/>
      <c r="G2179" s="223"/>
      <c r="H2179" s="223"/>
      <c r="I2179" s="223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  <c r="AE2179" s="5"/>
      <c r="AF2179" s="5"/>
      <c r="AG2179" s="5"/>
      <c r="AH2179" s="5"/>
      <c r="AI2179" s="6"/>
    </row>
    <row r="2180" spans="1:35" x14ac:dyDescent="0.25">
      <c r="A2180" s="20"/>
      <c r="B2180" s="21"/>
      <c r="C2180" s="21"/>
      <c r="D2180" s="21"/>
      <c r="E2180" s="21"/>
      <c r="F2180" s="21"/>
      <c r="G2180" s="21"/>
      <c r="H2180" s="21"/>
      <c r="I2180" s="21"/>
      <c r="J2180" s="21"/>
      <c r="K2180" s="21"/>
      <c r="L2180" s="21"/>
      <c r="M2180" s="21"/>
      <c r="N2180" s="21"/>
      <c r="O2180" s="22"/>
      <c r="P2180" s="21"/>
      <c r="Q2180" s="21"/>
      <c r="R2180" s="21"/>
      <c r="S2180" s="21"/>
      <c r="T2180" s="21"/>
      <c r="U2180" s="21"/>
      <c r="V2180" s="21"/>
      <c r="W2180" s="21"/>
      <c r="X2180" s="21"/>
      <c r="Y2180" s="21"/>
      <c r="Z2180" s="21"/>
      <c r="AA2180" s="21"/>
      <c r="AB2180" s="21"/>
      <c r="AC2180" s="21"/>
      <c r="AD2180" s="21"/>
      <c r="AE2180" s="21"/>
      <c r="AF2180" s="21"/>
      <c r="AG2180" s="21"/>
      <c r="AH2180" s="21"/>
      <c r="AI2180" s="23"/>
    </row>
    <row r="2181" spans="1:35" x14ac:dyDescent="0.25">
      <c r="A2181" s="24"/>
      <c r="B2181" s="28"/>
      <c r="C2181" s="25"/>
      <c r="D2181" s="25"/>
      <c r="E2181" s="25"/>
      <c r="F2181" s="25"/>
      <c r="G2181" s="25"/>
      <c r="H2181" s="25"/>
      <c r="I2181" s="25"/>
      <c r="J2181" s="25"/>
      <c r="K2181" s="25"/>
      <c r="L2181" s="25"/>
      <c r="M2181" s="25"/>
      <c r="N2181" s="25"/>
      <c r="O2181" s="25"/>
      <c r="P2181" s="25"/>
      <c r="Q2181" s="25"/>
      <c r="R2181" s="25"/>
      <c r="S2181" s="25"/>
      <c r="T2181" s="25"/>
      <c r="U2181" s="25"/>
      <c r="V2181" s="25"/>
      <c r="W2181" s="25"/>
      <c r="X2181" s="25"/>
      <c r="Y2181" s="25"/>
      <c r="Z2181" s="25"/>
      <c r="AA2181" s="25"/>
      <c r="AB2181" s="25"/>
      <c r="AC2181" s="25"/>
      <c r="AD2181" s="25"/>
      <c r="AE2181" s="25"/>
      <c r="AF2181" s="25"/>
      <c r="AG2181" s="25"/>
      <c r="AH2181" s="25"/>
      <c r="AI2181" s="26"/>
    </row>
    <row r="2182" spans="1:35" x14ac:dyDescent="0.25">
      <c r="A2182" s="3"/>
      <c r="B2182" s="4" t="s">
        <v>365</v>
      </c>
      <c r="C2182" s="5"/>
      <c r="D2182" s="5"/>
      <c r="E2182" s="5"/>
      <c r="F2182" s="5"/>
      <c r="G2182" s="5"/>
      <c r="H2182" s="5"/>
      <c r="I2182" s="5" t="str">
        <f>"0x"&amp;BIN2HEX(CONCATENATE(C2187,D2187,E2187,F2187,G2187,H2187,I2187,J2187),2)&amp;BIN2HEX(CONCATENATE(K2187,L2187,M2187,N2187,O2187,P2187,Q2187,R2187),2)&amp;BIN2HEX(CONCATENATE(S2187,T2187,U2187,V2187,W2187,X2187,Y2187,Z2187),2)&amp;BIN2HEX(CONCATENATE(AA2187,AB2187,AC2187,AD2187,AE2187,AF2187,AG2187,AH2187),2)&amp;"_"&amp;BIN2HEX(CONCATENATE(C2191,D2191,E2191,F2191,G2191,H2191,I2191,J2191),2)&amp;BIN2HEX(CONCATENATE(K2191,L2191,M2191,N2191,O2191,P2191,Q2191,R2191),2)&amp;BIN2HEX(CONCATENATE(S2191,T2191,U2191,V2191,W2191,X2191,Y2191,Z2191),2)&amp;BIN2HEX(CONCATENATE(AA2191,AB2191,AC2191,AD2191,AE2191,AF2191,AG2191,AH2191),2)</f>
        <v>0x00000000_00080718</v>
      </c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  <c r="AE2182" s="5"/>
      <c r="AF2182" s="5"/>
      <c r="AG2182" s="5"/>
      <c r="AH2182" s="5"/>
      <c r="AI2182" s="6"/>
    </row>
    <row r="2183" spans="1:35" ht="15.75" thickBot="1" x14ac:dyDescent="0.3">
      <c r="A2183" s="3"/>
      <c r="B2183" s="5"/>
      <c r="C2183" s="7">
        <v>0</v>
      </c>
      <c r="D2183" s="7">
        <v>1</v>
      </c>
      <c r="E2183" s="7">
        <v>2</v>
      </c>
      <c r="F2183" s="7">
        <v>3</v>
      </c>
      <c r="G2183" s="7">
        <v>4</v>
      </c>
      <c r="H2183" s="7">
        <v>5</v>
      </c>
      <c r="I2183" s="7">
        <v>6</v>
      </c>
      <c r="J2183" s="7">
        <v>7</v>
      </c>
      <c r="K2183" s="7">
        <v>8</v>
      </c>
      <c r="L2183" s="7">
        <v>9</v>
      </c>
      <c r="M2183" s="7">
        <v>10</v>
      </c>
      <c r="N2183" s="7">
        <v>11</v>
      </c>
      <c r="O2183" s="7">
        <v>12</v>
      </c>
      <c r="P2183" s="7">
        <v>13</v>
      </c>
      <c r="Q2183" s="7">
        <v>14</v>
      </c>
      <c r="R2183" s="7">
        <v>15</v>
      </c>
      <c r="S2183" s="7">
        <v>16</v>
      </c>
      <c r="T2183" s="7">
        <v>17</v>
      </c>
      <c r="U2183" s="7">
        <v>18</v>
      </c>
      <c r="V2183" s="7">
        <v>19</v>
      </c>
      <c r="W2183" s="7">
        <v>20</v>
      </c>
      <c r="X2183" s="7">
        <v>21</v>
      </c>
      <c r="Y2183" s="7">
        <v>22</v>
      </c>
      <c r="Z2183" s="7">
        <v>23</v>
      </c>
      <c r="AA2183" s="7">
        <v>24</v>
      </c>
      <c r="AB2183" s="7">
        <v>25</v>
      </c>
      <c r="AC2183" s="7">
        <v>26</v>
      </c>
      <c r="AD2183" s="7">
        <v>27</v>
      </c>
      <c r="AE2183" s="7">
        <v>28</v>
      </c>
      <c r="AF2183" s="7">
        <v>29</v>
      </c>
      <c r="AG2183" s="7">
        <v>30</v>
      </c>
      <c r="AH2183" s="7">
        <v>31</v>
      </c>
      <c r="AI2183" s="6"/>
    </row>
    <row r="2184" spans="1:35" x14ac:dyDescent="0.25">
      <c r="A2184" s="3"/>
      <c r="B2184" s="5" t="s">
        <v>31</v>
      </c>
      <c r="C2184" s="328" t="s">
        <v>161</v>
      </c>
      <c r="D2184" s="330" t="s">
        <v>63</v>
      </c>
      <c r="E2184" s="331"/>
      <c r="F2184" s="331"/>
      <c r="G2184" s="331"/>
      <c r="H2184" s="331"/>
      <c r="I2184" s="331"/>
      <c r="J2184" s="332"/>
      <c r="K2184" s="336">
        <v>0</v>
      </c>
      <c r="L2184" s="337"/>
      <c r="M2184" s="337"/>
      <c r="N2184" s="337"/>
      <c r="O2184" s="337"/>
      <c r="P2184" s="337"/>
      <c r="Q2184" s="337"/>
      <c r="R2184" s="337"/>
      <c r="S2184" s="337"/>
      <c r="T2184" s="337"/>
      <c r="U2184" s="337"/>
      <c r="V2184" s="337"/>
      <c r="W2184" s="337"/>
      <c r="X2184" s="337"/>
      <c r="Y2184" s="337"/>
      <c r="Z2184" s="337"/>
      <c r="AA2184" s="337"/>
      <c r="AB2184" s="337"/>
      <c r="AC2184" s="337"/>
      <c r="AD2184" s="337"/>
      <c r="AE2184" s="337"/>
      <c r="AF2184" s="337"/>
      <c r="AG2184" s="337"/>
      <c r="AH2184" s="338"/>
      <c r="AI2184" s="6"/>
    </row>
    <row r="2185" spans="1:35" x14ac:dyDescent="0.25">
      <c r="A2185" s="3"/>
      <c r="B2185" s="5" t="s">
        <v>32</v>
      </c>
      <c r="C2185" s="329"/>
      <c r="D2185" s="333"/>
      <c r="E2185" s="334"/>
      <c r="F2185" s="334"/>
      <c r="G2185" s="334"/>
      <c r="H2185" s="334"/>
      <c r="I2185" s="334"/>
      <c r="J2185" s="335"/>
      <c r="K2185" s="339"/>
      <c r="L2185" s="340"/>
      <c r="M2185" s="340"/>
      <c r="N2185" s="340"/>
      <c r="O2185" s="340"/>
      <c r="P2185" s="340"/>
      <c r="Q2185" s="340"/>
      <c r="R2185" s="340"/>
      <c r="S2185" s="340"/>
      <c r="T2185" s="340"/>
      <c r="U2185" s="340"/>
      <c r="V2185" s="340"/>
      <c r="W2185" s="340"/>
      <c r="X2185" s="340"/>
      <c r="Y2185" s="340"/>
      <c r="Z2185" s="340"/>
      <c r="AA2185" s="340"/>
      <c r="AB2185" s="340"/>
      <c r="AC2185" s="340"/>
      <c r="AD2185" s="340"/>
      <c r="AE2185" s="340"/>
      <c r="AF2185" s="340"/>
      <c r="AG2185" s="340"/>
      <c r="AH2185" s="341"/>
      <c r="AI2185" s="6"/>
    </row>
    <row r="2186" spans="1:35" x14ac:dyDescent="0.25">
      <c r="A2186" s="3"/>
      <c r="B2186" s="5" t="s">
        <v>11</v>
      </c>
      <c r="C2186" s="56">
        <v>0</v>
      </c>
      <c r="D2186" s="57">
        <v>0</v>
      </c>
      <c r="E2186" s="57">
        <v>0</v>
      </c>
      <c r="F2186" s="57">
        <v>0</v>
      </c>
      <c r="G2186" s="57">
        <v>0</v>
      </c>
      <c r="H2186" s="57">
        <v>0</v>
      </c>
      <c r="I2186" s="57">
        <v>0</v>
      </c>
      <c r="J2186" s="57">
        <v>0</v>
      </c>
      <c r="K2186" s="57">
        <v>0</v>
      </c>
      <c r="L2186" s="57">
        <v>0</v>
      </c>
      <c r="M2186" s="57">
        <v>0</v>
      </c>
      <c r="N2186" s="57">
        <v>0</v>
      </c>
      <c r="O2186" s="57">
        <v>0</v>
      </c>
      <c r="P2186" s="57">
        <v>0</v>
      </c>
      <c r="Q2186" s="57">
        <v>0</v>
      </c>
      <c r="R2186" s="57">
        <v>0</v>
      </c>
      <c r="S2186" s="57">
        <v>0</v>
      </c>
      <c r="T2186" s="57">
        <v>0</v>
      </c>
      <c r="U2186" s="57">
        <v>0</v>
      </c>
      <c r="V2186" s="57">
        <v>0</v>
      </c>
      <c r="W2186" s="57">
        <v>0</v>
      </c>
      <c r="X2186" s="57">
        <v>0</v>
      </c>
      <c r="Y2186" s="57">
        <v>0</v>
      </c>
      <c r="Z2186" s="57">
        <v>0</v>
      </c>
      <c r="AA2186" s="57">
        <v>0</v>
      </c>
      <c r="AB2186" s="57">
        <v>0</v>
      </c>
      <c r="AC2186" s="57">
        <v>0</v>
      </c>
      <c r="AD2186" s="57">
        <v>0</v>
      </c>
      <c r="AE2186" s="57">
        <v>0</v>
      </c>
      <c r="AF2186" s="57">
        <v>0</v>
      </c>
      <c r="AG2186" s="57">
        <v>0</v>
      </c>
      <c r="AH2186" s="58">
        <v>0</v>
      </c>
      <c r="AI2186" s="6"/>
    </row>
    <row r="2187" spans="1:35" ht="15.75" thickBot="1" x14ac:dyDescent="0.3">
      <c r="A2187" s="3"/>
      <c r="B2187" s="5" t="s">
        <v>12</v>
      </c>
      <c r="C2187" s="145">
        <v>0</v>
      </c>
      <c r="D2187" s="88">
        <v>0</v>
      </c>
      <c r="E2187" s="88">
        <v>0</v>
      </c>
      <c r="F2187" s="88">
        <v>0</v>
      </c>
      <c r="G2187" s="88">
        <v>0</v>
      </c>
      <c r="H2187" s="88">
        <v>0</v>
      </c>
      <c r="I2187" s="88">
        <v>0</v>
      </c>
      <c r="J2187" s="88">
        <v>0</v>
      </c>
      <c r="K2187" s="62">
        <v>0</v>
      </c>
      <c r="L2187" s="62">
        <v>0</v>
      </c>
      <c r="M2187" s="62">
        <v>0</v>
      </c>
      <c r="N2187" s="62">
        <v>0</v>
      </c>
      <c r="O2187" s="62">
        <v>0</v>
      </c>
      <c r="P2187" s="62">
        <v>0</v>
      </c>
      <c r="Q2187" s="62">
        <v>0</v>
      </c>
      <c r="R2187" s="62">
        <v>0</v>
      </c>
      <c r="S2187" s="62">
        <v>0</v>
      </c>
      <c r="T2187" s="62">
        <v>0</v>
      </c>
      <c r="U2187" s="62">
        <v>0</v>
      </c>
      <c r="V2187" s="62">
        <v>0</v>
      </c>
      <c r="W2187" s="62">
        <v>0</v>
      </c>
      <c r="X2187" s="62">
        <v>0</v>
      </c>
      <c r="Y2187" s="62">
        <v>0</v>
      </c>
      <c r="Z2187" s="62">
        <v>0</v>
      </c>
      <c r="AA2187" s="62">
        <v>0</v>
      </c>
      <c r="AB2187" s="62">
        <v>0</v>
      </c>
      <c r="AC2187" s="62">
        <v>0</v>
      </c>
      <c r="AD2187" s="62">
        <v>0</v>
      </c>
      <c r="AE2187" s="62">
        <v>0</v>
      </c>
      <c r="AF2187" s="62">
        <v>0</v>
      </c>
      <c r="AG2187" s="62">
        <v>0</v>
      </c>
      <c r="AH2187" s="146">
        <v>0</v>
      </c>
      <c r="AI2187" s="6"/>
    </row>
    <row r="2188" spans="1:35" x14ac:dyDescent="0.25">
      <c r="A2188" s="3"/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  <c r="AE2188" s="5"/>
      <c r="AF2188" s="5"/>
      <c r="AG2188" s="5"/>
      <c r="AH2188" s="5"/>
      <c r="AI2188" s="6"/>
    </row>
    <row r="2189" spans="1:35" ht="15.75" thickBot="1" x14ac:dyDescent="0.3">
      <c r="A2189" s="3"/>
      <c r="B2189" s="5"/>
      <c r="C2189" s="7">
        <v>32</v>
      </c>
      <c r="D2189" s="7">
        <v>33</v>
      </c>
      <c r="E2189" s="7">
        <v>34</v>
      </c>
      <c r="F2189" s="7">
        <v>35</v>
      </c>
      <c r="G2189" s="7">
        <v>36</v>
      </c>
      <c r="H2189" s="7">
        <v>37</v>
      </c>
      <c r="I2189" s="7">
        <v>38</v>
      </c>
      <c r="J2189" s="7">
        <v>39</v>
      </c>
      <c r="K2189" s="7">
        <v>40</v>
      </c>
      <c r="L2189" s="7">
        <v>41</v>
      </c>
      <c r="M2189" s="7">
        <v>42</v>
      </c>
      <c r="N2189" s="7">
        <v>43</v>
      </c>
      <c r="O2189" s="7">
        <v>44</v>
      </c>
      <c r="P2189" s="7">
        <v>45</v>
      </c>
      <c r="Q2189" s="7">
        <v>46</v>
      </c>
      <c r="R2189" s="7">
        <v>47</v>
      </c>
      <c r="S2189" s="7">
        <v>48</v>
      </c>
      <c r="T2189" s="7">
        <v>49</v>
      </c>
      <c r="U2189" s="7">
        <v>50</v>
      </c>
      <c r="V2189" s="7">
        <v>51</v>
      </c>
      <c r="W2189" s="7">
        <v>52</v>
      </c>
      <c r="X2189" s="7">
        <v>53</v>
      </c>
      <c r="Y2189" s="7">
        <v>54</v>
      </c>
      <c r="Z2189" s="7">
        <v>55</v>
      </c>
      <c r="AA2189" s="7">
        <v>56</v>
      </c>
      <c r="AB2189" s="7">
        <v>57</v>
      </c>
      <c r="AC2189" s="7">
        <v>58</v>
      </c>
      <c r="AD2189" s="7">
        <v>59</v>
      </c>
      <c r="AE2189" s="7">
        <v>60</v>
      </c>
      <c r="AF2189" s="7">
        <v>61</v>
      </c>
      <c r="AG2189" s="7">
        <v>62</v>
      </c>
      <c r="AH2189" s="7">
        <v>63</v>
      </c>
      <c r="AI2189" s="6"/>
    </row>
    <row r="2190" spans="1:35" ht="15.75" thickBot="1" x14ac:dyDescent="0.3">
      <c r="A2190" s="3"/>
      <c r="B2190" s="5"/>
      <c r="C2190" s="147" t="s">
        <v>13</v>
      </c>
      <c r="D2190" s="148" t="s">
        <v>14</v>
      </c>
      <c r="E2190" s="148" t="s">
        <v>15</v>
      </c>
      <c r="F2190" s="148" t="s">
        <v>16</v>
      </c>
      <c r="G2190" s="148" t="s">
        <v>17</v>
      </c>
      <c r="H2190" s="148" t="s">
        <v>18</v>
      </c>
      <c r="I2190" s="148" t="s">
        <v>19</v>
      </c>
      <c r="J2190" s="148" t="s">
        <v>20</v>
      </c>
      <c r="K2190" s="148" t="s">
        <v>21</v>
      </c>
      <c r="L2190" s="148" t="s">
        <v>22</v>
      </c>
      <c r="M2190" s="148" t="s">
        <v>23</v>
      </c>
      <c r="N2190" s="148" t="s">
        <v>24</v>
      </c>
      <c r="O2190" s="148" t="s">
        <v>25</v>
      </c>
      <c r="P2190" s="148" t="s">
        <v>26</v>
      </c>
      <c r="Q2190" s="148" t="s">
        <v>27</v>
      </c>
      <c r="R2190" s="342" t="s">
        <v>30</v>
      </c>
      <c r="S2190" s="343"/>
      <c r="T2190" s="343"/>
      <c r="U2190" s="343"/>
      <c r="V2190" s="343"/>
      <c r="W2190" s="343"/>
      <c r="X2190" s="343"/>
      <c r="Y2190" s="343"/>
      <c r="Z2190" s="343"/>
      <c r="AA2190" s="343"/>
      <c r="AB2190" s="343"/>
      <c r="AC2190" s="343"/>
      <c r="AD2190" s="343"/>
      <c r="AE2190" s="343"/>
      <c r="AF2190" s="344"/>
      <c r="AG2190" s="67" t="s">
        <v>28</v>
      </c>
      <c r="AH2190" s="149" t="s">
        <v>29</v>
      </c>
      <c r="AI2190" s="6"/>
    </row>
    <row r="2191" spans="1:35" ht="15.75" thickBot="1" x14ac:dyDescent="0.3">
      <c r="A2191" s="3"/>
      <c r="B2191" s="5"/>
      <c r="C2191" s="150">
        <v>0</v>
      </c>
      <c r="D2191" s="151">
        <v>0</v>
      </c>
      <c r="E2191" s="151">
        <v>0</v>
      </c>
      <c r="F2191" s="151">
        <v>0</v>
      </c>
      <c r="G2191" s="151">
        <v>0</v>
      </c>
      <c r="H2191" s="151">
        <v>0</v>
      </c>
      <c r="I2191" s="151">
        <v>0</v>
      </c>
      <c r="J2191" s="151">
        <v>0</v>
      </c>
      <c r="K2191" s="151">
        <v>0</v>
      </c>
      <c r="L2191" s="151">
        <v>0</v>
      </c>
      <c r="M2191" s="151">
        <v>0</v>
      </c>
      <c r="N2191" s="151">
        <v>0</v>
      </c>
      <c r="O2191" s="151">
        <v>1</v>
      </c>
      <c r="P2191" s="151">
        <v>0</v>
      </c>
      <c r="Q2191" s="151">
        <v>0</v>
      </c>
      <c r="R2191" s="151">
        <v>0</v>
      </c>
      <c r="S2191" s="151">
        <v>0</v>
      </c>
      <c r="T2191" s="151">
        <v>0</v>
      </c>
      <c r="U2191" s="151">
        <v>0</v>
      </c>
      <c r="V2191" s="151">
        <v>0</v>
      </c>
      <c r="W2191" s="151">
        <v>0</v>
      </c>
      <c r="X2191" s="151">
        <v>1</v>
      </c>
      <c r="Y2191" s="151">
        <v>1</v>
      </c>
      <c r="Z2191" s="151">
        <v>1</v>
      </c>
      <c r="AA2191" s="151">
        <v>0</v>
      </c>
      <c r="AB2191" s="151">
        <v>0</v>
      </c>
      <c r="AC2191" s="151">
        <v>0</v>
      </c>
      <c r="AD2191" s="151">
        <v>1</v>
      </c>
      <c r="AE2191" s="151">
        <v>1</v>
      </c>
      <c r="AF2191" s="151">
        <v>0</v>
      </c>
      <c r="AG2191" s="151">
        <v>0</v>
      </c>
      <c r="AH2191" s="152">
        <v>0</v>
      </c>
      <c r="AI2191" s="6"/>
    </row>
    <row r="2192" spans="1:35" x14ac:dyDescent="0.25">
      <c r="A2192" s="3"/>
      <c r="B2192" s="4"/>
      <c r="C2192" s="5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  <c r="AE2192" s="5"/>
      <c r="AF2192" s="5"/>
      <c r="AG2192" s="5"/>
      <c r="AH2192" s="5"/>
      <c r="AI2192" s="6"/>
    </row>
    <row r="2193" spans="1:35" x14ac:dyDescent="0.25">
      <c r="A2193" s="3"/>
      <c r="B2193" s="8" t="s">
        <v>43</v>
      </c>
      <c r="C2193" s="9"/>
      <c r="D2193" s="9"/>
      <c r="E2193" s="9"/>
      <c r="F2193" s="225" t="s">
        <v>44</v>
      </c>
      <c r="G2193" s="225"/>
      <c r="H2193" s="225"/>
      <c r="I2193" s="9"/>
      <c r="J2193" s="226" t="s">
        <v>45</v>
      </c>
      <c r="K2193" s="226"/>
      <c r="L2193" s="226"/>
      <c r="M2193" s="226"/>
      <c r="N2193" s="9"/>
      <c r="O2193" s="227" t="s">
        <v>46</v>
      </c>
      <c r="P2193" s="227"/>
      <c r="Q2193" s="227"/>
      <c r="R2193" s="227"/>
      <c r="S2193" s="9"/>
      <c r="T2193" s="1" t="s">
        <v>49</v>
      </c>
      <c r="U2193" s="10" t="s">
        <v>48</v>
      </c>
      <c r="V2193" s="5"/>
      <c r="W2193" s="9"/>
      <c r="X2193" s="9"/>
      <c r="Y2193" s="9"/>
      <c r="Z2193" s="9"/>
      <c r="AA2193" s="9"/>
      <c r="AB2193" s="9"/>
      <c r="AC2193" s="9"/>
      <c r="AD2193" s="9"/>
      <c r="AE2193" s="9"/>
      <c r="AF2193" s="9"/>
      <c r="AG2193" s="9"/>
      <c r="AH2193" s="9"/>
      <c r="AI2193" s="6"/>
    </row>
    <row r="2194" spans="1:35" x14ac:dyDescent="0.25">
      <c r="A2194" s="3"/>
      <c r="B2194" s="221" t="str">
        <f>"0x"&amp;DEC2HEX(Sheet3!$I$4,8)</f>
        <v>0x00400320</v>
      </c>
      <c r="C2194" s="221"/>
      <c r="D2194" s="221"/>
      <c r="E2194" s="12"/>
      <c r="F2194" s="319" t="str">
        <f>"0x"&amp;BIN2HEX(CONCATENATE(C2187,D2187,E2187,F2187,G2187,H2187,I2187,J2187),2)&amp;BIN2HEX(CONCATENATE(K2187,L2187,M2187,N2187,O2187,P2187,Q2187,R2187),2)&amp;BIN2HEX(CONCATENATE(S2187,T2187,U2187,V2187,W2187,X2187,Y2187,Z2187),2)&amp;BIN2HEX(CONCATENATE(AA2187,AB2187,AC2187,AD2187,AE2187,AF2187,AG2187,AH2187),2)</f>
        <v>0x00000000</v>
      </c>
      <c r="G2194" s="319"/>
      <c r="H2194" s="319"/>
      <c r="I2194" s="12"/>
      <c r="J2194" s="319" t="str">
        <f>"0b"&amp;C2191&amp;D2191&amp;E2191&amp;F2191&amp;G2191&amp;H2191&amp;I2191&amp;J2191&amp;K2191&amp;L2191&amp;M2191&amp;N2191&amp;O2191&amp;P2191&amp;Q2191</f>
        <v>0b000000000000100</v>
      </c>
      <c r="K2194" s="319"/>
      <c r="L2194" s="319"/>
      <c r="M2194" s="319"/>
      <c r="N2194" s="12"/>
      <c r="O2194" s="319" t="str">
        <f>"0b"&amp;DEC2BIN(((AF2191+AE2191*2+AD2191*4+AC2191*8+AB2191*16+AA2191*32+Z2191*64+Y2191*128+X2191*256+W2191*512+V2191*1024+U2191*2048+T2191*4096+S2191*2^13+R2191*2^14)/512),6)&amp;DEC2BIN(MOD((AF2191+AE2191*2+AD2191*4+AC2191*8+AB2191*16+AA2191*32+Z2191*64+Y2191*128+X2191*256+W2191*512+V2191*1024+U2191*2048+T2191*4096+S2191*2^13+R2191*2^14),512),9)</f>
        <v>0b000000111000110</v>
      </c>
      <c r="P2194" s="319"/>
      <c r="Q2194" s="319"/>
      <c r="R2194" s="319"/>
      <c r="S2194" s="12"/>
      <c r="T2194" s="224">
        <v>0</v>
      </c>
      <c r="U2194" s="224">
        <f>AH2191</f>
        <v>0</v>
      </c>
      <c r="V2194" s="5"/>
      <c r="W2194" s="14"/>
      <c r="X2194" s="14"/>
      <c r="Y2194" s="14"/>
      <c r="Z2194" s="14"/>
      <c r="AA2194" s="14"/>
      <c r="AB2194" s="14"/>
      <c r="AC2194" s="14"/>
      <c r="AD2194" s="14"/>
      <c r="AE2194" s="14"/>
      <c r="AF2194" s="14"/>
      <c r="AG2194" s="14"/>
      <c r="AH2194" s="14"/>
      <c r="AI2194" s="6"/>
    </row>
    <row r="2195" spans="1:35" x14ac:dyDescent="0.25">
      <c r="A2195" s="3"/>
      <c r="B2195" s="221"/>
      <c r="C2195" s="221"/>
      <c r="D2195" s="221"/>
      <c r="E2195" s="15"/>
      <c r="F2195" s="222"/>
      <c r="G2195" s="222"/>
      <c r="H2195" s="222"/>
      <c r="I2195" s="15"/>
      <c r="J2195" s="221"/>
      <c r="K2195" s="221"/>
      <c r="L2195" s="221"/>
      <c r="M2195" s="221"/>
      <c r="N2195" s="15"/>
      <c r="O2195" s="221"/>
      <c r="P2195" s="221"/>
      <c r="Q2195" s="221"/>
      <c r="R2195" s="221"/>
      <c r="S2195" s="15"/>
      <c r="T2195" s="224"/>
      <c r="U2195" s="15"/>
      <c r="V2195" s="5"/>
      <c r="W2195" s="16"/>
      <c r="X2195" s="16"/>
      <c r="Y2195" s="16"/>
      <c r="Z2195" s="16"/>
      <c r="AA2195" s="16"/>
      <c r="AB2195" s="16"/>
      <c r="AC2195" s="16"/>
      <c r="AD2195" s="16"/>
      <c r="AE2195" s="16"/>
      <c r="AF2195" s="16"/>
      <c r="AG2195" s="16"/>
      <c r="AH2195" s="16"/>
      <c r="AI2195" s="6"/>
    </row>
    <row r="2196" spans="1:35" x14ac:dyDescent="0.25">
      <c r="A2196" s="3"/>
      <c r="B2196" s="221"/>
      <c r="C2196" s="221"/>
      <c r="D2196" s="221"/>
      <c r="E2196" s="15"/>
      <c r="F2196" s="222"/>
      <c r="G2196" s="222"/>
      <c r="H2196" s="222"/>
      <c r="I2196" s="15"/>
      <c r="J2196" s="221"/>
      <c r="K2196" s="221"/>
      <c r="L2196" s="221"/>
      <c r="M2196" s="221"/>
      <c r="N2196" s="15"/>
      <c r="O2196" s="221"/>
      <c r="P2196" s="221"/>
      <c r="Q2196" s="221"/>
      <c r="R2196" s="221"/>
      <c r="S2196" s="15"/>
      <c r="T2196" s="224"/>
      <c r="U2196" s="15"/>
      <c r="V2196" s="5"/>
      <c r="W2196" s="16"/>
      <c r="X2196" s="16"/>
      <c r="Y2196" s="16"/>
      <c r="Z2196" s="16"/>
      <c r="AA2196" s="16"/>
      <c r="AB2196" s="16"/>
      <c r="AC2196" s="16"/>
      <c r="AD2196" s="16"/>
      <c r="AE2196" s="16"/>
      <c r="AF2196" s="16"/>
      <c r="AG2196" s="16"/>
      <c r="AH2196" s="16"/>
      <c r="AI2196" s="6"/>
    </row>
    <row r="2197" spans="1:35" x14ac:dyDescent="0.25">
      <c r="A2197" s="3"/>
      <c r="B2197" s="5"/>
      <c r="C2197" s="5"/>
      <c r="D2197" s="5"/>
      <c r="E2197" s="5"/>
      <c r="F2197" s="17"/>
      <c r="G2197" s="17"/>
      <c r="H2197" s="17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  <c r="AE2197" s="5"/>
      <c r="AF2197" s="5"/>
      <c r="AG2197" s="5"/>
      <c r="AH2197" s="5"/>
      <c r="AI2197" s="6"/>
    </row>
    <row r="2198" spans="1:35" x14ac:dyDescent="0.25">
      <c r="A2198" s="3"/>
      <c r="B2198" s="5" t="s">
        <v>47</v>
      </c>
      <c r="C2198" s="18"/>
      <c r="D2198" s="18"/>
      <c r="E2198" s="18"/>
      <c r="F2198" s="5"/>
      <c r="G2198" s="5"/>
      <c r="H2198" s="5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  <c r="AB2198" s="18"/>
      <c r="AC2198" s="18"/>
      <c r="AD2198" s="18"/>
      <c r="AE2198" s="18"/>
      <c r="AF2198" s="18"/>
      <c r="AG2198" s="18"/>
      <c r="AH2198" s="18"/>
      <c r="AI2198" s="6"/>
    </row>
    <row r="2199" spans="1:35" x14ac:dyDescent="0.25">
      <c r="A2199" s="3"/>
      <c r="B2199" s="221" t="str">
        <f>"0x"&amp;DEC2HEX(Sheet3!$I$4,8)</f>
        <v>0x00400320</v>
      </c>
      <c r="C2199" s="221"/>
      <c r="D2199" s="221"/>
      <c r="E2199" s="16"/>
      <c r="F2199" s="322" t="str">
        <f>F2194&amp;BIN2HEX(MID(J2194,3,8),2)&amp;BIN2HEX(RIGHT(J2194,7)&amp;MID(O2194,3,1),2)&amp;BIN2HEX(MID(O2194,4,8),2)&amp;BIN2HEX(RIGHT(O2194,6)&amp;T2194&amp;U2194,2)</f>
        <v>0x0000000000080718</v>
      </c>
      <c r="G2199" s="322"/>
      <c r="H2199" s="322"/>
      <c r="I2199" s="322"/>
      <c r="J2199" s="5"/>
      <c r="K2199" s="5"/>
      <c r="L2199" s="5"/>
      <c r="M2199" s="5"/>
      <c r="N2199" s="5"/>
      <c r="O2199" s="5"/>
      <c r="P2199" s="16"/>
      <c r="Q2199" s="16"/>
      <c r="R2199" s="19"/>
      <c r="S2199" s="19"/>
      <c r="T2199" s="19"/>
      <c r="U2199" s="19"/>
      <c r="V2199" s="19"/>
      <c r="W2199" s="19"/>
      <c r="X2199" s="19"/>
      <c r="Y2199" s="19"/>
      <c r="Z2199" s="19"/>
      <c r="AA2199" s="19"/>
      <c r="AB2199" s="19"/>
      <c r="AC2199" s="19"/>
      <c r="AD2199" s="19"/>
      <c r="AE2199" s="19"/>
      <c r="AF2199" s="19"/>
      <c r="AG2199" s="5"/>
      <c r="AH2199" s="5"/>
      <c r="AI2199" s="6"/>
    </row>
    <row r="2200" spans="1:35" x14ac:dyDescent="0.25">
      <c r="A2200" s="3"/>
      <c r="B2200" s="221"/>
      <c r="C2200" s="221"/>
      <c r="D2200" s="221"/>
      <c r="E2200" s="5"/>
      <c r="F2200" s="223"/>
      <c r="G2200" s="223"/>
      <c r="H2200" s="223"/>
      <c r="I2200" s="223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  <c r="AE2200" s="5"/>
      <c r="AF2200" s="5"/>
      <c r="AG2200" s="5"/>
      <c r="AH2200" s="5"/>
      <c r="AI2200" s="6"/>
    </row>
    <row r="2201" spans="1:35" x14ac:dyDescent="0.25">
      <c r="A2201" s="3"/>
      <c r="B2201" s="221"/>
      <c r="C2201" s="221"/>
      <c r="D2201" s="221"/>
      <c r="E2201" s="5"/>
      <c r="F2201" s="223"/>
      <c r="G2201" s="223"/>
      <c r="H2201" s="223"/>
      <c r="I2201" s="223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  <c r="AG2201" s="5"/>
      <c r="AH2201" s="5"/>
      <c r="AI2201" s="6"/>
    </row>
    <row r="2202" spans="1:35" x14ac:dyDescent="0.25">
      <c r="A2202" s="20"/>
      <c r="B2202" s="21"/>
      <c r="C2202" s="21"/>
      <c r="D2202" s="21"/>
      <c r="E2202" s="21"/>
      <c r="F2202" s="21"/>
      <c r="G2202" s="21"/>
      <c r="H2202" s="21"/>
      <c r="I2202" s="21"/>
      <c r="J2202" s="21"/>
      <c r="K2202" s="21"/>
      <c r="L2202" s="21"/>
      <c r="M2202" s="21"/>
      <c r="N2202" s="21"/>
      <c r="O2202" s="22"/>
      <c r="P2202" s="21"/>
      <c r="Q2202" s="21"/>
      <c r="R2202" s="21"/>
      <c r="S2202" s="21"/>
      <c r="T2202" s="21"/>
      <c r="U2202" s="21"/>
      <c r="V2202" s="21"/>
      <c r="W2202" s="21"/>
      <c r="X2202" s="21"/>
      <c r="Y2202" s="21"/>
      <c r="Z2202" s="21"/>
      <c r="AA2202" s="21"/>
      <c r="AB2202" s="21"/>
      <c r="AC2202" s="21"/>
      <c r="AD2202" s="21"/>
      <c r="AE2202" s="21"/>
      <c r="AF2202" s="21"/>
      <c r="AG2202" s="21"/>
      <c r="AH2202" s="21"/>
      <c r="AI2202" s="23"/>
    </row>
    <row r="2203" spans="1:35" x14ac:dyDescent="0.25">
      <c r="A2203" s="24"/>
      <c r="B2203" s="28"/>
      <c r="C2203" s="25"/>
      <c r="D2203" s="25"/>
      <c r="E2203" s="25"/>
      <c r="F2203" s="25"/>
      <c r="G2203" s="25"/>
      <c r="H2203" s="25"/>
      <c r="I2203" s="25"/>
      <c r="J2203" s="25"/>
      <c r="K2203" s="25"/>
      <c r="L2203" s="25"/>
      <c r="M2203" s="25"/>
      <c r="N2203" s="25"/>
      <c r="O2203" s="25"/>
      <c r="P2203" s="25"/>
      <c r="Q2203" s="25"/>
      <c r="R2203" s="25"/>
      <c r="S2203" s="25"/>
      <c r="T2203" s="25"/>
      <c r="U2203" s="25"/>
      <c r="V2203" s="25"/>
      <c r="W2203" s="25"/>
      <c r="X2203" s="25"/>
      <c r="Y2203" s="25"/>
      <c r="Z2203" s="25"/>
      <c r="AA2203" s="25"/>
      <c r="AB2203" s="25"/>
      <c r="AC2203" s="25"/>
      <c r="AD2203" s="25"/>
      <c r="AE2203" s="25"/>
      <c r="AF2203" s="25"/>
      <c r="AG2203" s="25"/>
      <c r="AH2203" s="25"/>
      <c r="AI2203" s="26"/>
    </row>
    <row r="2204" spans="1:35" x14ac:dyDescent="0.25">
      <c r="A2204" s="3"/>
      <c r="B2204" s="4" t="s">
        <v>366</v>
      </c>
      <c r="C2204" s="5"/>
      <c r="D2204" s="5"/>
      <c r="E2204" s="5"/>
      <c r="F2204" s="5"/>
      <c r="G2204" s="5"/>
      <c r="H2204" s="5"/>
      <c r="I2204" s="5" t="str">
        <f>"0x"&amp;BIN2HEX(CONCATENATE(C2209,D2209,E2209,F2209,G2209,H2209,I2209,J2209),2)&amp;BIN2HEX(CONCATENATE(K2209,L2209,M2209,N2209,O2209,P2209,Q2209,R2209),2)&amp;BIN2HEX(CONCATENATE(S2209,T2209,U2209,V2209,W2209,X2209,Y2209,Z2209),2)&amp;BIN2HEX(CONCATENATE(AA2209,AB2209,AC2209,AD2209,AE2209,AF2209,AG2209,AH2209),2)&amp;"_"&amp;BIN2HEX(CONCATENATE(C2213,D2213,E2213,F2213,G2213,H2213,I2213,J2213),2)&amp;BIN2HEX(CONCATENATE(K2213,L2213,M2213,N2213,O2213,P2213,Q2213,R2213),2)&amp;BIN2HEX(CONCATENATE(S2213,T2213,U2213,V2213,W2213,X2213,Y2213,Z2213),2)&amp;BIN2HEX(CONCATENATE(AA2213,AB2213,AC2213,AD2213,AE2213,AF2213,AG2213,AH2213),2)</f>
        <v>0x00000000_0008071C</v>
      </c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  <c r="AE2204" s="5"/>
      <c r="AF2204" s="5"/>
      <c r="AG2204" s="5"/>
      <c r="AH2204" s="5"/>
      <c r="AI2204" s="6"/>
    </row>
    <row r="2205" spans="1:35" ht="15.75" thickBot="1" x14ac:dyDescent="0.3">
      <c r="A2205" s="3"/>
      <c r="B2205" s="5"/>
      <c r="C2205" s="7">
        <v>0</v>
      </c>
      <c r="D2205" s="7">
        <v>1</v>
      </c>
      <c r="E2205" s="7">
        <v>2</v>
      </c>
      <c r="F2205" s="7">
        <v>3</v>
      </c>
      <c r="G2205" s="7">
        <v>4</v>
      </c>
      <c r="H2205" s="7">
        <v>5</v>
      </c>
      <c r="I2205" s="7">
        <v>6</v>
      </c>
      <c r="J2205" s="7">
        <v>7</v>
      </c>
      <c r="K2205" s="7">
        <v>8</v>
      </c>
      <c r="L2205" s="7">
        <v>9</v>
      </c>
      <c r="M2205" s="7">
        <v>10</v>
      </c>
      <c r="N2205" s="7">
        <v>11</v>
      </c>
      <c r="O2205" s="7">
        <v>12</v>
      </c>
      <c r="P2205" s="7">
        <v>13</v>
      </c>
      <c r="Q2205" s="7">
        <v>14</v>
      </c>
      <c r="R2205" s="7">
        <v>15</v>
      </c>
      <c r="S2205" s="7">
        <v>16</v>
      </c>
      <c r="T2205" s="7">
        <v>17</v>
      </c>
      <c r="U2205" s="7">
        <v>18</v>
      </c>
      <c r="V2205" s="7">
        <v>19</v>
      </c>
      <c r="W2205" s="7">
        <v>20</v>
      </c>
      <c r="X2205" s="7">
        <v>21</v>
      </c>
      <c r="Y2205" s="7">
        <v>22</v>
      </c>
      <c r="Z2205" s="7">
        <v>23</v>
      </c>
      <c r="AA2205" s="7">
        <v>24</v>
      </c>
      <c r="AB2205" s="7">
        <v>25</v>
      </c>
      <c r="AC2205" s="7">
        <v>26</v>
      </c>
      <c r="AD2205" s="7">
        <v>27</v>
      </c>
      <c r="AE2205" s="7">
        <v>28</v>
      </c>
      <c r="AF2205" s="7">
        <v>29</v>
      </c>
      <c r="AG2205" s="7">
        <v>30</v>
      </c>
      <c r="AH2205" s="7">
        <v>31</v>
      </c>
      <c r="AI2205" s="6"/>
    </row>
    <row r="2206" spans="1:35" x14ac:dyDescent="0.25">
      <c r="A2206" s="3"/>
      <c r="B2206" s="5" t="s">
        <v>31</v>
      </c>
      <c r="C2206" s="328" t="s">
        <v>161</v>
      </c>
      <c r="D2206" s="330" t="s">
        <v>63</v>
      </c>
      <c r="E2206" s="331"/>
      <c r="F2206" s="331"/>
      <c r="G2206" s="331"/>
      <c r="H2206" s="331"/>
      <c r="I2206" s="331"/>
      <c r="J2206" s="332"/>
      <c r="K2206" s="336">
        <v>0</v>
      </c>
      <c r="L2206" s="337"/>
      <c r="M2206" s="337"/>
      <c r="N2206" s="337"/>
      <c r="O2206" s="337"/>
      <c r="P2206" s="337"/>
      <c r="Q2206" s="337"/>
      <c r="R2206" s="337"/>
      <c r="S2206" s="337"/>
      <c r="T2206" s="337"/>
      <c r="U2206" s="337"/>
      <c r="V2206" s="337"/>
      <c r="W2206" s="337"/>
      <c r="X2206" s="337"/>
      <c r="Y2206" s="337"/>
      <c r="Z2206" s="337"/>
      <c r="AA2206" s="337"/>
      <c r="AB2206" s="337"/>
      <c r="AC2206" s="337"/>
      <c r="AD2206" s="337"/>
      <c r="AE2206" s="337"/>
      <c r="AF2206" s="337"/>
      <c r="AG2206" s="337"/>
      <c r="AH2206" s="338"/>
      <c r="AI2206" s="6"/>
    </row>
    <row r="2207" spans="1:35" x14ac:dyDescent="0.25">
      <c r="A2207" s="3"/>
      <c r="B2207" s="5" t="s">
        <v>32</v>
      </c>
      <c r="C2207" s="329"/>
      <c r="D2207" s="333"/>
      <c r="E2207" s="334"/>
      <c r="F2207" s="334"/>
      <c r="G2207" s="334"/>
      <c r="H2207" s="334"/>
      <c r="I2207" s="334"/>
      <c r="J2207" s="335"/>
      <c r="K2207" s="339"/>
      <c r="L2207" s="340"/>
      <c r="M2207" s="340"/>
      <c r="N2207" s="340"/>
      <c r="O2207" s="340"/>
      <c r="P2207" s="340"/>
      <c r="Q2207" s="340"/>
      <c r="R2207" s="340"/>
      <c r="S2207" s="340"/>
      <c r="T2207" s="340"/>
      <c r="U2207" s="340"/>
      <c r="V2207" s="340"/>
      <c r="W2207" s="340"/>
      <c r="X2207" s="340"/>
      <c r="Y2207" s="340"/>
      <c r="Z2207" s="340"/>
      <c r="AA2207" s="340"/>
      <c r="AB2207" s="340"/>
      <c r="AC2207" s="340"/>
      <c r="AD2207" s="340"/>
      <c r="AE2207" s="340"/>
      <c r="AF2207" s="340"/>
      <c r="AG2207" s="340"/>
      <c r="AH2207" s="341"/>
      <c r="AI2207" s="6"/>
    </row>
    <row r="2208" spans="1:35" x14ac:dyDescent="0.25">
      <c r="A2208" s="3"/>
      <c r="B2208" s="5" t="s">
        <v>11</v>
      </c>
      <c r="C2208" s="56">
        <v>0</v>
      </c>
      <c r="D2208" s="57">
        <v>0</v>
      </c>
      <c r="E2208" s="57">
        <v>0</v>
      </c>
      <c r="F2208" s="57">
        <v>0</v>
      </c>
      <c r="G2208" s="57">
        <v>0</v>
      </c>
      <c r="H2208" s="57">
        <v>0</v>
      </c>
      <c r="I2208" s="57">
        <v>0</v>
      </c>
      <c r="J2208" s="57">
        <v>0</v>
      </c>
      <c r="K2208" s="57">
        <v>0</v>
      </c>
      <c r="L2208" s="57">
        <v>0</v>
      </c>
      <c r="M2208" s="57">
        <v>0</v>
      </c>
      <c r="N2208" s="57">
        <v>0</v>
      </c>
      <c r="O2208" s="57">
        <v>0</v>
      </c>
      <c r="P2208" s="57">
        <v>0</v>
      </c>
      <c r="Q2208" s="57">
        <v>0</v>
      </c>
      <c r="R2208" s="57">
        <v>0</v>
      </c>
      <c r="S2208" s="57">
        <v>0</v>
      </c>
      <c r="T2208" s="57">
        <v>0</v>
      </c>
      <c r="U2208" s="57">
        <v>0</v>
      </c>
      <c r="V2208" s="57">
        <v>0</v>
      </c>
      <c r="W2208" s="57">
        <v>0</v>
      </c>
      <c r="X2208" s="57">
        <v>0</v>
      </c>
      <c r="Y2208" s="57">
        <v>0</v>
      </c>
      <c r="Z2208" s="57">
        <v>0</v>
      </c>
      <c r="AA2208" s="57">
        <v>0</v>
      </c>
      <c r="AB2208" s="57">
        <v>0</v>
      </c>
      <c r="AC2208" s="57">
        <v>0</v>
      </c>
      <c r="AD2208" s="57">
        <v>0</v>
      </c>
      <c r="AE2208" s="57">
        <v>0</v>
      </c>
      <c r="AF2208" s="57">
        <v>0</v>
      </c>
      <c r="AG2208" s="57">
        <v>0</v>
      </c>
      <c r="AH2208" s="58">
        <v>0</v>
      </c>
      <c r="AI2208" s="6"/>
    </row>
    <row r="2209" spans="1:35" ht="15.75" thickBot="1" x14ac:dyDescent="0.3">
      <c r="A2209" s="3"/>
      <c r="B2209" s="5" t="s">
        <v>12</v>
      </c>
      <c r="C2209" s="145">
        <v>0</v>
      </c>
      <c r="D2209" s="88">
        <v>0</v>
      </c>
      <c r="E2209" s="88">
        <v>0</v>
      </c>
      <c r="F2209" s="88">
        <v>0</v>
      </c>
      <c r="G2209" s="88">
        <v>0</v>
      </c>
      <c r="H2209" s="88">
        <v>0</v>
      </c>
      <c r="I2209" s="88">
        <v>0</v>
      </c>
      <c r="J2209" s="88">
        <v>0</v>
      </c>
      <c r="K2209" s="62">
        <v>0</v>
      </c>
      <c r="L2209" s="62">
        <v>0</v>
      </c>
      <c r="M2209" s="62">
        <v>0</v>
      </c>
      <c r="N2209" s="62">
        <v>0</v>
      </c>
      <c r="O2209" s="62">
        <v>0</v>
      </c>
      <c r="P2209" s="62">
        <v>0</v>
      </c>
      <c r="Q2209" s="62">
        <v>0</v>
      </c>
      <c r="R2209" s="62">
        <v>0</v>
      </c>
      <c r="S2209" s="62">
        <v>0</v>
      </c>
      <c r="T2209" s="62">
        <v>0</v>
      </c>
      <c r="U2209" s="62">
        <v>0</v>
      </c>
      <c r="V2209" s="62">
        <v>0</v>
      </c>
      <c r="W2209" s="62">
        <v>0</v>
      </c>
      <c r="X2209" s="62">
        <v>0</v>
      </c>
      <c r="Y2209" s="62">
        <v>0</v>
      </c>
      <c r="Z2209" s="62">
        <v>0</v>
      </c>
      <c r="AA2209" s="62">
        <v>0</v>
      </c>
      <c r="AB2209" s="62">
        <v>0</v>
      </c>
      <c r="AC2209" s="62">
        <v>0</v>
      </c>
      <c r="AD2209" s="62">
        <v>0</v>
      </c>
      <c r="AE2209" s="62">
        <v>0</v>
      </c>
      <c r="AF2209" s="62">
        <v>0</v>
      </c>
      <c r="AG2209" s="62">
        <v>0</v>
      </c>
      <c r="AH2209" s="146">
        <v>0</v>
      </c>
      <c r="AI2209" s="6"/>
    </row>
    <row r="2210" spans="1:35" x14ac:dyDescent="0.25">
      <c r="A2210" s="3"/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  <c r="AE2210" s="5"/>
      <c r="AF2210" s="5"/>
      <c r="AG2210" s="5"/>
      <c r="AH2210" s="5"/>
      <c r="AI2210" s="6"/>
    </row>
    <row r="2211" spans="1:35" ht="15.75" thickBot="1" x14ac:dyDescent="0.3">
      <c r="A2211" s="3"/>
      <c r="B2211" s="5"/>
      <c r="C2211" s="7">
        <v>32</v>
      </c>
      <c r="D2211" s="7">
        <v>33</v>
      </c>
      <c r="E2211" s="7">
        <v>34</v>
      </c>
      <c r="F2211" s="7">
        <v>35</v>
      </c>
      <c r="G2211" s="7">
        <v>36</v>
      </c>
      <c r="H2211" s="7">
        <v>37</v>
      </c>
      <c r="I2211" s="7">
        <v>38</v>
      </c>
      <c r="J2211" s="7">
        <v>39</v>
      </c>
      <c r="K2211" s="7">
        <v>40</v>
      </c>
      <c r="L2211" s="7">
        <v>41</v>
      </c>
      <c r="M2211" s="7">
        <v>42</v>
      </c>
      <c r="N2211" s="7">
        <v>43</v>
      </c>
      <c r="O2211" s="7">
        <v>44</v>
      </c>
      <c r="P2211" s="7">
        <v>45</v>
      </c>
      <c r="Q2211" s="7">
        <v>46</v>
      </c>
      <c r="R2211" s="7">
        <v>47</v>
      </c>
      <c r="S2211" s="7">
        <v>48</v>
      </c>
      <c r="T2211" s="7">
        <v>49</v>
      </c>
      <c r="U2211" s="7">
        <v>50</v>
      </c>
      <c r="V2211" s="7">
        <v>51</v>
      </c>
      <c r="W2211" s="7">
        <v>52</v>
      </c>
      <c r="X2211" s="7">
        <v>53</v>
      </c>
      <c r="Y2211" s="7">
        <v>54</v>
      </c>
      <c r="Z2211" s="7">
        <v>55</v>
      </c>
      <c r="AA2211" s="7">
        <v>56</v>
      </c>
      <c r="AB2211" s="7">
        <v>57</v>
      </c>
      <c r="AC2211" s="7">
        <v>58</v>
      </c>
      <c r="AD2211" s="7">
        <v>59</v>
      </c>
      <c r="AE2211" s="7">
        <v>60</v>
      </c>
      <c r="AF2211" s="7">
        <v>61</v>
      </c>
      <c r="AG2211" s="7">
        <v>62</v>
      </c>
      <c r="AH2211" s="7">
        <v>63</v>
      </c>
      <c r="AI2211" s="6"/>
    </row>
    <row r="2212" spans="1:35" ht="15.75" thickBot="1" x14ac:dyDescent="0.3">
      <c r="A2212" s="3"/>
      <c r="B2212" s="5"/>
      <c r="C2212" s="147" t="s">
        <v>13</v>
      </c>
      <c r="D2212" s="148" t="s">
        <v>14</v>
      </c>
      <c r="E2212" s="148" t="s">
        <v>15</v>
      </c>
      <c r="F2212" s="148" t="s">
        <v>16</v>
      </c>
      <c r="G2212" s="148" t="s">
        <v>17</v>
      </c>
      <c r="H2212" s="148" t="s">
        <v>18</v>
      </c>
      <c r="I2212" s="148" t="s">
        <v>19</v>
      </c>
      <c r="J2212" s="148" t="s">
        <v>20</v>
      </c>
      <c r="K2212" s="148" t="s">
        <v>21</v>
      </c>
      <c r="L2212" s="148" t="s">
        <v>22</v>
      </c>
      <c r="M2212" s="148" t="s">
        <v>23</v>
      </c>
      <c r="N2212" s="148" t="s">
        <v>24</v>
      </c>
      <c r="O2212" s="148" t="s">
        <v>25</v>
      </c>
      <c r="P2212" s="148" t="s">
        <v>26</v>
      </c>
      <c r="Q2212" s="148" t="s">
        <v>27</v>
      </c>
      <c r="R2212" s="342" t="s">
        <v>30</v>
      </c>
      <c r="S2212" s="343"/>
      <c r="T2212" s="343"/>
      <c r="U2212" s="343"/>
      <c r="V2212" s="343"/>
      <c r="W2212" s="343"/>
      <c r="X2212" s="343"/>
      <c r="Y2212" s="343"/>
      <c r="Z2212" s="343"/>
      <c r="AA2212" s="343"/>
      <c r="AB2212" s="343"/>
      <c r="AC2212" s="343"/>
      <c r="AD2212" s="343"/>
      <c r="AE2212" s="343"/>
      <c r="AF2212" s="344"/>
      <c r="AG2212" s="67" t="s">
        <v>28</v>
      </c>
      <c r="AH2212" s="149" t="s">
        <v>29</v>
      </c>
      <c r="AI2212" s="6"/>
    </row>
    <row r="2213" spans="1:35" ht="15.75" thickBot="1" x14ac:dyDescent="0.3">
      <c r="A2213" s="3"/>
      <c r="B2213" s="5"/>
      <c r="C2213" s="150">
        <v>0</v>
      </c>
      <c r="D2213" s="151">
        <v>0</v>
      </c>
      <c r="E2213" s="151">
        <v>0</v>
      </c>
      <c r="F2213" s="151">
        <v>0</v>
      </c>
      <c r="G2213" s="151">
        <v>0</v>
      </c>
      <c r="H2213" s="151">
        <v>0</v>
      </c>
      <c r="I2213" s="151">
        <v>0</v>
      </c>
      <c r="J2213" s="151">
        <v>0</v>
      </c>
      <c r="K2213" s="151">
        <v>0</v>
      </c>
      <c r="L2213" s="151">
        <v>0</v>
      </c>
      <c r="M2213" s="151">
        <v>0</v>
      </c>
      <c r="N2213" s="151">
        <v>0</v>
      </c>
      <c r="O2213" s="151">
        <v>1</v>
      </c>
      <c r="P2213" s="151">
        <v>0</v>
      </c>
      <c r="Q2213" s="151">
        <v>0</v>
      </c>
      <c r="R2213" s="151">
        <v>0</v>
      </c>
      <c r="S2213" s="151">
        <v>0</v>
      </c>
      <c r="T2213" s="151">
        <v>0</v>
      </c>
      <c r="U2213" s="151">
        <v>0</v>
      </c>
      <c r="V2213" s="151">
        <v>0</v>
      </c>
      <c r="W2213" s="151">
        <v>0</v>
      </c>
      <c r="X2213" s="151">
        <v>1</v>
      </c>
      <c r="Y2213" s="151">
        <v>1</v>
      </c>
      <c r="Z2213" s="151">
        <v>1</v>
      </c>
      <c r="AA2213" s="151">
        <v>0</v>
      </c>
      <c r="AB2213" s="151">
        <v>0</v>
      </c>
      <c r="AC2213" s="151">
        <v>0</v>
      </c>
      <c r="AD2213" s="151">
        <v>1</v>
      </c>
      <c r="AE2213" s="151">
        <v>1</v>
      </c>
      <c r="AF2213" s="151">
        <v>1</v>
      </c>
      <c r="AG2213" s="151">
        <v>0</v>
      </c>
      <c r="AH2213" s="152">
        <v>0</v>
      </c>
      <c r="AI2213" s="6"/>
    </row>
    <row r="2214" spans="1:35" x14ac:dyDescent="0.25">
      <c r="A2214" s="3"/>
      <c r="B2214" s="4"/>
      <c r="C2214" s="5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  <c r="AE2214" s="5"/>
      <c r="AF2214" s="5"/>
      <c r="AG2214" s="5"/>
      <c r="AH2214" s="5"/>
      <c r="AI2214" s="6"/>
    </row>
    <row r="2215" spans="1:35" x14ac:dyDescent="0.25">
      <c r="A2215" s="3"/>
      <c r="B2215" s="8" t="s">
        <v>43</v>
      </c>
      <c r="C2215" s="9"/>
      <c r="D2215" s="9"/>
      <c r="E2215" s="9"/>
      <c r="F2215" s="225" t="s">
        <v>44</v>
      </c>
      <c r="G2215" s="225"/>
      <c r="H2215" s="225"/>
      <c r="I2215" s="9"/>
      <c r="J2215" s="226" t="s">
        <v>45</v>
      </c>
      <c r="K2215" s="226"/>
      <c r="L2215" s="226"/>
      <c r="M2215" s="226"/>
      <c r="N2215" s="9"/>
      <c r="O2215" s="227" t="s">
        <v>46</v>
      </c>
      <c r="P2215" s="227"/>
      <c r="Q2215" s="227"/>
      <c r="R2215" s="227"/>
      <c r="S2215" s="9"/>
      <c r="T2215" s="1" t="s">
        <v>49</v>
      </c>
      <c r="U2215" s="10" t="s">
        <v>48</v>
      </c>
      <c r="V2215" s="5"/>
      <c r="W2215" s="9"/>
      <c r="X2215" s="9"/>
      <c r="Y2215" s="9"/>
      <c r="Z2215" s="9"/>
      <c r="AA2215" s="9"/>
      <c r="AB2215" s="9"/>
      <c r="AC2215" s="9"/>
      <c r="AD2215" s="9"/>
      <c r="AE2215" s="9"/>
      <c r="AF2215" s="9"/>
      <c r="AG2215" s="9"/>
      <c r="AH2215" s="9"/>
      <c r="AI2215" s="6"/>
    </row>
    <row r="2216" spans="1:35" x14ac:dyDescent="0.25">
      <c r="A2216" s="3"/>
      <c r="B2216" s="221" t="str">
        <f>"0x"&amp;DEC2HEX(Sheet3!$I$4,8)</f>
        <v>0x00400320</v>
      </c>
      <c r="C2216" s="221"/>
      <c r="D2216" s="221"/>
      <c r="E2216" s="12"/>
      <c r="F2216" s="319" t="str">
        <f>"0x"&amp;BIN2HEX(CONCATENATE(C2209,D2209,E2209,F2209,G2209,H2209,I2209,J2209),2)&amp;BIN2HEX(CONCATENATE(K2209,L2209,M2209,N2209,O2209,P2209,Q2209,R2209),2)&amp;BIN2HEX(CONCATENATE(S2209,T2209,U2209,V2209,W2209,X2209,Y2209,Z2209),2)&amp;BIN2HEX(CONCATENATE(AA2209,AB2209,AC2209,AD2209,AE2209,AF2209,AG2209,AH2209),2)</f>
        <v>0x00000000</v>
      </c>
      <c r="G2216" s="319"/>
      <c r="H2216" s="319"/>
      <c r="I2216" s="12"/>
      <c r="J2216" s="319" t="str">
        <f>"0b"&amp;C2213&amp;D2213&amp;E2213&amp;F2213&amp;G2213&amp;H2213&amp;I2213&amp;J2213&amp;K2213&amp;L2213&amp;M2213&amp;N2213&amp;O2213&amp;P2213&amp;Q2213</f>
        <v>0b000000000000100</v>
      </c>
      <c r="K2216" s="319"/>
      <c r="L2216" s="319"/>
      <c r="M2216" s="319"/>
      <c r="N2216" s="12"/>
      <c r="O2216" s="319" t="str">
        <f>"0b"&amp;DEC2BIN(((AF2213+AE2213*2+AD2213*4+AC2213*8+AB2213*16+AA2213*32+Z2213*64+Y2213*128+X2213*256+W2213*512+V2213*1024+U2213*2048+T2213*4096+S2213*2^13+R2213*2^14)/512),6)&amp;DEC2BIN(MOD((AF2213+AE2213*2+AD2213*4+AC2213*8+AB2213*16+AA2213*32+Z2213*64+Y2213*128+X2213*256+W2213*512+V2213*1024+U2213*2048+T2213*4096+S2213*2^13+R2213*2^14),512),9)</f>
        <v>0b000000111000111</v>
      </c>
      <c r="P2216" s="319"/>
      <c r="Q2216" s="319"/>
      <c r="R2216" s="319"/>
      <c r="S2216" s="12"/>
      <c r="T2216" s="224">
        <v>0</v>
      </c>
      <c r="U2216" s="224">
        <f>AH2213</f>
        <v>0</v>
      </c>
      <c r="V2216" s="5"/>
      <c r="W2216" s="14"/>
      <c r="X2216" s="14"/>
      <c r="Y2216" s="14"/>
      <c r="Z2216" s="14"/>
      <c r="AA2216" s="14"/>
      <c r="AB2216" s="14"/>
      <c r="AC2216" s="14"/>
      <c r="AD2216" s="14"/>
      <c r="AE2216" s="14"/>
      <c r="AF2216" s="14"/>
      <c r="AG2216" s="14"/>
      <c r="AH2216" s="14"/>
      <c r="AI2216" s="6"/>
    </row>
    <row r="2217" spans="1:35" x14ac:dyDescent="0.25">
      <c r="A2217" s="3"/>
      <c r="B2217" s="221"/>
      <c r="C2217" s="221"/>
      <c r="D2217" s="221"/>
      <c r="E2217" s="15"/>
      <c r="F2217" s="222"/>
      <c r="G2217" s="222"/>
      <c r="H2217" s="222"/>
      <c r="I2217" s="15"/>
      <c r="J2217" s="221"/>
      <c r="K2217" s="221"/>
      <c r="L2217" s="221"/>
      <c r="M2217" s="221"/>
      <c r="N2217" s="15"/>
      <c r="O2217" s="221"/>
      <c r="P2217" s="221"/>
      <c r="Q2217" s="221"/>
      <c r="R2217" s="221"/>
      <c r="S2217" s="15"/>
      <c r="T2217" s="224"/>
      <c r="U2217" s="15"/>
      <c r="V2217" s="5"/>
      <c r="W2217" s="16"/>
      <c r="X2217" s="16"/>
      <c r="Y2217" s="16"/>
      <c r="Z2217" s="16"/>
      <c r="AA2217" s="16"/>
      <c r="AB2217" s="16"/>
      <c r="AC2217" s="16"/>
      <c r="AD2217" s="16"/>
      <c r="AE2217" s="16"/>
      <c r="AF2217" s="16"/>
      <c r="AG2217" s="16"/>
      <c r="AH2217" s="16"/>
      <c r="AI2217" s="6"/>
    </row>
    <row r="2218" spans="1:35" x14ac:dyDescent="0.25">
      <c r="A2218" s="3"/>
      <c r="B2218" s="221"/>
      <c r="C2218" s="221"/>
      <c r="D2218" s="221"/>
      <c r="E2218" s="15"/>
      <c r="F2218" s="222"/>
      <c r="G2218" s="222"/>
      <c r="H2218" s="222"/>
      <c r="I2218" s="15"/>
      <c r="J2218" s="221"/>
      <c r="K2218" s="221"/>
      <c r="L2218" s="221"/>
      <c r="M2218" s="221"/>
      <c r="N2218" s="15"/>
      <c r="O2218" s="221"/>
      <c r="P2218" s="221"/>
      <c r="Q2218" s="221"/>
      <c r="R2218" s="221"/>
      <c r="S2218" s="15"/>
      <c r="T2218" s="224"/>
      <c r="U2218" s="15"/>
      <c r="V2218" s="5"/>
      <c r="W2218" s="16"/>
      <c r="X2218" s="16"/>
      <c r="Y2218" s="16"/>
      <c r="Z2218" s="16"/>
      <c r="AA2218" s="16"/>
      <c r="AB2218" s="16"/>
      <c r="AC2218" s="16"/>
      <c r="AD2218" s="16"/>
      <c r="AE2218" s="16"/>
      <c r="AF2218" s="16"/>
      <c r="AG2218" s="16"/>
      <c r="AH2218" s="16"/>
      <c r="AI2218" s="6"/>
    </row>
    <row r="2219" spans="1:35" x14ac:dyDescent="0.25">
      <c r="A2219" s="3"/>
      <c r="B2219" s="5"/>
      <c r="C2219" s="5"/>
      <c r="D2219" s="5"/>
      <c r="E2219" s="5"/>
      <c r="F2219" s="17"/>
      <c r="G2219" s="17"/>
      <c r="H2219" s="17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  <c r="AE2219" s="5"/>
      <c r="AF2219" s="5"/>
      <c r="AG2219" s="5"/>
      <c r="AH2219" s="5"/>
      <c r="AI2219" s="6"/>
    </row>
    <row r="2220" spans="1:35" x14ac:dyDescent="0.25">
      <c r="A2220" s="3"/>
      <c r="B2220" s="5" t="s">
        <v>47</v>
      </c>
      <c r="C2220" s="18"/>
      <c r="D2220" s="18"/>
      <c r="E2220" s="18"/>
      <c r="F2220" s="5"/>
      <c r="G2220" s="5"/>
      <c r="H2220" s="5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  <c r="AB2220" s="18"/>
      <c r="AC2220" s="18"/>
      <c r="AD2220" s="18"/>
      <c r="AE2220" s="18"/>
      <c r="AF2220" s="18"/>
      <c r="AG2220" s="18"/>
      <c r="AH2220" s="18"/>
      <c r="AI2220" s="6"/>
    </row>
    <row r="2221" spans="1:35" x14ac:dyDescent="0.25">
      <c r="A2221" s="3"/>
      <c r="B2221" s="221" t="str">
        <f>"0x"&amp;DEC2HEX(Sheet3!$I$4,8)</f>
        <v>0x00400320</v>
      </c>
      <c r="C2221" s="221"/>
      <c r="D2221" s="221"/>
      <c r="E2221" s="16"/>
      <c r="F2221" s="322" t="str">
        <f>F2216&amp;BIN2HEX(MID(J2216,3,8),2)&amp;BIN2HEX(RIGHT(J2216,7)&amp;MID(O2216,3,1),2)&amp;BIN2HEX(MID(O2216,4,8),2)&amp;BIN2HEX(RIGHT(O2216,6)&amp;T2216&amp;U2216,2)</f>
        <v>0x000000000008071C</v>
      </c>
      <c r="G2221" s="322"/>
      <c r="H2221" s="322"/>
      <c r="I2221" s="322"/>
      <c r="J2221" s="5"/>
      <c r="K2221" s="5"/>
      <c r="L2221" s="5"/>
      <c r="M2221" s="5"/>
      <c r="N2221" s="5"/>
      <c r="O2221" s="5"/>
      <c r="P2221" s="16"/>
      <c r="Q2221" s="16"/>
      <c r="R2221" s="19"/>
      <c r="S2221" s="19"/>
      <c r="T2221" s="19"/>
      <c r="U2221" s="19"/>
      <c r="V2221" s="19"/>
      <c r="W2221" s="19"/>
      <c r="X2221" s="19"/>
      <c r="Y2221" s="19"/>
      <c r="Z2221" s="19"/>
      <c r="AA2221" s="19"/>
      <c r="AB2221" s="19"/>
      <c r="AC2221" s="19"/>
      <c r="AD2221" s="19"/>
      <c r="AE2221" s="19"/>
      <c r="AF2221" s="19"/>
      <c r="AG2221" s="5"/>
      <c r="AH2221" s="5"/>
      <c r="AI2221" s="6"/>
    </row>
    <row r="2222" spans="1:35" x14ac:dyDescent="0.25">
      <c r="A2222" s="3"/>
      <c r="B2222" s="221"/>
      <c r="C2222" s="221"/>
      <c r="D2222" s="221"/>
      <c r="E2222" s="5"/>
      <c r="F2222" s="223"/>
      <c r="G2222" s="223"/>
      <c r="H2222" s="223"/>
      <c r="I2222" s="223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  <c r="AE2222" s="5"/>
      <c r="AF2222" s="5"/>
      <c r="AG2222" s="5"/>
      <c r="AH2222" s="5"/>
      <c r="AI2222" s="6"/>
    </row>
    <row r="2223" spans="1:35" x14ac:dyDescent="0.25">
      <c r="A2223" s="3"/>
      <c r="B2223" s="221"/>
      <c r="C2223" s="221"/>
      <c r="D2223" s="221"/>
      <c r="E2223" s="5"/>
      <c r="F2223" s="223"/>
      <c r="G2223" s="223"/>
      <c r="H2223" s="223"/>
      <c r="I2223" s="223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  <c r="AE2223" s="5"/>
      <c r="AF2223" s="5"/>
      <c r="AG2223" s="5"/>
      <c r="AH2223" s="5"/>
      <c r="AI2223" s="6"/>
    </row>
    <row r="2224" spans="1:35" x14ac:dyDescent="0.25">
      <c r="A2224" s="20"/>
      <c r="B2224" s="21"/>
      <c r="C2224" s="21"/>
      <c r="D2224" s="21"/>
      <c r="E2224" s="21"/>
      <c r="F2224" s="21"/>
      <c r="G2224" s="21"/>
      <c r="H2224" s="21"/>
      <c r="I2224" s="21"/>
      <c r="J2224" s="21"/>
      <c r="K2224" s="21"/>
      <c r="L2224" s="21"/>
      <c r="M2224" s="21"/>
      <c r="N2224" s="21"/>
      <c r="O2224" s="22"/>
      <c r="P2224" s="21"/>
      <c r="Q2224" s="21"/>
      <c r="R2224" s="21"/>
      <c r="S2224" s="21"/>
      <c r="T2224" s="21"/>
      <c r="U2224" s="21"/>
      <c r="V2224" s="21"/>
      <c r="W2224" s="21"/>
      <c r="X2224" s="21"/>
      <c r="Y2224" s="21"/>
      <c r="Z2224" s="21"/>
      <c r="AA2224" s="21"/>
      <c r="AB2224" s="21"/>
      <c r="AC2224" s="21"/>
      <c r="AD2224" s="21"/>
      <c r="AE2224" s="21"/>
      <c r="AF2224" s="21"/>
      <c r="AG2224" s="21"/>
      <c r="AH2224" s="21"/>
      <c r="AI2224" s="23"/>
    </row>
    <row r="2225" spans="1:35" x14ac:dyDescent="0.25">
      <c r="A2225" s="24"/>
      <c r="B2225" s="28"/>
      <c r="C2225" s="25"/>
      <c r="D2225" s="25"/>
      <c r="E2225" s="25"/>
      <c r="F2225" s="25"/>
      <c r="G2225" s="25"/>
      <c r="H2225" s="25"/>
      <c r="I2225" s="25"/>
      <c r="J2225" s="25"/>
      <c r="K2225" s="25"/>
      <c r="L2225" s="25"/>
      <c r="M2225" s="25"/>
      <c r="N2225" s="25"/>
      <c r="O2225" s="25"/>
      <c r="P2225" s="25"/>
      <c r="Q2225" s="25"/>
      <c r="R2225" s="25"/>
      <c r="S2225" s="25"/>
      <c r="T2225" s="25"/>
      <c r="U2225" s="25"/>
      <c r="V2225" s="25"/>
      <c r="W2225" s="25"/>
      <c r="X2225" s="25"/>
      <c r="Y2225" s="25"/>
      <c r="Z2225" s="25"/>
      <c r="AA2225" s="25"/>
      <c r="AB2225" s="25"/>
      <c r="AC2225" s="25"/>
      <c r="AD2225" s="25"/>
      <c r="AE2225" s="25"/>
      <c r="AF2225" s="25"/>
      <c r="AG2225" s="25"/>
      <c r="AH2225" s="25"/>
      <c r="AI2225" s="26"/>
    </row>
    <row r="2226" spans="1:35" x14ac:dyDescent="0.25">
      <c r="A2226" s="3"/>
      <c r="B2226" s="4" t="s">
        <v>367</v>
      </c>
      <c r="C2226" s="5"/>
      <c r="D2226" s="5"/>
      <c r="E2226" s="5"/>
      <c r="F2226" s="5"/>
      <c r="G2226" s="5"/>
      <c r="H2226" s="5"/>
      <c r="I2226" s="5" t="str">
        <f>"0x"&amp;BIN2HEX(CONCATENATE(C2231,D2231,E2231,F2231,G2231,H2231,I2231,J2231),2)&amp;BIN2HEX(CONCATENATE(K2231,L2231,M2231,N2231,O2231,P2231,Q2231,R2231),2)&amp;BIN2HEX(CONCATENATE(S2231,T2231,U2231,V2231,W2231,X2231,Y2231,Z2231),2)&amp;BIN2HEX(CONCATENATE(AA2231,AB2231,AC2231,AD2231,AE2231,AF2231,AG2231,AH2231),2)&amp;"_"&amp;BIN2HEX(CONCATENATE(C2235,D2235,E2235,F2235,G2235,H2235,I2235,J2235),2)&amp;BIN2HEX(CONCATENATE(K2235,L2235,M2235,N2235,O2235,P2235,Q2235,R2235),2)&amp;BIN2HEX(CONCATENATE(S2235,T2235,U2235,V2235,W2235,X2235,Y2235,Z2235),2)&amp;BIN2HEX(CONCATENATE(AA2235,AB2235,AC2235,AD2235,AE2235,AF2235,AG2235,AH2235),2)</f>
        <v>0x00000000_00080720</v>
      </c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  <c r="AE2226" s="5"/>
      <c r="AF2226" s="5"/>
      <c r="AG2226" s="5"/>
      <c r="AH2226" s="5"/>
      <c r="AI2226" s="6"/>
    </row>
    <row r="2227" spans="1:35" ht="15.75" thickBot="1" x14ac:dyDescent="0.3">
      <c r="A2227" s="3"/>
      <c r="B2227" s="5"/>
      <c r="C2227" s="7">
        <v>0</v>
      </c>
      <c r="D2227" s="7">
        <v>1</v>
      </c>
      <c r="E2227" s="7">
        <v>2</v>
      </c>
      <c r="F2227" s="7">
        <v>3</v>
      </c>
      <c r="G2227" s="7">
        <v>4</v>
      </c>
      <c r="H2227" s="7">
        <v>5</v>
      </c>
      <c r="I2227" s="7">
        <v>6</v>
      </c>
      <c r="J2227" s="7">
        <v>7</v>
      </c>
      <c r="K2227" s="7">
        <v>8</v>
      </c>
      <c r="L2227" s="7">
        <v>9</v>
      </c>
      <c r="M2227" s="7">
        <v>10</v>
      </c>
      <c r="N2227" s="7">
        <v>11</v>
      </c>
      <c r="O2227" s="7">
        <v>12</v>
      </c>
      <c r="P2227" s="7">
        <v>13</v>
      </c>
      <c r="Q2227" s="7">
        <v>14</v>
      </c>
      <c r="R2227" s="7">
        <v>15</v>
      </c>
      <c r="S2227" s="7">
        <v>16</v>
      </c>
      <c r="T2227" s="7">
        <v>17</v>
      </c>
      <c r="U2227" s="7">
        <v>18</v>
      </c>
      <c r="V2227" s="7">
        <v>19</v>
      </c>
      <c r="W2227" s="7">
        <v>20</v>
      </c>
      <c r="X2227" s="7">
        <v>21</v>
      </c>
      <c r="Y2227" s="7">
        <v>22</v>
      </c>
      <c r="Z2227" s="7">
        <v>23</v>
      </c>
      <c r="AA2227" s="7">
        <v>24</v>
      </c>
      <c r="AB2227" s="7">
        <v>25</v>
      </c>
      <c r="AC2227" s="7">
        <v>26</v>
      </c>
      <c r="AD2227" s="7">
        <v>27</v>
      </c>
      <c r="AE2227" s="7">
        <v>28</v>
      </c>
      <c r="AF2227" s="7">
        <v>29</v>
      </c>
      <c r="AG2227" s="7">
        <v>30</v>
      </c>
      <c r="AH2227" s="7">
        <v>31</v>
      </c>
      <c r="AI2227" s="6"/>
    </row>
    <row r="2228" spans="1:35" x14ac:dyDescent="0.25">
      <c r="A2228" s="3"/>
      <c r="B2228" s="5" t="s">
        <v>31</v>
      </c>
      <c r="C2228" s="328" t="s">
        <v>161</v>
      </c>
      <c r="D2228" s="330" t="s">
        <v>63</v>
      </c>
      <c r="E2228" s="331"/>
      <c r="F2228" s="331"/>
      <c r="G2228" s="331"/>
      <c r="H2228" s="331"/>
      <c r="I2228" s="331"/>
      <c r="J2228" s="332"/>
      <c r="K2228" s="336">
        <v>0</v>
      </c>
      <c r="L2228" s="337"/>
      <c r="M2228" s="337"/>
      <c r="N2228" s="337"/>
      <c r="O2228" s="337"/>
      <c r="P2228" s="337"/>
      <c r="Q2228" s="337"/>
      <c r="R2228" s="337"/>
      <c r="S2228" s="337"/>
      <c r="T2228" s="337"/>
      <c r="U2228" s="337"/>
      <c r="V2228" s="337"/>
      <c r="W2228" s="337"/>
      <c r="X2228" s="337"/>
      <c r="Y2228" s="337"/>
      <c r="Z2228" s="337"/>
      <c r="AA2228" s="337"/>
      <c r="AB2228" s="337"/>
      <c r="AC2228" s="337"/>
      <c r="AD2228" s="337"/>
      <c r="AE2228" s="337"/>
      <c r="AF2228" s="337"/>
      <c r="AG2228" s="337"/>
      <c r="AH2228" s="338"/>
      <c r="AI2228" s="6"/>
    </row>
    <row r="2229" spans="1:35" x14ac:dyDescent="0.25">
      <c r="A2229" s="3"/>
      <c r="B2229" s="5" t="s">
        <v>32</v>
      </c>
      <c r="C2229" s="329"/>
      <c r="D2229" s="333"/>
      <c r="E2229" s="334"/>
      <c r="F2229" s="334"/>
      <c r="G2229" s="334"/>
      <c r="H2229" s="334"/>
      <c r="I2229" s="334"/>
      <c r="J2229" s="335"/>
      <c r="K2229" s="339"/>
      <c r="L2229" s="340"/>
      <c r="M2229" s="340"/>
      <c r="N2229" s="340"/>
      <c r="O2229" s="340"/>
      <c r="P2229" s="340"/>
      <c r="Q2229" s="340"/>
      <c r="R2229" s="340"/>
      <c r="S2229" s="340"/>
      <c r="T2229" s="340"/>
      <c r="U2229" s="340"/>
      <c r="V2229" s="340"/>
      <c r="W2229" s="340"/>
      <c r="X2229" s="340"/>
      <c r="Y2229" s="340"/>
      <c r="Z2229" s="340"/>
      <c r="AA2229" s="340"/>
      <c r="AB2229" s="340"/>
      <c r="AC2229" s="340"/>
      <c r="AD2229" s="340"/>
      <c r="AE2229" s="340"/>
      <c r="AF2229" s="340"/>
      <c r="AG2229" s="340"/>
      <c r="AH2229" s="341"/>
      <c r="AI2229" s="6"/>
    </row>
    <row r="2230" spans="1:35" x14ac:dyDescent="0.25">
      <c r="A2230" s="3"/>
      <c r="B2230" s="5" t="s">
        <v>11</v>
      </c>
      <c r="C2230" s="56">
        <v>0</v>
      </c>
      <c r="D2230" s="57">
        <v>0</v>
      </c>
      <c r="E2230" s="57">
        <v>0</v>
      </c>
      <c r="F2230" s="57">
        <v>0</v>
      </c>
      <c r="G2230" s="57">
        <v>0</v>
      </c>
      <c r="H2230" s="57">
        <v>0</v>
      </c>
      <c r="I2230" s="57">
        <v>0</v>
      </c>
      <c r="J2230" s="57">
        <v>0</v>
      </c>
      <c r="K2230" s="57">
        <v>0</v>
      </c>
      <c r="L2230" s="57">
        <v>0</v>
      </c>
      <c r="M2230" s="57">
        <v>0</v>
      </c>
      <c r="N2230" s="57">
        <v>0</v>
      </c>
      <c r="O2230" s="57">
        <v>0</v>
      </c>
      <c r="P2230" s="57">
        <v>0</v>
      </c>
      <c r="Q2230" s="57">
        <v>0</v>
      </c>
      <c r="R2230" s="57">
        <v>0</v>
      </c>
      <c r="S2230" s="57">
        <v>0</v>
      </c>
      <c r="T2230" s="57">
        <v>0</v>
      </c>
      <c r="U2230" s="57">
        <v>0</v>
      </c>
      <c r="V2230" s="57">
        <v>0</v>
      </c>
      <c r="W2230" s="57">
        <v>0</v>
      </c>
      <c r="X2230" s="57">
        <v>0</v>
      </c>
      <c r="Y2230" s="57">
        <v>0</v>
      </c>
      <c r="Z2230" s="57">
        <v>0</v>
      </c>
      <c r="AA2230" s="57">
        <v>0</v>
      </c>
      <c r="AB2230" s="57">
        <v>0</v>
      </c>
      <c r="AC2230" s="57">
        <v>0</v>
      </c>
      <c r="AD2230" s="57">
        <v>0</v>
      </c>
      <c r="AE2230" s="57">
        <v>0</v>
      </c>
      <c r="AF2230" s="57">
        <v>0</v>
      </c>
      <c r="AG2230" s="57">
        <v>0</v>
      </c>
      <c r="AH2230" s="58">
        <v>0</v>
      </c>
      <c r="AI2230" s="6"/>
    </row>
    <row r="2231" spans="1:35" ht="15.75" thickBot="1" x14ac:dyDescent="0.3">
      <c r="A2231" s="3"/>
      <c r="B2231" s="5" t="s">
        <v>12</v>
      </c>
      <c r="C2231" s="145">
        <v>0</v>
      </c>
      <c r="D2231" s="88">
        <v>0</v>
      </c>
      <c r="E2231" s="88">
        <v>0</v>
      </c>
      <c r="F2231" s="88">
        <v>0</v>
      </c>
      <c r="G2231" s="88">
        <v>0</v>
      </c>
      <c r="H2231" s="88">
        <v>0</v>
      </c>
      <c r="I2231" s="88">
        <v>0</v>
      </c>
      <c r="J2231" s="88">
        <v>0</v>
      </c>
      <c r="K2231" s="62">
        <v>0</v>
      </c>
      <c r="L2231" s="62">
        <v>0</v>
      </c>
      <c r="M2231" s="62">
        <v>0</v>
      </c>
      <c r="N2231" s="62">
        <v>0</v>
      </c>
      <c r="O2231" s="62">
        <v>0</v>
      </c>
      <c r="P2231" s="62">
        <v>0</v>
      </c>
      <c r="Q2231" s="62">
        <v>0</v>
      </c>
      <c r="R2231" s="62">
        <v>0</v>
      </c>
      <c r="S2231" s="62">
        <v>0</v>
      </c>
      <c r="T2231" s="62">
        <v>0</v>
      </c>
      <c r="U2231" s="62">
        <v>0</v>
      </c>
      <c r="V2231" s="62">
        <v>0</v>
      </c>
      <c r="W2231" s="62">
        <v>0</v>
      </c>
      <c r="X2231" s="62">
        <v>0</v>
      </c>
      <c r="Y2231" s="62">
        <v>0</v>
      </c>
      <c r="Z2231" s="62">
        <v>0</v>
      </c>
      <c r="AA2231" s="62">
        <v>0</v>
      </c>
      <c r="AB2231" s="62">
        <v>0</v>
      </c>
      <c r="AC2231" s="62">
        <v>0</v>
      </c>
      <c r="AD2231" s="62">
        <v>0</v>
      </c>
      <c r="AE2231" s="62">
        <v>0</v>
      </c>
      <c r="AF2231" s="62">
        <v>0</v>
      </c>
      <c r="AG2231" s="62">
        <v>0</v>
      </c>
      <c r="AH2231" s="146">
        <v>0</v>
      </c>
      <c r="AI2231" s="6"/>
    </row>
    <row r="2232" spans="1:35" x14ac:dyDescent="0.25">
      <c r="A2232" s="3"/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  <c r="AE2232" s="5"/>
      <c r="AF2232" s="5"/>
      <c r="AG2232" s="5"/>
      <c r="AH2232" s="5"/>
      <c r="AI2232" s="6"/>
    </row>
    <row r="2233" spans="1:35" ht="15.75" thickBot="1" x14ac:dyDescent="0.3">
      <c r="A2233" s="3"/>
      <c r="B2233" s="5"/>
      <c r="C2233" s="7">
        <v>32</v>
      </c>
      <c r="D2233" s="7">
        <v>33</v>
      </c>
      <c r="E2233" s="7">
        <v>34</v>
      </c>
      <c r="F2233" s="7">
        <v>35</v>
      </c>
      <c r="G2233" s="7">
        <v>36</v>
      </c>
      <c r="H2233" s="7">
        <v>37</v>
      </c>
      <c r="I2233" s="7">
        <v>38</v>
      </c>
      <c r="J2233" s="7">
        <v>39</v>
      </c>
      <c r="K2233" s="7">
        <v>40</v>
      </c>
      <c r="L2233" s="7">
        <v>41</v>
      </c>
      <c r="M2233" s="7">
        <v>42</v>
      </c>
      <c r="N2233" s="7">
        <v>43</v>
      </c>
      <c r="O2233" s="7">
        <v>44</v>
      </c>
      <c r="P2233" s="7">
        <v>45</v>
      </c>
      <c r="Q2233" s="7">
        <v>46</v>
      </c>
      <c r="R2233" s="7">
        <v>47</v>
      </c>
      <c r="S2233" s="7">
        <v>48</v>
      </c>
      <c r="T2233" s="7">
        <v>49</v>
      </c>
      <c r="U2233" s="7">
        <v>50</v>
      </c>
      <c r="V2233" s="7">
        <v>51</v>
      </c>
      <c r="W2233" s="7">
        <v>52</v>
      </c>
      <c r="X2233" s="7">
        <v>53</v>
      </c>
      <c r="Y2233" s="7">
        <v>54</v>
      </c>
      <c r="Z2233" s="7">
        <v>55</v>
      </c>
      <c r="AA2233" s="7">
        <v>56</v>
      </c>
      <c r="AB2233" s="7">
        <v>57</v>
      </c>
      <c r="AC2233" s="7">
        <v>58</v>
      </c>
      <c r="AD2233" s="7">
        <v>59</v>
      </c>
      <c r="AE2233" s="7">
        <v>60</v>
      </c>
      <c r="AF2233" s="7">
        <v>61</v>
      </c>
      <c r="AG2233" s="7">
        <v>62</v>
      </c>
      <c r="AH2233" s="7">
        <v>63</v>
      </c>
      <c r="AI2233" s="6"/>
    </row>
    <row r="2234" spans="1:35" ht="15.75" thickBot="1" x14ac:dyDescent="0.3">
      <c r="A2234" s="3"/>
      <c r="B2234" s="5"/>
      <c r="C2234" s="147" t="s">
        <v>13</v>
      </c>
      <c r="D2234" s="148" t="s">
        <v>14</v>
      </c>
      <c r="E2234" s="148" t="s">
        <v>15</v>
      </c>
      <c r="F2234" s="148" t="s">
        <v>16</v>
      </c>
      <c r="G2234" s="148" t="s">
        <v>17</v>
      </c>
      <c r="H2234" s="148" t="s">
        <v>18</v>
      </c>
      <c r="I2234" s="148" t="s">
        <v>19</v>
      </c>
      <c r="J2234" s="148" t="s">
        <v>20</v>
      </c>
      <c r="K2234" s="148" t="s">
        <v>21</v>
      </c>
      <c r="L2234" s="148" t="s">
        <v>22</v>
      </c>
      <c r="M2234" s="148" t="s">
        <v>23</v>
      </c>
      <c r="N2234" s="148" t="s">
        <v>24</v>
      </c>
      <c r="O2234" s="148" t="s">
        <v>25</v>
      </c>
      <c r="P2234" s="148" t="s">
        <v>26</v>
      </c>
      <c r="Q2234" s="148" t="s">
        <v>27</v>
      </c>
      <c r="R2234" s="342" t="s">
        <v>30</v>
      </c>
      <c r="S2234" s="343"/>
      <c r="T2234" s="343"/>
      <c r="U2234" s="343"/>
      <c r="V2234" s="343"/>
      <c r="W2234" s="343"/>
      <c r="X2234" s="343"/>
      <c r="Y2234" s="343"/>
      <c r="Z2234" s="343"/>
      <c r="AA2234" s="343"/>
      <c r="AB2234" s="343"/>
      <c r="AC2234" s="343"/>
      <c r="AD2234" s="343"/>
      <c r="AE2234" s="343"/>
      <c r="AF2234" s="344"/>
      <c r="AG2234" s="67" t="s">
        <v>28</v>
      </c>
      <c r="AH2234" s="149" t="s">
        <v>29</v>
      </c>
      <c r="AI2234" s="6"/>
    </row>
    <row r="2235" spans="1:35" ht="15.75" thickBot="1" x14ac:dyDescent="0.3">
      <c r="A2235" s="3"/>
      <c r="B2235" s="5"/>
      <c r="C2235" s="150">
        <v>0</v>
      </c>
      <c r="D2235" s="151">
        <v>0</v>
      </c>
      <c r="E2235" s="151">
        <v>0</v>
      </c>
      <c r="F2235" s="151">
        <v>0</v>
      </c>
      <c r="G2235" s="151">
        <v>0</v>
      </c>
      <c r="H2235" s="151">
        <v>0</v>
      </c>
      <c r="I2235" s="151">
        <v>0</v>
      </c>
      <c r="J2235" s="151">
        <v>0</v>
      </c>
      <c r="K2235" s="151">
        <v>0</v>
      </c>
      <c r="L2235" s="151">
        <v>0</v>
      </c>
      <c r="M2235" s="151">
        <v>0</v>
      </c>
      <c r="N2235" s="151">
        <v>0</v>
      </c>
      <c r="O2235" s="151">
        <v>1</v>
      </c>
      <c r="P2235" s="151">
        <v>0</v>
      </c>
      <c r="Q2235" s="151">
        <v>0</v>
      </c>
      <c r="R2235" s="151">
        <v>0</v>
      </c>
      <c r="S2235" s="151">
        <v>0</v>
      </c>
      <c r="T2235" s="151">
        <v>0</v>
      </c>
      <c r="U2235" s="151">
        <v>0</v>
      </c>
      <c r="V2235" s="151">
        <v>0</v>
      </c>
      <c r="W2235" s="151">
        <v>0</v>
      </c>
      <c r="X2235" s="151">
        <v>1</v>
      </c>
      <c r="Y2235" s="151">
        <v>1</v>
      </c>
      <c r="Z2235" s="151">
        <v>1</v>
      </c>
      <c r="AA2235" s="151">
        <v>0</v>
      </c>
      <c r="AB2235" s="151">
        <v>0</v>
      </c>
      <c r="AC2235" s="151">
        <v>1</v>
      </c>
      <c r="AD2235" s="151">
        <v>0</v>
      </c>
      <c r="AE2235" s="151">
        <v>0</v>
      </c>
      <c r="AF2235" s="151">
        <v>0</v>
      </c>
      <c r="AG2235" s="151">
        <v>0</v>
      </c>
      <c r="AH2235" s="152">
        <v>0</v>
      </c>
      <c r="AI2235" s="6"/>
    </row>
    <row r="2236" spans="1:35" x14ac:dyDescent="0.25">
      <c r="A2236" s="3"/>
      <c r="B2236" s="4"/>
      <c r="C2236" s="5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  <c r="AE2236" s="5"/>
      <c r="AF2236" s="5"/>
      <c r="AG2236" s="5"/>
      <c r="AH2236" s="5"/>
      <c r="AI2236" s="6"/>
    </row>
    <row r="2237" spans="1:35" x14ac:dyDescent="0.25">
      <c r="A2237" s="3"/>
      <c r="B2237" s="8" t="s">
        <v>43</v>
      </c>
      <c r="C2237" s="9"/>
      <c r="D2237" s="9"/>
      <c r="E2237" s="9"/>
      <c r="F2237" s="225" t="s">
        <v>44</v>
      </c>
      <c r="G2237" s="225"/>
      <c r="H2237" s="225"/>
      <c r="I2237" s="9"/>
      <c r="J2237" s="226" t="s">
        <v>45</v>
      </c>
      <c r="K2237" s="226"/>
      <c r="L2237" s="226"/>
      <c r="M2237" s="226"/>
      <c r="N2237" s="9"/>
      <c r="O2237" s="227" t="s">
        <v>46</v>
      </c>
      <c r="P2237" s="227"/>
      <c r="Q2237" s="227"/>
      <c r="R2237" s="227"/>
      <c r="S2237" s="9"/>
      <c r="T2237" s="1" t="s">
        <v>49</v>
      </c>
      <c r="U2237" s="10" t="s">
        <v>48</v>
      </c>
      <c r="V2237" s="5"/>
      <c r="W2237" s="9"/>
      <c r="X2237" s="9"/>
      <c r="Y2237" s="9"/>
      <c r="Z2237" s="9"/>
      <c r="AA2237" s="9"/>
      <c r="AB2237" s="9"/>
      <c r="AC2237" s="9"/>
      <c r="AD2237" s="9"/>
      <c r="AE2237" s="9"/>
      <c r="AF2237" s="9"/>
      <c r="AG2237" s="9"/>
      <c r="AH2237" s="9"/>
      <c r="AI2237" s="6"/>
    </row>
    <row r="2238" spans="1:35" x14ac:dyDescent="0.25">
      <c r="A2238" s="3"/>
      <c r="B2238" s="221" t="str">
        <f>"0x"&amp;DEC2HEX(Sheet3!$I$4,8)</f>
        <v>0x00400320</v>
      </c>
      <c r="C2238" s="221"/>
      <c r="D2238" s="221"/>
      <c r="E2238" s="12"/>
      <c r="F2238" s="319" t="str">
        <f>"0x"&amp;BIN2HEX(CONCATENATE(C2231,D2231,E2231,F2231,G2231,H2231,I2231,J2231),2)&amp;BIN2HEX(CONCATENATE(K2231,L2231,M2231,N2231,O2231,P2231,Q2231,R2231),2)&amp;BIN2HEX(CONCATENATE(S2231,T2231,U2231,V2231,W2231,X2231,Y2231,Z2231),2)&amp;BIN2HEX(CONCATENATE(AA2231,AB2231,AC2231,AD2231,AE2231,AF2231,AG2231,AH2231),2)</f>
        <v>0x00000000</v>
      </c>
      <c r="G2238" s="319"/>
      <c r="H2238" s="319"/>
      <c r="I2238" s="12"/>
      <c r="J2238" s="319" t="str">
        <f>"0b"&amp;C2235&amp;D2235&amp;E2235&amp;F2235&amp;G2235&amp;H2235&amp;I2235&amp;J2235&amp;K2235&amp;L2235&amp;M2235&amp;N2235&amp;O2235&amp;P2235&amp;Q2235</f>
        <v>0b000000000000100</v>
      </c>
      <c r="K2238" s="319"/>
      <c r="L2238" s="319"/>
      <c r="M2238" s="319"/>
      <c r="N2238" s="12"/>
      <c r="O2238" s="319" t="str">
        <f>"0b"&amp;DEC2BIN(((AF2235+AE2235*2+AD2235*4+AC2235*8+AB2235*16+AA2235*32+Z2235*64+Y2235*128+X2235*256+W2235*512+V2235*1024+U2235*2048+T2235*4096+S2235*2^13+R2235*2^14)/512),6)&amp;DEC2BIN(MOD((AF2235+AE2235*2+AD2235*4+AC2235*8+AB2235*16+AA2235*32+Z2235*64+Y2235*128+X2235*256+W2235*512+V2235*1024+U2235*2048+T2235*4096+S2235*2^13+R2235*2^14),512),9)</f>
        <v>0b000000111001000</v>
      </c>
      <c r="P2238" s="319"/>
      <c r="Q2238" s="319"/>
      <c r="R2238" s="319"/>
      <c r="S2238" s="12"/>
      <c r="T2238" s="224">
        <v>0</v>
      </c>
      <c r="U2238" s="224">
        <f>AH2235</f>
        <v>0</v>
      </c>
      <c r="V2238" s="5"/>
      <c r="W2238" s="14"/>
      <c r="X2238" s="14"/>
      <c r="Y2238" s="14"/>
      <c r="Z2238" s="14"/>
      <c r="AA2238" s="14"/>
      <c r="AB2238" s="14"/>
      <c r="AC2238" s="14"/>
      <c r="AD2238" s="14"/>
      <c r="AE2238" s="14"/>
      <c r="AF2238" s="14"/>
      <c r="AG2238" s="14"/>
      <c r="AH2238" s="14"/>
      <c r="AI2238" s="6"/>
    </row>
    <row r="2239" spans="1:35" x14ac:dyDescent="0.25">
      <c r="A2239" s="3"/>
      <c r="B2239" s="221"/>
      <c r="C2239" s="221"/>
      <c r="D2239" s="221"/>
      <c r="E2239" s="15"/>
      <c r="F2239" s="222"/>
      <c r="G2239" s="222"/>
      <c r="H2239" s="222"/>
      <c r="I2239" s="15"/>
      <c r="J2239" s="221"/>
      <c r="K2239" s="221"/>
      <c r="L2239" s="221"/>
      <c r="M2239" s="221"/>
      <c r="N2239" s="15"/>
      <c r="O2239" s="221"/>
      <c r="P2239" s="221"/>
      <c r="Q2239" s="221"/>
      <c r="R2239" s="221"/>
      <c r="S2239" s="15"/>
      <c r="T2239" s="224"/>
      <c r="U2239" s="15"/>
      <c r="V2239" s="5"/>
      <c r="W2239" s="16"/>
      <c r="X2239" s="16"/>
      <c r="Y2239" s="16"/>
      <c r="Z2239" s="16"/>
      <c r="AA2239" s="16"/>
      <c r="AB2239" s="16"/>
      <c r="AC2239" s="16"/>
      <c r="AD2239" s="16"/>
      <c r="AE2239" s="16"/>
      <c r="AF2239" s="16"/>
      <c r="AG2239" s="16"/>
      <c r="AH2239" s="16"/>
      <c r="AI2239" s="6"/>
    </row>
    <row r="2240" spans="1:35" x14ac:dyDescent="0.25">
      <c r="A2240" s="3"/>
      <c r="B2240" s="221"/>
      <c r="C2240" s="221"/>
      <c r="D2240" s="221"/>
      <c r="E2240" s="15"/>
      <c r="F2240" s="222"/>
      <c r="G2240" s="222"/>
      <c r="H2240" s="222"/>
      <c r="I2240" s="15"/>
      <c r="J2240" s="221"/>
      <c r="K2240" s="221"/>
      <c r="L2240" s="221"/>
      <c r="M2240" s="221"/>
      <c r="N2240" s="15"/>
      <c r="O2240" s="221"/>
      <c r="P2240" s="221"/>
      <c r="Q2240" s="221"/>
      <c r="R2240" s="221"/>
      <c r="S2240" s="15"/>
      <c r="T2240" s="224"/>
      <c r="U2240" s="15"/>
      <c r="V2240" s="5"/>
      <c r="W2240" s="16"/>
      <c r="X2240" s="16"/>
      <c r="Y2240" s="16"/>
      <c r="Z2240" s="16"/>
      <c r="AA2240" s="16"/>
      <c r="AB2240" s="16"/>
      <c r="AC2240" s="16"/>
      <c r="AD2240" s="16"/>
      <c r="AE2240" s="16"/>
      <c r="AF2240" s="16"/>
      <c r="AG2240" s="16"/>
      <c r="AH2240" s="16"/>
      <c r="AI2240" s="6"/>
    </row>
    <row r="2241" spans="1:35" x14ac:dyDescent="0.25">
      <c r="A2241" s="3"/>
      <c r="B2241" s="5"/>
      <c r="C2241" s="5"/>
      <c r="D2241" s="5"/>
      <c r="E2241" s="5"/>
      <c r="F2241" s="17"/>
      <c r="G2241" s="17"/>
      <c r="H2241" s="17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  <c r="AE2241" s="5"/>
      <c r="AF2241" s="5"/>
      <c r="AG2241" s="5"/>
      <c r="AH2241" s="5"/>
      <c r="AI2241" s="6"/>
    </row>
    <row r="2242" spans="1:35" x14ac:dyDescent="0.25">
      <c r="A2242" s="3"/>
      <c r="B2242" s="5" t="s">
        <v>47</v>
      </c>
      <c r="C2242" s="18"/>
      <c r="D2242" s="18"/>
      <c r="E2242" s="18"/>
      <c r="F2242" s="5"/>
      <c r="G2242" s="5"/>
      <c r="H2242" s="5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  <c r="AB2242" s="18"/>
      <c r="AC2242" s="18"/>
      <c r="AD2242" s="18"/>
      <c r="AE2242" s="18"/>
      <c r="AF2242" s="18"/>
      <c r="AG2242" s="18"/>
      <c r="AH2242" s="18"/>
      <c r="AI2242" s="6"/>
    </row>
    <row r="2243" spans="1:35" x14ac:dyDescent="0.25">
      <c r="A2243" s="3"/>
      <c r="B2243" s="221" t="str">
        <f>"0x"&amp;DEC2HEX(Sheet3!$I$4,8)</f>
        <v>0x00400320</v>
      </c>
      <c r="C2243" s="221"/>
      <c r="D2243" s="221"/>
      <c r="E2243" s="16"/>
      <c r="F2243" s="322" t="str">
        <f>F2238&amp;BIN2HEX(MID(J2238,3,8),2)&amp;BIN2HEX(RIGHT(J2238,7)&amp;MID(O2238,3,1),2)&amp;BIN2HEX(MID(O2238,4,8),2)&amp;BIN2HEX(RIGHT(O2238,6)&amp;T2238&amp;U2238,2)</f>
        <v>0x0000000000080720</v>
      </c>
      <c r="G2243" s="322"/>
      <c r="H2243" s="322"/>
      <c r="I2243" s="322"/>
      <c r="J2243" s="5"/>
      <c r="K2243" s="5"/>
      <c r="L2243" s="5"/>
      <c r="M2243" s="5"/>
      <c r="N2243" s="5"/>
      <c r="O2243" s="5"/>
      <c r="P2243" s="16"/>
      <c r="Q2243" s="16"/>
      <c r="R2243" s="19"/>
      <c r="S2243" s="19"/>
      <c r="T2243" s="19"/>
      <c r="U2243" s="19"/>
      <c r="V2243" s="19"/>
      <c r="W2243" s="19"/>
      <c r="X2243" s="19"/>
      <c r="Y2243" s="19"/>
      <c r="Z2243" s="19"/>
      <c r="AA2243" s="19"/>
      <c r="AB2243" s="19"/>
      <c r="AC2243" s="19"/>
      <c r="AD2243" s="19"/>
      <c r="AE2243" s="19"/>
      <c r="AF2243" s="19"/>
      <c r="AG2243" s="5"/>
      <c r="AH2243" s="5"/>
      <c r="AI2243" s="6"/>
    </row>
    <row r="2244" spans="1:35" x14ac:dyDescent="0.25">
      <c r="A2244" s="3"/>
      <c r="B2244" s="221"/>
      <c r="C2244" s="221"/>
      <c r="D2244" s="221"/>
      <c r="E2244" s="5"/>
      <c r="F2244" s="223"/>
      <c r="G2244" s="223"/>
      <c r="H2244" s="223"/>
      <c r="I2244" s="223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  <c r="AE2244" s="5"/>
      <c r="AF2244" s="5"/>
      <c r="AG2244" s="5"/>
      <c r="AH2244" s="5"/>
      <c r="AI2244" s="6"/>
    </row>
    <row r="2245" spans="1:35" x14ac:dyDescent="0.25">
      <c r="A2245" s="3"/>
      <c r="B2245" s="221"/>
      <c r="C2245" s="221"/>
      <c r="D2245" s="221"/>
      <c r="E2245" s="5"/>
      <c r="F2245" s="223"/>
      <c r="G2245" s="223"/>
      <c r="H2245" s="223"/>
      <c r="I2245" s="223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  <c r="AE2245" s="5"/>
      <c r="AF2245" s="5"/>
      <c r="AG2245" s="5"/>
      <c r="AH2245" s="5"/>
      <c r="AI2245" s="6"/>
    </row>
    <row r="2246" spans="1:35" x14ac:dyDescent="0.25">
      <c r="A2246" s="20"/>
      <c r="B2246" s="21"/>
      <c r="C2246" s="21"/>
      <c r="D2246" s="21"/>
      <c r="E2246" s="21"/>
      <c r="F2246" s="21"/>
      <c r="G2246" s="21"/>
      <c r="H2246" s="21"/>
      <c r="I2246" s="21"/>
      <c r="J2246" s="21"/>
      <c r="K2246" s="21"/>
      <c r="L2246" s="21"/>
      <c r="M2246" s="21"/>
      <c r="N2246" s="21"/>
      <c r="O2246" s="22"/>
      <c r="P2246" s="21"/>
      <c r="Q2246" s="21"/>
      <c r="R2246" s="21"/>
      <c r="S2246" s="21"/>
      <c r="T2246" s="21"/>
      <c r="U2246" s="21"/>
      <c r="V2246" s="21"/>
      <c r="W2246" s="21"/>
      <c r="X2246" s="21"/>
      <c r="Y2246" s="21"/>
      <c r="Z2246" s="21"/>
      <c r="AA2246" s="21"/>
      <c r="AB2246" s="21"/>
      <c r="AC2246" s="21"/>
      <c r="AD2246" s="21"/>
      <c r="AE2246" s="21"/>
      <c r="AF2246" s="21"/>
      <c r="AG2246" s="21"/>
      <c r="AH2246" s="21"/>
      <c r="AI2246" s="23"/>
    </row>
    <row r="2247" spans="1:35" x14ac:dyDescent="0.25">
      <c r="A2247" s="24"/>
      <c r="B2247" s="28"/>
      <c r="C2247" s="25"/>
      <c r="D2247" s="25"/>
      <c r="E2247" s="25"/>
      <c r="F2247" s="25"/>
      <c r="G2247" s="25"/>
      <c r="H2247" s="25"/>
      <c r="I2247" s="25"/>
      <c r="J2247" s="25"/>
      <c r="K2247" s="25"/>
      <c r="L2247" s="25"/>
      <c r="M2247" s="25"/>
      <c r="N2247" s="25"/>
      <c r="O2247" s="25"/>
      <c r="P2247" s="25"/>
      <c r="Q2247" s="25"/>
      <c r="R2247" s="25"/>
      <c r="S2247" s="25"/>
      <c r="T2247" s="25"/>
      <c r="U2247" s="25"/>
      <c r="V2247" s="25"/>
      <c r="W2247" s="25"/>
      <c r="X2247" s="25"/>
      <c r="Y2247" s="25"/>
      <c r="Z2247" s="25"/>
      <c r="AA2247" s="25"/>
      <c r="AB2247" s="25"/>
      <c r="AC2247" s="25"/>
      <c r="AD2247" s="25"/>
      <c r="AE2247" s="25"/>
      <c r="AF2247" s="25"/>
      <c r="AG2247" s="25"/>
      <c r="AH2247" s="25"/>
      <c r="AI2247" s="26"/>
    </row>
    <row r="2248" spans="1:35" x14ac:dyDescent="0.25">
      <c r="A2248" s="3"/>
      <c r="B2248" s="4" t="s">
        <v>368</v>
      </c>
      <c r="C2248" s="5"/>
      <c r="D2248" s="5"/>
      <c r="E2248" s="5"/>
      <c r="F2248" s="5"/>
      <c r="G2248" s="5"/>
      <c r="H2248" s="5"/>
      <c r="I2248" s="5" t="str">
        <f>"0x"&amp;BIN2HEX(CONCATENATE(C2253,D2253,E2253,F2253,G2253,H2253,I2253,J2253),2)&amp;BIN2HEX(CONCATENATE(K2253,L2253,M2253,N2253,O2253,P2253,Q2253,R2253),2)&amp;BIN2HEX(CONCATENATE(S2253,T2253,U2253,V2253,W2253,X2253,Y2253,Z2253),2)&amp;BIN2HEX(CONCATENATE(AA2253,AB2253,AC2253,AD2253,AE2253,AF2253,AG2253,AH2253),2)&amp;"_"&amp;BIN2HEX(CONCATENATE(C2257,D2257,E2257,F2257,G2257,H2257,I2257,J2257),2)&amp;BIN2HEX(CONCATENATE(K2257,L2257,M2257,N2257,O2257,P2257,Q2257,R2257),2)&amp;BIN2HEX(CONCATENATE(S2257,T2257,U2257,V2257,W2257,X2257,Y2257,Z2257),2)&amp;BIN2HEX(CONCATENATE(AA2257,AB2257,AC2257,AD2257,AE2257,AF2257,AG2257,AH2257),2)</f>
        <v>0x00000000_00080724</v>
      </c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  <c r="AE2248" s="5"/>
      <c r="AF2248" s="5"/>
      <c r="AG2248" s="5"/>
      <c r="AH2248" s="5"/>
      <c r="AI2248" s="6"/>
    </row>
    <row r="2249" spans="1:35" ht="15.75" thickBot="1" x14ac:dyDescent="0.3">
      <c r="A2249" s="3"/>
      <c r="B2249" s="5"/>
      <c r="C2249" s="7">
        <v>0</v>
      </c>
      <c r="D2249" s="7">
        <v>1</v>
      </c>
      <c r="E2249" s="7">
        <v>2</v>
      </c>
      <c r="F2249" s="7">
        <v>3</v>
      </c>
      <c r="G2249" s="7">
        <v>4</v>
      </c>
      <c r="H2249" s="7">
        <v>5</v>
      </c>
      <c r="I2249" s="7">
        <v>6</v>
      </c>
      <c r="J2249" s="7">
        <v>7</v>
      </c>
      <c r="K2249" s="7">
        <v>8</v>
      </c>
      <c r="L2249" s="7">
        <v>9</v>
      </c>
      <c r="M2249" s="7">
        <v>10</v>
      </c>
      <c r="N2249" s="7">
        <v>11</v>
      </c>
      <c r="O2249" s="7">
        <v>12</v>
      </c>
      <c r="P2249" s="7">
        <v>13</v>
      </c>
      <c r="Q2249" s="7">
        <v>14</v>
      </c>
      <c r="R2249" s="7">
        <v>15</v>
      </c>
      <c r="S2249" s="7">
        <v>16</v>
      </c>
      <c r="T2249" s="7">
        <v>17</v>
      </c>
      <c r="U2249" s="7">
        <v>18</v>
      </c>
      <c r="V2249" s="7">
        <v>19</v>
      </c>
      <c r="W2249" s="7">
        <v>20</v>
      </c>
      <c r="X2249" s="7">
        <v>21</v>
      </c>
      <c r="Y2249" s="7">
        <v>22</v>
      </c>
      <c r="Z2249" s="7">
        <v>23</v>
      </c>
      <c r="AA2249" s="7">
        <v>24</v>
      </c>
      <c r="AB2249" s="7">
        <v>25</v>
      </c>
      <c r="AC2249" s="7">
        <v>26</v>
      </c>
      <c r="AD2249" s="7">
        <v>27</v>
      </c>
      <c r="AE2249" s="7">
        <v>28</v>
      </c>
      <c r="AF2249" s="7">
        <v>29</v>
      </c>
      <c r="AG2249" s="7">
        <v>30</v>
      </c>
      <c r="AH2249" s="7">
        <v>31</v>
      </c>
      <c r="AI2249" s="6"/>
    </row>
    <row r="2250" spans="1:35" x14ac:dyDescent="0.25">
      <c r="A2250" s="3"/>
      <c r="B2250" s="5" t="s">
        <v>31</v>
      </c>
      <c r="C2250" s="328" t="s">
        <v>161</v>
      </c>
      <c r="D2250" s="330" t="s">
        <v>63</v>
      </c>
      <c r="E2250" s="331"/>
      <c r="F2250" s="331"/>
      <c r="G2250" s="331"/>
      <c r="H2250" s="331"/>
      <c r="I2250" s="331"/>
      <c r="J2250" s="332"/>
      <c r="K2250" s="336">
        <v>0</v>
      </c>
      <c r="L2250" s="337"/>
      <c r="M2250" s="337"/>
      <c r="N2250" s="337"/>
      <c r="O2250" s="337"/>
      <c r="P2250" s="337"/>
      <c r="Q2250" s="337"/>
      <c r="R2250" s="337"/>
      <c r="S2250" s="337"/>
      <c r="T2250" s="337"/>
      <c r="U2250" s="337"/>
      <c r="V2250" s="337"/>
      <c r="W2250" s="337"/>
      <c r="X2250" s="337"/>
      <c r="Y2250" s="337"/>
      <c r="Z2250" s="337"/>
      <c r="AA2250" s="337"/>
      <c r="AB2250" s="337"/>
      <c r="AC2250" s="337"/>
      <c r="AD2250" s="337"/>
      <c r="AE2250" s="337"/>
      <c r="AF2250" s="337"/>
      <c r="AG2250" s="337"/>
      <c r="AH2250" s="338"/>
      <c r="AI2250" s="6"/>
    </row>
    <row r="2251" spans="1:35" x14ac:dyDescent="0.25">
      <c r="A2251" s="3"/>
      <c r="B2251" s="5" t="s">
        <v>32</v>
      </c>
      <c r="C2251" s="329"/>
      <c r="D2251" s="333"/>
      <c r="E2251" s="334"/>
      <c r="F2251" s="334"/>
      <c r="G2251" s="334"/>
      <c r="H2251" s="334"/>
      <c r="I2251" s="334"/>
      <c r="J2251" s="335"/>
      <c r="K2251" s="339"/>
      <c r="L2251" s="340"/>
      <c r="M2251" s="340"/>
      <c r="N2251" s="340"/>
      <c r="O2251" s="340"/>
      <c r="P2251" s="340"/>
      <c r="Q2251" s="340"/>
      <c r="R2251" s="340"/>
      <c r="S2251" s="340"/>
      <c r="T2251" s="340"/>
      <c r="U2251" s="340"/>
      <c r="V2251" s="340"/>
      <c r="W2251" s="340"/>
      <c r="X2251" s="340"/>
      <c r="Y2251" s="340"/>
      <c r="Z2251" s="340"/>
      <c r="AA2251" s="340"/>
      <c r="AB2251" s="340"/>
      <c r="AC2251" s="340"/>
      <c r="AD2251" s="340"/>
      <c r="AE2251" s="340"/>
      <c r="AF2251" s="340"/>
      <c r="AG2251" s="340"/>
      <c r="AH2251" s="341"/>
      <c r="AI2251" s="6"/>
    </row>
    <row r="2252" spans="1:35" x14ac:dyDescent="0.25">
      <c r="A2252" s="3"/>
      <c r="B2252" s="5" t="s">
        <v>11</v>
      </c>
      <c r="C2252" s="56">
        <v>0</v>
      </c>
      <c r="D2252" s="57">
        <v>0</v>
      </c>
      <c r="E2252" s="57">
        <v>0</v>
      </c>
      <c r="F2252" s="57">
        <v>0</v>
      </c>
      <c r="G2252" s="57">
        <v>0</v>
      </c>
      <c r="H2252" s="57">
        <v>0</v>
      </c>
      <c r="I2252" s="57">
        <v>0</v>
      </c>
      <c r="J2252" s="57">
        <v>0</v>
      </c>
      <c r="K2252" s="57">
        <v>0</v>
      </c>
      <c r="L2252" s="57">
        <v>0</v>
      </c>
      <c r="M2252" s="57">
        <v>0</v>
      </c>
      <c r="N2252" s="57">
        <v>0</v>
      </c>
      <c r="O2252" s="57">
        <v>0</v>
      </c>
      <c r="P2252" s="57">
        <v>0</v>
      </c>
      <c r="Q2252" s="57">
        <v>0</v>
      </c>
      <c r="R2252" s="57">
        <v>0</v>
      </c>
      <c r="S2252" s="57">
        <v>0</v>
      </c>
      <c r="T2252" s="57">
        <v>0</v>
      </c>
      <c r="U2252" s="57">
        <v>0</v>
      </c>
      <c r="V2252" s="57">
        <v>0</v>
      </c>
      <c r="W2252" s="57">
        <v>0</v>
      </c>
      <c r="X2252" s="57">
        <v>0</v>
      </c>
      <c r="Y2252" s="57">
        <v>0</v>
      </c>
      <c r="Z2252" s="57">
        <v>0</v>
      </c>
      <c r="AA2252" s="57">
        <v>0</v>
      </c>
      <c r="AB2252" s="57">
        <v>0</v>
      </c>
      <c r="AC2252" s="57">
        <v>0</v>
      </c>
      <c r="AD2252" s="57">
        <v>0</v>
      </c>
      <c r="AE2252" s="57">
        <v>0</v>
      </c>
      <c r="AF2252" s="57">
        <v>0</v>
      </c>
      <c r="AG2252" s="57">
        <v>0</v>
      </c>
      <c r="AH2252" s="58">
        <v>0</v>
      </c>
      <c r="AI2252" s="6"/>
    </row>
    <row r="2253" spans="1:35" ht="15.75" thickBot="1" x14ac:dyDescent="0.3">
      <c r="A2253" s="3"/>
      <c r="B2253" s="5" t="s">
        <v>12</v>
      </c>
      <c r="C2253" s="145">
        <v>0</v>
      </c>
      <c r="D2253" s="88">
        <v>0</v>
      </c>
      <c r="E2253" s="88">
        <v>0</v>
      </c>
      <c r="F2253" s="88">
        <v>0</v>
      </c>
      <c r="G2253" s="88">
        <v>0</v>
      </c>
      <c r="H2253" s="88">
        <v>0</v>
      </c>
      <c r="I2253" s="88">
        <v>0</v>
      </c>
      <c r="J2253" s="88">
        <v>0</v>
      </c>
      <c r="K2253" s="62">
        <v>0</v>
      </c>
      <c r="L2253" s="62">
        <v>0</v>
      </c>
      <c r="M2253" s="62">
        <v>0</v>
      </c>
      <c r="N2253" s="62">
        <v>0</v>
      </c>
      <c r="O2253" s="62">
        <v>0</v>
      </c>
      <c r="P2253" s="62">
        <v>0</v>
      </c>
      <c r="Q2253" s="62">
        <v>0</v>
      </c>
      <c r="R2253" s="62">
        <v>0</v>
      </c>
      <c r="S2253" s="62">
        <v>0</v>
      </c>
      <c r="T2253" s="62">
        <v>0</v>
      </c>
      <c r="U2253" s="62">
        <v>0</v>
      </c>
      <c r="V2253" s="62">
        <v>0</v>
      </c>
      <c r="W2253" s="62">
        <v>0</v>
      </c>
      <c r="X2253" s="62">
        <v>0</v>
      </c>
      <c r="Y2253" s="62">
        <v>0</v>
      </c>
      <c r="Z2253" s="62">
        <v>0</v>
      </c>
      <c r="AA2253" s="62">
        <v>0</v>
      </c>
      <c r="AB2253" s="62">
        <v>0</v>
      </c>
      <c r="AC2253" s="62">
        <v>0</v>
      </c>
      <c r="AD2253" s="62">
        <v>0</v>
      </c>
      <c r="AE2253" s="62">
        <v>0</v>
      </c>
      <c r="AF2253" s="62">
        <v>0</v>
      </c>
      <c r="AG2253" s="62">
        <v>0</v>
      </c>
      <c r="AH2253" s="146">
        <v>0</v>
      </c>
      <c r="AI2253" s="6"/>
    </row>
    <row r="2254" spans="1:35" x14ac:dyDescent="0.25">
      <c r="A2254" s="3"/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5"/>
      <c r="AI2254" s="6"/>
    </row>
    <row r="2255" spans="1:35" ht="15.75" thickBot="1" x14ac:dyDescent="0.3">
      <c r="A2255" s="3"/>
      <c r="B2255" s="5"/>
      <c r="C2255" s="7">
        <v>32</v>
      </c>
      <c r="D2255" s="7">
        <v>33</v>
      </c>
      <c r="E2255" s="7">
        <v>34</v>
      </c>
      <c r="F2255" s="7">
        <v>35</v>
      </c>
      <c r="G2255" s="7">
        <v>36</v>
      </c>
      <c r="H2255" s="7">
        <v>37</v>
      </c>
      <c r="I2255" s="7">
        <v>38</v>
      </c>
      <c r="J2255" s="7">
        <v>39</v>
      </c>
      <c r="K2255" s="7">
        <v>40</v>
      </c>
      <c r="L2255" s="7">
        <v>41</v>
      </c>
      <c r="M2255" s="7">
        <v>42</v>
      </c>
      <c r="N2255" s="7">
        <v>43</v>
      </c>
      <c r="O2255" s="7">
        <v>44</v>
      </c>
      <c r="P2255" s="7">
        <v>45</v>
      </c>
      <c r="Q2255" s="7">
        <v>46</v>
      </c>
      <c r="R2255" s="7">
        <v>47</v>
      </c>
      <c r="S2255" s="7">
        <v>48</v>
      </c>
      <c r="T2255" s="7">
        <v>49</v>
      </c>
      <c r="U2255" s="7">
        <v>50</v>
      </c>
      <c r="V2255" s="7">
        <v>51</v>
      </c>
      <c r="W2255" s="7">
        <v>52</v>
      </c>
      <c r="X2255" s="7">
        <v>53</v>
      </c>
      <c r="Y2255" s="7">
        <v>54</v>
      </c>
      <c r="Z2255" s="7">
        <v>55</v>
      </c>
      <c r="AA2255" s="7">
        <v>56</v>
      </c>
      <c r="AB2255" s="7">
        <v>57</v>
      </c>
      <c r="AC2255" s="7">
        <v>58</v>
      </c>
      <c r="AD2255" s="7">
        <v>59</v>
      </c>
      <c r="AE2255" s="7">
        <v>60</v>
      </c>
      <c r="AF2255" s="7">
        <v>61</v>
      </c>
      <c r="AG2255" s="7">
        <v>62</v>
      </c>
      <c r="AH2255" s="7">
        <v>63</v>
      </c>
      <c r="AI2255" s="6"/>
    </row>
    <row r="2256" spans="1:35" ht="15.75" thickBot="1" x14ac:dyDescent="0.3">
      <c r="A2256" s="3"/>
      <c r="B2256" s="5"/>
      <c r="C2256" s="147" t="s">
        <v>13</v>
      </c>
      <c r="D2256" s="148" t="s">
        <v>14</v>
      </c>
      <c r="E2256" s="148" t="s">
        <v>15</v>
      </c>
      <c r="F2256" s="148" t="s">
        <v>16</v>
      </c>
      <c r="G2256" s="148" t="s">
        <v>17</v>
      </c>
      <c r="H2256" s="148" t="s">
        <v>18</v>
      </c>
      <c r="I2256" s="148" t="s">
        <v>19</v>
      </c>
      <c r="J2256" s="148" t="s">
        <v>20</v>
      </c>
      <c r="K2256" s="148" t="s">
        <v>21</v>
      </c>
      <c r="L2256" s="148" t="s">
        <v>22</v>
      </c>
      <c r="M2256" s="148" t="s">
        <v>23</v>
      </c>
      <c r="N2256" s="148" t="s">
        <v>24</v>
      </c>
      <c r="O2256" s="148" t="s">
        <v>25</v>
      </c>
      <c r="P2256" s="148" t="s">
        <v>26</v>
      </c>
      <c r="Q2256" s="148" t="s">
        <v>27</v>
      </c>
      <c r="R2256" s="342" t="s">
        <v>30</v>
      </c>
      <c r="S2256" s="343"/>
      <c r="T2256" s="343"/>
      <c r="U2256" s="343"/>
      <c r="V2256" s="343"/>
      <c r="W2256" s="343"/>
      <c r="X2256" s="343"/>
      <c r="Y2256" s="343"/>
      <c r="Z2256" s="343"/>
      <c r="AA2256" s="343"/>
      <c r="AB2256" s="343"/>
      <c r="AC2256" s="343"/>
      <c r="AD2256" s="343"/>
      <c r="AE2256" s="343"/>
      <c r="AF2256" s="344"/>
      <c r="AG2256" s="67" t="s">
        <v>28</v>
      </c>
      <c r="AH2256" s="149" t="s">
        <v>29</v>
      </c>
      <c r="AI2256" s="6"/>
    </row>
    <row r="2257" spans="1:35" ht="15.75" thickBot="1" x14ac:dyDescent="0.3">
      <c r="A2257" s="3"/>
      <c r="B2257" s="5"/>
      <c r="C2257" s="150">
        <v>0</v>
      </c>
      <c r="D2257" s="151">
        <v>0</v>
      </c>
      <c r="E2257" s="151">
        <v>0</v>
      </c>
      <c r="F2257" s="151">
        <v>0</v>
      </c>
      <c r="G2257" s="151">
        <v>0</v>
      </c>
      <c r="H2257" s="151">
        <v>0</v>
      </c>
      <c r="I2257" s="151">
        <v>0</v>
      </c>
      <c r="J2257" s="151">
        <v>0</v>
      </c>
      <c r="K2257" s="151">
        <v>0</v>
      </c>
      <c r="L2257" s="151">
        <v>0</v>
      </c>
      <c r="M2257" s="151">
        <v>0</v>
      </c>
      <c r="N2257" s="151">
        <v>0</v>
      </c>
      <c r="O2257" s="151">
        <v>1</v>
      </c>
      <c r="P2257" s="151">
        <v>0</v>
      </c>
      <c r="Q2257" s="151">
        <v>0</v>
      </c>
      <c r="R2257" s="151">
        <v>0</v>
      </c>
      <c r="S2257" s="151">
        <v>0</v>
      </c>
      <c r="T2257" s="151">
        <v>0</v>
      </c>
      <c r="U2257" s="151">
        <v>0</v>
      </c>
      <c r="V2257" s="151">
        <v>0</v>
      </c>
      <c r="W2257" s="151">
        <v>0</v>
      </c>
      <c r="X2257" s="151">
        <v>1</v>
      </c>
      <c r="Y2257" s="151">
        <v>1</v>
      </c>
      <c r="Z2257" s="151">
        <v>1</v>
      </c>
      <c r="AA2257" s="151">
        <v>0</v>
      </c>
      <c r="AB2257" s="151">
        <v>0</v>
      </c>
      <c r="AC2257" s="151">
        <v>1</v>
      </c>
      <c r="AD2257" s="151">
        <v>0</v>
      </c>
      <c r="AE2257" s="151">
        <v>0</v>
      </c>
      <c r="AF2257" s="151">
        <v>1</v>
      </c>
      <c r="AG2257" s="151">
        <v>0</v>
      </c>
      <c r="AH2257" s="152">
        <v>0</v>
      </c>
      <c r="AI2257" s="6"/>
    </row>
    <row r="2258" spans="1:35" x14ac:dyDescent="0.25">
      <c r="A2258" s="3"/>
      <c r="B2258" s="4"/>
      <c r="C2258" s="5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  <c r="AE2258" s="5"/>
      <c r="AF2258" s="5"/>
      <c r="AG2258" s="5"/>
      <c r="AH2258" s="5"/>
      <c r="AI2258" s="6"/>
    </row>
    <row r="2259" spans="1:35" x14ac:dyDescent="0.25">
      <c r="A2259" s="3"/>
      <c r="B2259" s="8" t="s">
        <v>43</v>
      </c>
      <c r="C2259" s="9"/>
      <c r="D2259" s="9"/>
      <c r="E2259" s="9"/>
      <c r="F2259" s="225" t="s">
        <v>44</v>
      </c>
      <c r="G2259" s="225"/>
      <c r="H2259" s="225"/>
      <c r="I2259" s="9"/>
      <c r="J2259" s="226" t="s">
        <v>45</v>
      </c>
      <c r="K2259" s="226"/>
      <c r="L2259" s="226"/>
      <c r="M2259" s="226"/>
      <c r="N2259" s="9"/>
      <c r="O2259" s="227" t="s">
        <v>46</v>
      </c>
      <c r="P2259" s="227"/>
      <c r="Q2259" s="227"/>
      <c r="R2259" s="227"/>
      <c r="S2259" s="9"/>
      <c r="T2259" s="1" t="s">
        <v>49</v>
      </c>
      <c r="U2259" s="10" t="s">
        <v>48</v>
      </c>
      <c r="V2259" s="5"/>
      <c r="W2259" s="9"/>
      <c r="X2259" s="9"/>
      <c r="Y2259" s="9"/>
      <c r="Z2259" s="9"/>
      <c r="AA2259" s="9"/>
      <c r="AB2259" s="9"/>
      <c r="AC2259" s="9"/>
      <c r="AD2259" s="9"/>
      <c r="AE2259" s="9"/>
      <c r="AF2259" s="9"/>
      <c r="AG2259" s="9"/>
      <c r="AH2259" s="9"/>
      <c r="AI2259" s="6"/>
    </row>
    <row r="2260" spans="1:35" x14ac:dyDescent="0.25">
      <c r="A2260" s="3"/>
      <c r="B2260" s="221" t="str">
        <f>"0x"&amp;DEC2HEX(Sheet3!$I$4,8)</f>
        <v>0x00400320</v>
      </c>
      <c r="C2260" s="221"/>
      <c r="D2260" s="221"/>
      <c r="E2260" s="12"/>
      <c r="F2260" s="319" t="str">
        <f>"0x"&amp;BIN2HEX(CONCATENATE(C2253,D2253,E2253,F2253,G2253,H2253,I2253,J2253),2)&amp;BIN2HEX(CONCATENATE(K2253,L2253,M2253,N2253,O2253,P2253,Q2253,R2253),2)&amp;BIN2HEX(CONCATENATE(S2253,T2253,U2253,V2253,W2253,X2253,Y2253,Z2253),2)&amp;BIN2HEX(CONCATENATE(AA2253,AB2253,AC2253,AD2253,AE2253,AF2253,AG2253,AH2253),2)</f>
        <v>0x00000000</v>
      </c>
      <c r="G2260" s="319"/>
      <c r="H2260" s="319"/>
      <c r="I2260" s="12"/>
      <c r="J2260" s="319" t="str">
        <f>"0b"&amp;C2257&amp;D2257&amp;E2257&amp;F2257&amp;G2257&amp;H2257&amp;I2257&amp;J2257&amp;K2257&amp;L2257&amp;M2257&amp;N2257&amp;O2257&amp;P2257&amp;Q2257</f>
        <v>0b000000000000100</v>
      </c>
      <c r="K2260" s="319"/>
      <c r="L2260" s="319"/>
      <c r="M2260" s="319"/>
      <c r="N2260" s="12"/>
      <c r="O2260" s="319" t="str">
        <f>"0b"&amp;DEC2BIN(((AF2257+AE2257*2+AD2257*4+AC2257*8+AB2257*16+AA2257*32+Z2257*64+Y2257*128+X2257*256+W2257*512+V2257*1024+U2257*2048+T2257*4096+S2257*2^13+R2257*2^14)/512),6)&amp;DEC2BIN(MOD((AF2257+AE2257*2+AD2257*4+AC2257*8+AB2257*16+AA2257*32+Z2257*64+Y2257*128+X2257*256+W2257*512+V2257*1024+U2257*2048+T2257*4096+S2257*2^13+R2257*2^14),512),9)</f>
        <v>0b000000111001001</v>
      </c>
      <c r="P2260" s="319"/>
      <c r="Q2260" s="319"/>
      <c r="R2260" s="319"/>
      <c r="S2260" s="12"/>
      <c r="T2260" s="224">
        <v>0</v>
      </c>
      <c r="U2260" s="224">
        <f>AH2257</f>
        <v>0</v>
      </c>
      <c r="V2260" s="5"/>
      <c r="W2260" s="14"/>
      <c r="X2260" s="14"/>
      <c r="Y2260" s="14"/>
      <c r="Z2260" s="14"/>
      <c r="AA2260" s="14"/>
      <c r="AB2260" s="14"/>
      <c r="AC2260" s="14"/>
      <c r="AD2260" s="14"/>
      <c r="AE2260" s="14"/>
      <c r="AF2260" s="14"/>
      <c r="AG2260" s="14"/>
      <c r="AH2260" s="14"/>
      <c r="AI2260" s="6"/>
    </row>
    <row r="2261" spans="1:35" x14ac:dyDescent="0.25">
      <c r="A2261" s="3"/>
      <c r="B2261" s="221"/>
      <c r="C2261" s="221"/>
      <c r="D2261" s="221"/>
      <c r="E2261" s="15"/>
      <c r="F2261" s="222"/>
      <c r="G2261" s="222"/>
      <c r="H2261" s="222"/>
      <c r="I2261" s="15"/>
      <c r="J2261" s="221"/>
      <c r="K2261" s="221"/>
      <c r="L2261" s="221"/>
      <c r="M2261" s="221"/>
      <c r="N2261" s="15"/>
      <c r="O2261" s="221"/>
      <c r="P2261" s="221"/>
      <c r="Q2261" s="221"/>
      <c r="R2261" s="221"/>
      <c r="S2261" s="15"/>
      <c r="T2261" s="224"/>
      <c r="U2261" s="15"/>
      <c r="V2261" s="5"/>
      <c r="W2261" s="16"/>
      <c r="X2261" s="16"/>
      <c r="Y2261" s="16"/>
      <c r="Z2261" s="16"/>
      <c r="AA2261" s="16"/>
      <c r="AB2261" s="16"/>
      <c r="AC2261" s="16"/>
      <c r="AD2261" s="16"/>
      <c r="AE2261" s="16"/>
      <c r="AF2261" s="16"/>
      <c r="AG2261" s="16"/>
      <c r="AH2261" s="16"/>
      <c r="AI2261" s="6"/>
    </row>
    <row r="2262" spans="1:35" x14ac:dyDescent="0.25">
      <c r="A2262" s="3"/>
      <c r="B2262" s="221"/>
      <c r="C2262" s="221"/>
      <c r="D2262" s="221"/>
      <c r="E2262" s="15"/>
      <c r="F2262" s="222"/>
      <c r="G2262" s="222"/>
      <c r="H2262" s="222"/>
      <c r="I2262" s="15"/>
      <c r="J2262" s="221"/>
      <c r="K2262" s="221"/>
      <c r="L2262" s="221"/>
      <c r="M2262" s="221"/>
      <c r="N2262" s="15"/>
      <c r="O2262" s="221"/>
      <c r="P2262" s="221"/>
      <c r="Q2262" s="221"/>
      <c r="R2262" s="221"/>
      <c r="S2262" s="15"/>
      <c r="T2262" s="224"/>
      <c r="U2262" s="15"/>
      <c r="V2262" s="5"/>
      <c r="W2262" s="16"/>
      <c r="X2262" s="16"/>
      <c r="Y2262" s="16"/>
      <c r="Z2262" s="16"/>
      <c r="AA2262" s="16"/>
      <c r="AB2262" s="16"/>
      <c r="AC2262" s="16"/>
      <c r="AD2262" s="16"/>
      <c r="AE2262" s="16"/>
      <c r="AF2262" s="16"/>
      <c r="AG2262" s="16"/>
      <c r="AH2262" s="16"/>
      <c r="AI2262" s="6"/>
    </row>
    <row r="2263" spans="1:35" x14ac:dyDescent="0.25">
      <c r="A2263" s="3"/>
      <c r="B2263" s="5"/>
      <c r="C2263" s="5"/>
      <c r="D2263" s="5"/>
      <c r="E2263" s="5"/>
      <c r="F2263" s="17"/>
      <c r="G2263" s="17"/>
      <c r="H2263" s="17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  <c r="AE2263" s="5"/>
      <c r="AF2263" s="5"/>
      <c r="AG2263" s="5"/>
      <c r="AH2263" s="5"/>
      <c r="AI2263" s="6"/>
    </row>
    <row r="2264" spans="1:35" x14ac:dyDescent="0.25">
      <c r="A2264" s="3"/>
      <c r="B2264" s="5" t="s">
        <v>47</v>
      </c>
      <c r="C2264" s="18"/>
      <c r="D2264" s="18"/>
      <c r="E2264" s="18"/>
      <c r="F2264" s="5"/>
      <c r="G2264" s="5"/>
      <c r="H2264" s="5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  <c r="AB2264" s="18"/>
      <c r="AC2264" s="18"/>
      <c r="AD2264" s="18"/>
      <c r="AE2264" s="18"/>
      <c r="AF2264" s="18"/>
      <c r="AG2264" s="18"/>
      <c r="AH2264" s="18"/>
      <c r="AI2264" s="6"/>
    </row>
    <row r="2265" spans="1:35" x14ac:dyDescent="0.25">
      <c r="A2265" s="3"/>
      <c r="B2265" s="221" t="str">
        <f>"0x"&amp;DEC2HEX(Sheet3!$I$4,8)</f>
        <v>0x00400320</v>
      </c>
      <c r="C2265" s="221"/>
      <c r="D2265" s="221"/>
      <c r="E2265" s="16"/>
      <c r="F2265" s="322" t="str">
        <f>F2260&amp;BIN2HEX(MID(J2260,3,8),2)&amp;BIN2HEX(RIGHT(J2260,7)&amp;MID(O2260,3,1),2)&amp;BIN2HEX(MID(O2260,4,8),2)&amp;BIN2HEX(RIGHT(O2260,6)&amp;T2260&amp;U2260,2)</f>
        <v>0x0000000000080724</v>
      </c>
      <c r="G2265" s="322"/>
      <c r="H2265" s="322"/>
      <c r="I2265" s="322"/>
      <c r="J2265" s="5"/>
      <c r="K2265" s="5"/>
      <c r="L2265" s="5"/>
      <c r="M2265" s="5"/>
      <c r="N2265" s="5"/>
      <c r="O2265" s="5"/>
      <c r="P2265" s="16"/>
      <c r="Q2265" s="16"/>
      <c r="R2265" s="19"/>
      <c r="S2265" s="19"/>
      <c r="T2265" s="19"/>
      <c r="U2265" s="19"/>
      <c r="V2265" s="19"/>
      <c r="W2265" s="19"/>
      <c r="X2265" s="19"/>
      <c r="Y2265" s="19"/>
      <c r="Z2265" s="19"/>
      <c r="AA2265" s="19"/>
      <c r="AB2265" s="19"/>
      <c r="AC2265" s="19"/>
      <c r="AD2265" s="19"/>
      <c r="AE2265" s="19"/>
      <c r="AF2265" s="19"/>
      <c r="AG2265" s="5"/>
      <c r="AH2265" s="5"/>
      <c r="AI2265" s="6"/>
    </row>
    <row r="2266" spans="1:35" x14ac:dyDescent="0.25">
      <c r="A2266" s="3"/>
      <c r="B2266" s="221"/>
      <c r="C2266" s="221"/>
      <c r="D2266" s="221"/>
      <c r="E2266" s="5"/>
      <c r="F2266" s="223"/>
      <c r="G2266" s="223"/>
      <c r="H2266" s="223"/>
      <c r="I2266" s="223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  <c r="AE2266" s="5"/>
      <c r="AF2266" s="5"/>
      <c r="AG2266" s="5"/>
      <c r="AH2266" s="5"/>
      <c r="AI2266" s="6"/>
    </row>
    <row r="2267" spans="1:35" x14ac:dyDescent="0.25">
      <c r="A2267" s="3"/>
      <c r="B2267" s="221"/>
      <c r="C2267" s="221"/>
      <c r="D2267" s="221"/>
      <c r="E2267" s="5"/>
      <c r="F2267" s="223"/>
      <c r="G2267" s="223"/>
      <c r="H2267" s="223"/>
      <c r="I2267" s="223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/>
      <c r="AD2267" s="5"/>
      <c r="AE2267" s="5"/>
      <c r="AF2267" s="5"/>
      <c r="AG2267" s="5"/>
      <c r="AH2267" s="5"/>
      <c r="AI2267" s="6"/>
    </row>
    <row r="2268" spans="1:35" x14ac:dyDescent="0.25">
      <c r="A2268" s="20"/>
      <c r="B2268" s="21"/>
      <c r="C2268" s="21"/>
      <c r="D2268" s="21"/>
      <c r="E2268" s="21"/>
      <c r="F2268" s="21"/>
      <c r="G2268" s="21"/>
      <c r="H2268" s="21"/>
      <c r="I2268" s="21"/>
      <c r="J2268" s="21"/>
      <c r="K2268" s="21"/>
      <c r="L2268" s="21"/>
      <c r="M2268" s="21"/>
      <c r="N2268" s="21"/>
      <c r="O2268" s="22"/>
      <c r="P2268" s="21"/>
      <c r="Q2268" s="21"/>
      <c r="R2268" s="21"/>
      <c r="S2268" s="21"/>
      <c r="T2268" s="21"/>
      <c r="U2268" s="21"/>
      <c r="V2268" s="21"/>
      <c r="W2268" s="21"/>
      <c r="X2268" s="21"/>
      <c r="Y2268" s="21"/>
      <c r="Z2268" s="21"/>
      <c r="AA2268" s="21"/>
      <c r="AB2268" s="21"/>
      <c r="AC2268" s="21"/>
      <c r="AD2268" s="21"/>
      <c r="AE2268" s="21"/>
      <c r="AF2268" s="21"/>
      <c r="AG2268" s="21"/>
      <c r="AH2268" s="21"/>
      <c r="AI2268" s="23"/>
    </row>
    <row r="2269" spans="1:35" x14ac:dyDescent="0.25">
      <c r="A2269" s="24"/>
      <c r="B2269" s="28"/>
      <c r="C2269" s="25"/>
      <c r="D2269" s="25"/>
      <c r="E2269" s="25"/>
      <c r="F2269" s="25"/>
      <c r="G2269" s="25"/>
      <c r="H2269" s="25"/>
      <c r="I2269" s="25"/>
      <c r="J2269" s="25"/>
      <c r="K2269" s="25"/>
      <c r="L2269" s="25"/>
      <c r="M2269" s="25"/>
      <c r="N2269" s="25"/>
      <c r="O2269" s="25"/>
      <c r="P2269" s="25"/>
      <c r="Q2269" s="25"/>
      <c r="R2269" s="25"/>
      <c r="S2269" s="25"/>
      <c r="T2269" s="25"/>
      <c r="U2269" s="25"/>
      <c r="V2269" s="25"/>
      <c r="W2269" s="25"/>
      <c r="X2269" s="25"/>
      <c r="Y2269" s="25"/>
      <c r="Z2269" s="25"/>
      <c r="AA2269" s="25"/>
      <c r="AB2269" s="25"/>
      <c r="AC2269" s="25"/>
      <c r="AD2269" s="25"/>
      <c r="AE2269" s="25"/>
      <c r="AF2269" s="25"/>
      <c r="AG2269" s="25"/>
      <c r="AH2269" s="25"/>
      <c r="AI2269" s="26"/>
    </row>
    <row r="2270" spans="1:35" x14ac:dyDescent="0.25">
      <c r="A2270" s="3"/>
      <c r="B2270" s="4" t="s">
        <v>369</v>
      </c>
      <c r="C2270" s="5"/>
      <c r="D2270" s="5"/>
      <c r="E2270" s="5"/>
      <c r="F2270" s="5"/>
      <c r="G2270" s="5"/>
      <c r="H2270" s="5"/>
      <c r="I2270" s="5" t="str">
        <f>"0x"&amp;BIN2HEX(CONCATENATE(C2275,D2275,E2275,F2275,G2275,H2275,I2275,J2275),2)&amp;BIN2HEX(CONCATENATE(K2275,L2275,M2275,N2275,O2275,P2275,Q2275,R2275),2)&amp;BIN2HEX(CONCATENATE(S2275,T2275,U2275,V2275,W2275,X2275,Y2275,Z2275),2)&amp;BIN2HEX(CONCATENATE(AA2275,AB2275,AC2275,AD2275,AE2275,AF2275,AG2275,AH2275),2)&amp;"_"&amp;BIN2HEX(CONCATENATE(C2279,D2279,E2279,F2279,G2279,H2279,I2279,J2279),2)&amp;BIN2HEX(CONCATENATE(K2279,L2279,M2279,N2279,O2279,P2279,Q2279,R2279),2)&amp;BIN2HEX(CONCATENATE(S2279,T2279,U2279,V2279,W2279,X2279,Y2279,Z2279),2)&amp;BIN2HEX(CONCATENATE(AA2279,AB2279,AC2279,AD2279,AE2279,AF2279,AG2279,AH2279),2)</f>
        <v>0x00000000_00080728</v>
      </c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/>
      <c r="AD2270" s="5"/>
      <c r="AE2270" s="5"/>
      <c r="AF2270" s="5"/>
      <c r="AG2270" s="5"/>
      <c r="AH2270" s="5"/>
      <c r="AI2270" s="6"/>
    </row>
    <row r="2271" spans="1:35" ht="15.75" thickBot="1" x14ac:dyDescent="0.3">
      <c r="A2271" s="3"/>
      <c r="B2271" s="5"/>
      <c r="C2271" s="7">
        <v>0</v>
      </c>
      <c r="D2271" s="7">
        <v>1</v>
      </c>
      <c r="E2271" s="7">
        <v>2</v>
      </c>
      <c r="F2271" s="7">
        <v>3</v>
      </c>
      <c r="G2271" s="7">
        <v>4</v>
      </c>
      <c r="H2271" s="7">
        <v>5</v>
      </c>
      <c r="I2271" s="7">
        <v>6</v>
      </c>
      <c r="J2271" s="7">
        <v>7</v>
      </c>
      <c r="K2271" s="7">
        <v>8</v>
      </c>
      <c r="L2271" s="7">
        <v>9</v>
      </c>
      <c r="M2271" s="7">
        <v>10</v>
      </c>
      <c r="N2271" s="7">
        <v>11</v>
      </c>
      <c r="O2271" s="7">
        <v>12</v>
      </c>
      <c r="P2271" s="7">
        <v>13</v>
      </c>
      <c r="Q2271" s="7">
        <v>14</v>
      </c>
      <c r="R2271" s="7">
        <v>15</v>
      </c>
      <c r="S2271" s="7">
        <v>16</v>
      </c>
      <c r="T2271" s="7">
        <v>17</v>
      </c>
      <c r="U2271" s="7">
        <v>18</v>
      </c>
      <c r="V2271" s="7">
        <v>19</v>
      </c>
      <c r="W2271" s="7">
        <v>20</v>
      </c>
      <c r="X2271" s="7">
        <v>21</v>
      </c>
      <c r="Y2271" s="7">
        <v>22</v>
      </c>
      <c r="Z2271" s="7">
        <v>23</v>
      </c>
      <c r="AA2271" s="7">
        <v>24</v>
      </c>
      <c r="AB2271" s="7">
        <v>25</v>
      </c>
      <c r="AC2271" s="7">
        <v>26</v>
      </c>
      <c r="AD2271" s="7">
        <v>27</v>
      </c>
      <c r="AE2271" s="7">
        <v>28</v>
      </c>
      <c r="AF2271" s="7">
        <v>29</v>
      </c>
      <c r="AG2271" s="7">
        <v>30</v>
      </c>
      <c r="AH2271" s="7">
        <v>31</v>
      </c>
      <c r="AI2271" s="6"/>
    </row>
    <row r="2272" spans="1:35" x14ac:dyDescent="0.25">
      <c r="A2272" s="3"/>
      <c r="B2272" s="5" t="s">
        <v>31</v>
      </c>
      <c r="C2272" s="328" t="s">
        <v>161</v>
      </c>
      <c r="D2272" s="330" t="s">
        <v>63</v>
      </c>
      <c r="E2272" s="331"/>
      <c r="F2272" s="331"/>
      <c r="G2272" s="331"/>
      <c r="H2272" s="331"/>
      <c r="I2272" s="331"/>
      <c r="J2272" s="332"/>
      <c r="K2272" s="336">
        <v>0</v>
      </c>
      <c r="L2272" s="337"/>
      <c r="M2272" s="337"/>
      <c r="N2272" s="337"/>
      <c r="O2272" s="337"/>
      <c r="P2272" s="337"/>
      <c r="Q2272" s="337"/>
      <c r="R2272" s="337"/>
      <c r="S2272" s="337"/>
      <c r="T2272" s="337"/>
      <c r="U2272" s="337"/>
      <c r="V2272" s="337"/>
      <c r="W2272" s="337"/>
      <c r="X2272" s="337"/>
      <c r="Y2272" s="337"/>
      <c r="Z2272" s="337"/>
      <c r="AA2272" s="337"/>
      <c r="AB2272" s="337"/>
      <c r="AC2272" s="337"/>
      <c r="AD2272" s="337"/>
      <c r="AE2272" s="337"/>
      <c r="AF2272" s="337"/>
      <c r="AG2272" s="337"/>
      <c r="AH2272" s="338"/>
      <c r="AI2272" s="6"/>
    </row>
    <row r="2273" spans="1:35" x14ac:dyDescent="0.25">
      <c r="A2273" s="3"/>
      <c r="B2273" s="5" t="s">
        <v>32</v>
      </c>
      <c r="C2273" s="329"/>
      <c r="D2273" s="333"/>
      <c r="E2273" s="334"/>
      <c r="F2273" s="334"/>
      <c r="G2273" s="334"/>
      <c r="H2273" s="334"/>
      <c r="I2273" s="334"/>
      <c r="J2273" s="335"/>
      <c r="K2273" s="339"/>
      <c r="L2273" s="340"/>
      <c r="M2273" s="340"/>
      <c r="N2273" s="340"/>
      <c r="O2273" s="340"/>
      <c r="P2273" s="340"/>
      <c r="Q2273" s="340"/>
      <c r="R2273" s="340"/>
      <c r="S2273" s="340"/>
      <c r="T2273" s="340"/>
      <c r="U2273" s="340"/>
      <c r="V2273" s="340"/>
      <c r="W2273" s="340"/>
      <c r="X2273" s="340"/>
      <c r="Y2273" s="340"/>
      <c r="Z2273" s="340"/>
      <c r="AA2273" s="340"/>
      <c r="AB2273" s="340"/>
      <c r="AC2273" s="340"/>
      <c r="AD2273" s="340"/>
      <c r="AE2273" s="340"/>
      <c r="AF2273" s="340"/>
      <c r="AG2273" s="340"/>
      <c r="AH2273" s="341"/>
      <c r="AI2273" s="6"/>
    </row>
    <row r="2274" spans="1:35" x14ac:dyDescent="0.25">
      <c r="A2274" s="3"/>
      <c r="B2274" s="5" t="s">
        <v>11</v>
      </c>
      <c r="C2274" s="56">
        <v>0</v>
      </c>
      <c r="D2274" s="57">
        <v>0</v>
      </c>
      <c r="E2274" s="57">
        <v>0</v>
      </c>
      <c r="F2274" s="57">
        <v>0</v>
      </c>
      <c r="G2274" s="57">
        <v>0</v>
      </c>
      <c r="H2274" s="57">
        <v>0</v>
      </c>
      <c r="I2274" s="57">
        <v>0</v>
      </c>
      <c r="J2274" s="57">
        <v>0</v>
      </c>
      <c r="K2274" s="57">
        <v>0</v>
      </c>
      <c r="L2274" s="57">
        <v>0</v>
      </c>
      <c r="M2274" s="57">
        <v>0</v>
      </c>
      <c r="N2274" s="57">
        <v>0</v>
      </c>
      <c r="O2274" s="57">
        <v>0</v>
      </c>
      <c r="P2274" s="57">
        <v>0</v>
      </c>
      <c r="Q2274" s="57">
        <v>0</v>
      </c>
      <c r="R2274" s="57">
        <v>0</v>
      </c>
      <c r="S2274" s="57">
        <v>0</v>
      </c>
      <c r="T2274" s="57">
        <v>0</v>
      </c>
      <c r="U2274" s="57">
        <v>0</v>
      </c>
      <c r="V2274" s="57">
        <v>0</v>
      </c>
      <c r="W2274" s="57">
        <v>0</v>
      </c>
      <c r="X2274" s="57">
        <v>0</v>
      </c>
      <c r="Y2274" s="57">
        <v>0</v>
      </c>
      <c r="Z2274" s="57">
        <v>0</v>
      </c>
      <c r="AA2274" s="57">
        <v>0</v>
      </c>
      <c r="AB2274" s="57">
        <v>0</v>
      </c>
      <c r="AC2274" s="57">
        <v>0</v>
      </c>
      <c r="AD2274" s="57">
        <v>0</v>
      </c>
      <c r="AE2274" s="57">
        <v>0</v>
      </c>
      <c r="AF2274" s="57">
        <v>0</v>
      </c>
      <c r="AG2274" s="57">
        <v>0</v>
      </c>
      <c r="AH2274" s="58">
        <v>0</v>
      </c>
      <c r="AI2274" s="6"/>
    </row>
    <row r="2275" spans="1:35" ht="15.75" thickBot="1" x14ac:dyDescent="0.3">
      <c r="A2275" s="3"/>
      <c r="B2275" s="5" t="s">
        <v>12</v>
      </c>
      <c r="C2275" s="145">
        <v>0</v>
      </c>
      <c r="D2275" s="88">
        <v>0</v>
      </c>
      <c r="E2275" s="88">
        <v>0</v>
      </c>
      <c r="F2275" s="88">
        <v>0</v>
      </c>
      <c r="G2275" s="88">
        <v>0</v>
      </c>
      <c r="H2275" s="88">
        <v>0</v>
      </c>
      <c r="I2275" s="88">
        <v>0</v>
      </c>
      <c r="J2275" s="88">
        <v>0</v>
      </c>
      <c r="K2275" s="62">
        <v>0</v>
      </c>
      <c r="L2275" s="62">
        <v>0</v>
      </c>
      <c r="M2275" s="62">
        <v>0</v>
      </c>
      <c r="N2275" s="62">
        <v>0</v>
      </c>
      <c r="O2275" s="62">
        <v>0</v>
      </c>
      <c r="P2275" s="62">
        <v>0</v>
      </c>
      <c r="Q2275" s="62">
        <v>0</v>
      </c>
      <c r="R2275" s="62">
        <v>0</v>
      </c>
      <c r="S2275" s="62">
        <v>0</v>
      </c>
      <c r="T2275" s="62">
        <v>0</v>
      </c>
      <c r="U2275" s="62">
        <v>0</v>
      </c>
      <c r="V2275" s="62">
        <v>0</v>
      </c>
      <c r="W2275" s="62">
        <v>0</v>
      </c>
      <c r="X2275" s="62">
        <v>0</v>
      </c>
      <c r="Y2275" s="62">
        <v>0</v>
      </c>
      <c r="Z2275" s="62">
        <v>0</v>
      </c>
      <c r="AA2275" s="62">
        <v>0</v>
      </c>
      <c r="AB2275" s="62">
        <v>0</v>
      </c>
      <c r="AC2275" s="62">
        <v>0</v>
      </c>
      <c r="AD2275" s="62">
        <v>0</v>
      </c>
      <c r="AE2275" s="62">
        <v>0</v>
      </c>
      <c r="AF2275" s="62">
        <v>0</v>
      </c>
      <c r="AG2275" s="62">
        <v>0</v>
      </c>
      <c r="AH2275" s="146">
        <v>0</v>
      </c>
      <c r="AI2275" s="6"/>
    </row>
    <row r="2276" spans="1:35" x14ac:dyDescent="0.25">
      <c r="A2276" s="3"/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/>
      <c r="AD2276" s="5"/>
      <c r="AE2276" s="5"/>
      <c r="AF2276" s="5"/>
      <c r="AG2276" s="5"/>
      <c r="AH2276" s="5"/>
      <c r="AI2276" s="6"/>
    </row>
    <row r="2277" spans="1:35" ht="15.75" thickBot="1" x14ac:dyDescent="0.3">
      <c r="A2277" s="3"/>
      <c r="B2277" s="5"/>
      <c r="C2277" s="7">
        <v>32</v>
      </c>
      <c r="D2277" s="7">
        <v>33</v>
      </c>
      <c r="E2277" s="7">
        <v>34</v>
      </c>
      <c r="F2277" s="7">
        <v>35</v>
      </c>
      <c r="G2277" s="7">
        <v>36</v>
      </c>
      <c r="H2277" s="7">
        <v>37</v>
      </c>
      <c r="I2277" s="7">
        <v>38</v>
      </c>
      <c r="J2277" s="7">
        <v>39</v>
      </c>
      <c r="K2277" s="7">
        <v>40</v>
      </c>
      <c r="L2277" s="7">
        <v>41</v>
      </c>
      <c r="M2277" s="7">
        <v>42</v>
      </c>
      <c r="N2277" s="7">
        <v>43</v>
      </c>
      <c r="O2277" s="7">
        <v>44</v>
      </c>
      <c r="P2277" s="7">
        <v>45</v>
      </c>
      <c r="Q2277" s="7">
        <v>46</v>
      </c>
      <c r="R2277" s="7">
        <v>47</v>
      </c>
      <c r="S2277" s="7">
        <v>48</v>
      </c>
      <c r="T2277" s="7">
        <v>49</v>
      </c>
      <c r="U2277" s="7">
        <v>50</v>
      </c>
      <c r="V2277" s="7">
        <v>51</v>
      </c>
      <c r="W2277" s="7">
        <v>52</v>
      </c>
      <c r="X2277" s="7">
        <v>53</v>
      </c>
      <c r="Y2277" s="7">
        <v>54</v>
      </c>
      <c r="Z2277" s="7">
        <v>55</v>
      </c>
      <c r="AA2277" s="7">
        <v>56</v>
      </c>
      <c r="AB2277" s="7">
        <v>57</v>
      </c>
      <c r="AC2277" s="7">
        <v>58</v>
      </c>
      <c r="AD2277" s="7">
        <v>59</v>
      </c>
      <c r="AE2277" s="7">
        <v>60</v>
      </c>
      <c r="AF2277" s="7">
        <v>61</v>
      </c>
      <c r="AG2277" s="7">
        <v>62</v>
      </c>
      <c r="AH2277" s="7">
        <v>63</v>
      </c>
      <c r="AI2277" s="6"/>
    </row>
    <row r="2278" spans="1:35" ht="15.75" thickBot="1" x14ac:dyDescent="0.3">
      <c r="A2278" s="3"/>
      <c r="B2278" s="5"/>
      <c r="C2278" s="147" t="s">
        <v>13</v>
      </c>
      <c r="D2278" s="148" t="s">
        <v>14</v>
      </c>
      <c r="E2278" s="148" t="s">
        <v>15</v>
      </c>
      <c r="F2278" s="148" t="s">
        <v>16</v>
      </c>
      <c r="G2278" s="148" t="s">
        <v>17</v>
      </c>
      <c r="H2278" s="148" t="s">
        <v>18</v>
      </c>
      <c r="I2278" s="148" t="s">
        <v>19</v>
      </c>
      <c r="J2278" s="148" t="s">
        <v>20</v>
      </c>
      <c r="K2278" s="148" t="s">
        <v>21</v>
      </c>
      <c r="L2278" s="148" t="s">
        <v>22</v>
      </c>
      <c r="M2278" s="148" t="s">
        <v>23</v>
      </c>
      <c r="N2278" s="148" t="s">
        <v>24</v>
      </c>
      <c r="O2278" s="148" t="s">
        <v>25</v>
      </c>
      <c r="P2278" s="148" t="s">
        <v>26</v>
      </c>
      <c r="Q2278" s="148" t="s">
        <v>27</v>
      </c>
      <c r="R2278" s="342" t="s">
        <v>30</v>
      </c>
      <c r="S2278" s="343"/>
      <c r="T2278" s="343"/>
      <c r="U2278" s="343"/>
      <c r="V2278" s="343"/>
      <c r="W2278" s="343"/>
      <c r="X2278" s="343"/>
      <c r="Y2278" s="343"/>
      <c r="Z2278" s="343"/>
      <c r="AA2278" s="343"/>
      <c r="AB2278" s="343"/>
      <c r="AC2278" s="343"/>
      <c r="AD2278" s="343"/>
      <c r="AE2278" s="343"/>
      <c r="AF2278" s="344"/>
      <c r="AG2278" s="67" t="s">
        <v>28</v>
      </c>
      <c r="AH2278" s="149" t="s">
        <v>29</v>
      </c>
      <c r="AI2278" s="6"/>
    </row>
    <row r="2279" spans="1:35" ht="15.75" thickBot="1" x14ac:dyDescent="0.3">
      <c r="A2279" s="3"/>
      <c r="B2279" s="5"/>
      <c r="C2279" s="150">
        <v>0</v>
      </c>
      <c r="D2279" s="151">
        <v>0</v>
      </c>
      <c r="E2279" s="151">
        <v>0</v>
      </c>
      <c r="F2279" s="151">
        <v>0</v>
      </c>
      <c r="G2279" s="151">
        <v>0</v>
      </c>
      <c r="H2279" s="151">
        <v>0</v>
      </c>
      <c r="I2279" s="151">
        <v>0</v>
      </c>
      <c r="J2279" s="151">
        <v>0</v>
      </c>
      <c r="K2279" s="151">
        <v>0</v>
      </c>
      <c r="L2279" s="151">
        <v>0</v>
      </c>
      <c r="M2279" s="151">
        <v>0</v>
      </c>
      <c r="N2279" s="151">
        <v>0</v>
      </c>
      <c r="O2279" s="151">
        <v>1</v>
      </c>
      <c r="P2279" s="151">
        <v>0</v>
      </c>
      <c r="Q2279" s="151">
        <v>0</v>
      </c>
      <c r="R2279" s="151">
        <v>0</v>
      </c>
      <c r="S2279" s="151">
        <v>0</v>
      </c>
      <c r="T2279" s="151">
        <v>0</v>
      </c>
      <c r="U2279" s="151">
        <v>0</v>
      </c>
      <c r="V2279" s="151">
        <v>0</v>
      </c>
      <c r="W2279" s="151">
        <v>0</v>
      </c>
      <c r="X2279" s="151">
        <v>1</v>
      </c>
      <c r="Y2279" s="151">
        <v>1</v>
      </c>
      <c r="Z2279" s="151">
        <v>1</v>
      </c>
      <c r="AA2279" s="151">
        <v>0</v>
      </c>
      <c r="AB2279" s="151">
        <v>0</v>
      </c>
      <c r="AC2279" s="151">
        <v>1</v>
      </c>
      <c r="AD2279" s="151">
        <v>0</v>
      </c>
      <c r="AE2279" s="151">
        <v>1</v>
      </c>
      <c r="AF2279" s="151">
        <v>0</v>
      </c>
      <c r="AG2279" s="151">
        <v>0</v>
      </c>
      <c r="AH2279" s="152">
        <v>0</v>
      </c>
      <c r="AI2279" s="6"/>
    </row>
    <row r="2280" spans="1:35" x14ac:dyDescent="0.25">
      <c r="A2280" s="3"/>
      <c r="B2280" s="4"/>
      <c r="C2280" s="5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/>
      <c r="AD2280" s="5"/>
      <c r="AE2280" s="5"/>
      <c r="AF2280" s="5"/>
      <c r="AG2280" s="5"/>
      <c r="AH2280" s="5"/>
      <c r="AI2280" s="6"/>
    </row>
    <row r="2281" spans="1:35" x14ac:dyDescent="0.25">
      <c r="A2281" s="3"/>
      <c r="B2281" s="8" t="s">
        <v>43</v>
      </c>
      <c r="C2281" s="9"/>
      <c r="D2281" s="9"/>
      <c r="E2281" s="9"/>
      <c r="F2281" s="225" t="s">
        <v>44</v>
      </c>
      <c r="G2281" s="225"/>
      <c r="H2281" s="225"/>
      <c r="I2281" s="9"/>
      <c r="J2281" s="226" t="s">
        <v>45</v>
      </c>
      <c r="K2281" s="226"/>
      <c r="L2281" s="226"/>
      <c r="M2281" s="226"/>
      <c r="N2281" s="9"/>
      <c r="O2281" s="227" t="s">
        <v>46</v>
      </c>
      <c r="P2281" s="227"/>
      <c r="Q2281" s="227"/>
      <c r="R2281" s="227"/>
      <c r="S2281" s="9"/>
      <c r="T2281" s="1" t="s">
        <v>49</v>
      </c>
      <c r="U2281" s="10" t="s">
        <v>48</v>
      </c>
      <c r="V2281" s="5"/>
      <c r="W2281" s="9"/>
      <c r="X2281" s="9"/>
      <c r="Y2281" s="9"/>
      <c r="Z2281" s="9"/>
      <c r="AA2281" s="9"/>
      <c r="AB2281" s="9"/>
      <c r="AC2281" s="9"/>
      <c r="AD2281" s="9"/>
      <c r="AE2281" s="9"/>
      <c r="AF2281" s="9"/>
      <c r="AG2281" s="9"/>
      <c r="AH2281" s="9"/>
      <c r="AI2281" s="6"/>
    </row>
    <row r="2282" spans="1:35" x14ac:dyDescent="0.25">
      <c r="A2282" s="3"/>
      <c r="B2282" s="221" t="str">
        <f>"0x"&amp;DEC2HEX(Sheet3!$I$4,8)</f>
        <v>0x00400320</v>
      </c>
      <c r="C2282" s="221"/>
      <c r="D2282" s="221"/>
      <c r="E2282" s="12"/>
      <c r="F2282" s="319" t="str">
        <f>"0x"&amp;BIN2HEX(CONCATENATE(C2275,D2275,E2275,F2275,G2275,H2275,I2275,J2275),2)&amp;BIN2HEX(CONCATENATE(K2275,L2275,M2275,N2275,O2275,P2275,Q2275,R2275),2)&amp;BIN2HEX(CONCATENATE(S2275,T2275,U2275,V2275,W2275,X2275,Y2275,Z2275),2)&amp;BIN2HEX(CONCATENATE(AA2275,AB2275,AC2275,AD2275,AE2275,AF2275,AG2275,AH2275),2)</f>
        <v>0x00000000</v>
      </c>
      <c r="G2282" s="319"/>
      <c r="H2282" s="319"/>
      <c r="I2282" s="12"/>
      <c r="J2282" s="319" t="str">
        <f>"0b"&amp;C2279&amp;D2279&amp;E2279&amp;F2279&amp;G2279&amp;H2279&amp;I2279&amp;J2279&amp;K2279&amp;L2279&amp;M2279&amp;N2279&amp;O2279&amp;P2279&amp;Q2279</f>
        <v>0b000000000000100</v>
      </c>
      <c r="K2282" s="319"/>
      <c r="L2282" s="319"/>
      <c r="M2282" s="319"/>
      <c r="N2282" s="12"/>
      <c r="O2282" s="319" t="str">
        <f>"0b"&amp;DEC2BIN(((AF2279+AE2279*2+AD2279*4+AC2279*8+AB2279*16+AA2279*32+Z2279*64+Y2279*128+X2279*256+W2279*512+V2279*1024+U2279*2048+T2279*4096+S2279*2^13+R2279*2^14)/512),6)&amp;DEC2BIN(MOD((AF2279+AE2279*2+AD2279*4+AC2279*8+AB2279*16+AA2279*32+Z2279*64+Y2279*128+X2279*256+W2279*512+V2279*1024+U2279*2048+T2279*4096+S2279*2^13+R2279*2^14),512),9)</f>
        <v>0b000000111001010</v>
      </c>
      <c r="P2282" s="319"/>
      <c r="Q2282" s="319"/>
      <c r="R2282" s="319"/>
      <c r="S2282" s="12"/>
      <c r="T2282" s="224">
        <v>0</v>
      </c>
      <c r="U2282" s="224">
        <f>AH2279</f>
        <v>0</v>
      </c>
      <c r="V2282" s="5"/>
      <c r="W2282" s="14"/>
      <c r="X2282" s="14"/>
      <c r="Y2282" s="14"/>
      <c r="Z2282" s="14"/>
      <c r="AA2282" s="14"/>
      <c r="AB2282" s="14"/>
      <c r="AC2282" s="14"/>
      <c r="AD2282" s="14"/>
      <c r="AE2282" s="14"/>
      <c r="AF2282" s="14"/>
      <c r="AG2282" s="14"/>
      <c r="AH2282" s="14"/>
      <c r="AI2282" s="6"/>
    </row>
    <row r="2283" spans="1:35" x14ac:dyDescent="0.25">
      <c r="A2283" s="3"/>
      <c r="B2283" s="221"/>
      <c r="C2283" s="221"/>
      <c r="D2283" s="221"/>
      <c r="E2283" s="15"/>
      <c r="F2283" s="222"/>
      <c r="G2283" s="222"/>
      <c r="H2283" s="222"/>
      <c r="I2283" s="15"/>
      <c r="J2283" s="221"/>
      <c r="K2283" s="221"/>
      <c r="L2283" s="221"/>
      <c r="M2283" s="221"/>
      <c r="N2283" s="15"/>
      <c r="O2283" s="221"/>
      <c r="P2283" s="221"/>
      <c r="Q2283" s="221"/>
      <c r="R2283" s="221"/>
      <c r="S2283" s="15"/>
      <c r="T2283" s="224"/>
      <c r="U2283" s="15"/>
      <c r="V2283" s="5"/>
      <c r="W2283" s="16"/>
      <c r="X2283" s="16"/>
      <c r="Y2283" s="16"/>
      <c r="Z2283" s="16"/>
      <c r="AA2283" s="16"/>
      <c r="AB2283" s="16"/>
      <c r="AC2283" s="16"/>
      <c r="AD2283" s="16"/>
      <c r="AE2283" s="16"/>
      <c r="AF2283" s="16"/>
      <c r="AG2283" s="16"/>
      <c r="AH2283" s="16"/>
      <c r="AI2283" s="6"/>
    </row>
    <row r="2284" spans="1:35" x14ac:dyDescent="0.25">
      <c r="A2284" s="3"/>
      <c r="B2284" s="221"/>
      <c r="C2284" s="221"/>
      <c r="D2284" s="221"/>
      <c r="E2284" s="15"/>
      <c r="F2284" s="222"/>
      <c r="G2284" s="222"/>
      <c r="H2284" s="222"/>
      <c r="I2284" s="15"/>
      <c r="J2284" s="221"/>
      <c r="K2284" s="221"/>
      <c r="L2284" s="221"/>
      <c r="M2284" s="221"/>
      <c r="N2284" s="15"/>
      <c r="O2284" s="221"/>
      <c r="P2284" s="221"/>
      <c r="Q2284" s="221"/>
      <c r="R2284" s="221"/>
      <c r="S2284" s="15"/>
      <c r="T2284" s="224"/>
      <c r="U2284" s="15"/>
      <c r="V2284" s="5"/>
      <c r="W2284" s="16"/>
      <c r="X2284" s="16"/>
      <c r="Y2284" s="16"/>
      <c r="Z2284" s="16"/>
      <c r="AA2284" s="16"/>
      <c r="AB2284" s="16"/>
      <c r="AC2284" s="16"/>
      <c r="AD2284" s="16"/>
      <c r="AE2284" s="16"/>
      <c r="AF2284" s="16"/>
      <c r="AG2284" s="16"/>
      <c r="AH2284" s="16"/>
      <c r="AI2284" s="6"/>
    </row>
    <row r="2285" spans="1:35" x14ac:dyDescent="0.25">
      <c r="A2285" s="3"/>
      <c r="B2285" s="5"/>
      <c r="C2285" s="5"/>
      <c r="D2285" s="5"/>
      <c r="E2285" s="5"/>
      <c r="F2285" s="17"/>
      <c r="G2285" s="17"/>
      <c r="H2285" s="17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/>
      <c r="AD2285" s="5"/>
      <c r="AE2285" s="5"/>
      <c r="AF2285" s="5"/>
      <c r="AG2285" s="5"/>
      <c r="AH2285" s="5"/>
      <c r="AI2285" s="6"/>
    </row>
    <row r="2286" spans="1:35" x14ac:dyDescent="0.25">
      <c r="A2286" s="3"/>
      <c r="B2286" s="5" t="s">
        <v>47</v>
      </c>
      <c r="C2286" s="18"/>
      <c r="D2286" s="18"/>
      <c r="E2286" s="18"/>
      <c r="F2286" s="5"/>
      <c r="G2286" s="5"/>
      <c r="H2286" s="5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  <c r="AB2286" s="18"/>
      <c r="AC2286" s="18"/>
      <c r="AD2286" s="18"/>
      <c r="AE2286" s="18"/>
      <c r="AF2286" s="18"/>
      <c r="AG2286" s="18"/>
      <c r="AH2286" s="18"/>
      <c r="AI2286" s="6"/>
    </row>
    <row r="2287" spans="1:35" x14ac:dyDescent="0.25">
      <c r="A2287" s="3"/>
      <c r="B2287" s="221" t="str">
        <f>"0x"&amp;DEC2HEX(Sheet3!$I$4,8)</f>
        <v>0x00400320</v>
      </c>
      <c r="C2287" s="221"/>
      <c r="D2287" s="221"/>
      <c r="E2287" s="16"/>
      <c r="F2287" s="322" t="str">
        <f>F2282&amp;BIN2HEX(MID(J2282,3,8),2)&amp;BIN2HEX(RIGHT(J2282,7)&amp;MID(O2282,3,1),2)&amp;BIN2HEX(MID(O2282,4,8),2)&amp;BIN2HEX(RIGHT(O2282,6)&amp;T2282&amp;U2282,2)</f>
        <v>0x0000000000080728</v>
      </c>
      <c r="G2287" s="322"/>
      <c r="H2287" s="322"/>
      <c r="I2287" s="322"/>
      <c r="J2287" s="5"/>
      <c r="K2287" s="5"/>
      <c r="L2287" s="5"/>
      <c r="M2287" s="5"/>
      <c r="N2287" s="5"/>
      <c r="O2287" s="5"/>
      <c r="P2287" s="16"/>
      <c r="Q2287" s="16"/>
      <c r="R2287" s="19"/>
      <c r="S2287" s="19"/>
      <c r="T2287" s="19"/>
      <c r="U2287" s="19"/>
      <c r="V2287" s="19"/>
      <c r="W2287" s="19"/>
      <c r="X2287" s="19"/>
      <c r="Y2287" s="19"/>
      <c r="Z2287" s="19"/>
      <c r="AA2287" s="19"/>
      <c r="AB2287" s="19"/>
      <c r="AC2287" s="19"/>
      <c r="AD2287" s="19"/>
      <c r="AE2287" s="19"/>
      <c r="AF2287" s="19"/>
      <c r="AG2287" s="5"/>
      <c r="AH2287" s="5"/>
      <c r="AI2287" s="6"/>
    </row>
    <row r="2288" spans="1:35" x14ac:dyDescent="0.25">
      <c r="A2288" s="3"/>
      <c r="B2288" s="221"/>
      <c r="C2288" s="221"/>
      <c r="D2288" s="221"/>
      <c r="E2288" s="5"/>
      <c r="F2288" s="223"/>
      <c r="G2288" s="223"/>
      <c r="H2288" s="223"/>
      <c r="I2288" s="223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/>
      <c r="AD2288" s="5"/>
      <c r="AE2288" s="5"/>
      <c r="AF2288" s="5"/>
      <c r="AG2288" s="5"/>
      <c r="AH2288" s="5"/>
      <c r="AI2288" s="6"/>
    </row>
    <row r="2289" spans="1:35" x14ac:dyDescent="0.25">
      <c r="A2289" s="3"/>
      <c r="B2289" s="221"/>
      <c r="C2289" s="221"/>
      <c r="D2289" s="221"/>
      <c r="E2289" s="5"/>
      <c r="F2289" s="223"/>
      <c r="G2289" s="223"/>
      <c r="H2289" s="223"/>
      <c r="I2289" s="223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/>
      <c r="AD2289" s="5"/>
      <c r="AE2289" s="5"/>
      <c r="AF2289" s="5"/>
      <c r="AG2289" s="5"/>
      <c r="AH2289" s="5"/>
      <c r="AI2289" s="6"/>
    </row>
    <row r="2290" spans="1:35" x14ac:dyDescent="0.25">
      <c r="A2290" s="20"/>
      <c r="B2290" s="21"/>
      <c r="C2290" s="21"/>
      <c r="D2290" s="21"/>
      <c r="E2290" s="21"/>
      <c r="F2290" s="21"/>
      <c r="G2290" s="21"/>
      <c r="H2290" s="21"/>
      <c r="I2290" s="21"/>
      <c r="J2290" s="21"/>
      <c r="K2290" s="21"/>
      <c r="L2290" s="21"/>
      <c r="M2290" s="21"/>
      <c r="N2290" s="21"/>
      <c r="O2290" s="22"/>
      <c r="P2290" s="21"/>
      <c r="Q2290" s="21"/>
      <c r="R2290" s="21"/>
      <c r="S2290" s="21"/>
      <c r="T2290" s="21"/>
      <c r="U2290" s="21"/>
      <c r="V2290" s="21"/>
      <c r="W2290" s="21"/>
      <c r="X2290" s="21"/>
      <c r="Y2290" s="21"/>
      <c r="Z2290" s="21"/>
      <c r="AA2290" s="21"/>
      <c r="AB2290" s="21"/>
      <c r="AC2290" s="21"/>
      <c r="AD2290" s="21"/>
      <c r="AE2290" s="21"/>
      <c r="AF2290" s="21"/>
      <c r="AG2290" s="21"/>
      <c r="AH2290" s="21"/>
      <c r="AI2290" s="23"/>
    </row>
    <row r="2291" spans="1:35" x14ac:dyDescent="0.25">
      <c r="A2291" s="24"/>
      <c r="B2291" s="28"/>
      <c r="C2291" s="25"/>
      <c r="D2291" s="25"/>
      <c r="E2291" s="25"/>
      <c r="F2291" s="25"/>
      <c r="G2291" s="25"/>
      <c r="H2291" s="25"/>
      <c r="I2291" s="25"/>
      <c r="J2291" s="25"/>
      <c r="K2291" s="25"/>
      <c r="L2291" s="25"/>
      <c r="M2291" s="25"/>
      <c r="N2291" s="25"/>
      <c r="O2291" s="25"/>
      <c r="P2291" s="25"/>
      <c r="Q2291" s="25"/>
      <c r="R2291" s="25"/>
      <c r="S2291" s="25"/>
      <c r="T2291" s="25"/>
      <c r="U2291" s="25"/>
      <c r="V2291" s="25"/>
      <c r="W2291" s="25"/>
      <c r="X2291" s="25"/>
      <c r="Y2291" s="25"/>
      <c r="Z2291" s="25"/>
      <c r="AA2291" s="25"/>
      <c r="AB2291" s="25"/>
      <c r="AC2291" s="25"/>
      <c r="AD2291" s="25"/>
      <c r="AE2291" s="25"/>
      <c r="AF2291" s="25"/>
      <c r="AG2291" s="25"/>
      <c r="AH2291" s="25"/>
      <c r="AI2291" s="26"/>
    </row>
    <row r="2292" spans="1:35" x14ac:dyDescent="0.25">
      <c r="A2292" s="3"/>
      <c r="B2292" s="4" t="s">
        <v>370</v>
      </c>
      <c r="C2292" s="5"/>
      <c r="D2292" s="5"/>
      <c r="E2292" s="5"/>
      <c r="F2292" s="5"/>
      <c r="G2292" s="5"/>
      <c r="H2292" s="5"/>
      <c r="I2292" s="5" t="str">
        <f>"0x"&amp;BIN2HEX(CONCATENATE(C2297,D2297,E2297,F2297,G2297,H2297,I2297,J2297),2)&amp;BIN2HEX(CONCATENATE(K2297,L2297,M2297,N2297,O2297,P2297,Q2297,R2297),2)&amp;BIN2HEX(CONCATENATE(S2297,T2297,U2297,V2297,W2297,X2297,Y2297,Z2297),2)&amp;BIN2HEX(CONCATENATE(AA2297,AB2297,AC2297,AD2297,AE2297,AF2297,AG2297,AH2297),2)&amp;"_"&amp;BIN2HEX(CONCATENATE(C2301,D2301,E2301,F2301,G2301,H2301,I2301,J2301),2)&amp;BIN2HEX(CONCATENATE(K2301,L2301,M2301,N2301,O2301,P2301,Q2301,R2301),2)&amp;BIN2HEX(CONCATENATE(S2301,T2301,U2301,V2301,W2301,X2301,Y2301,Z2301),2)&amp;BIN2HEX(CONCATENATE(AA2301,AB2301,AC2301,AD2301,AE2301,AF2301,AG2301,AH2301),2)</f>
        <v>0x00000000_0008072C</v>
      </c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/>
      <c r="AD2292" s="5"/>
      <c r="AE2292" s="5"/>
      <c r="AF2292" s="5"/>
      <c r="AG2292" s="5"/>
      <c r="AH2292" s="5"/>
      <c r="AI2292" s="6"/>
    </row>
    <row r="2293" spans="1:35" ht="15.75" thickBot="1" x14ac:dyDescent="0.3">
      <c r="A2293" s="3"/>
      <c r="B2293" s="5"/>
      <c r="C2293" s="7">
        <v>0</v>
      </c>
      <c r="D2293" s="7">
        <v>1</v>
      </c>
      <c r="E2293" s="7">
        <v>2</v>
      </c>
      <c r="F2293" s="7">
        <v>3</v>
      </c>
      <c r="G2293" s="7">
        <v>4</v>
      </c>
      <c r="H2293" s="7">
        <v>5</v>
      </c>
      <c r="I2293" s="7">
        <v>6</v>
      </c>
      <c r="J2293" s="7">
        <v>7</v>
      </c>
      <c r="K2293" s="7">
        <v>8</v>
      </c>
      <c r="L2293" s="7">
        <v>9</v>
      </c>
      <c r="M2293" s="7">
        <v>10</v>
      </c>
      <c r="N2293" s="7">
        <v>11</v>
      </c>
      <c r="O2293" s="7">
        <v>12</v>
      </c>
      <c r="P2293" s="7">
        <v>13</v>
      </c>
      <c r="Q2293" s="7">
        <v>14</v>
      </c>
      <c r="R2293" s="7">
        <v>15</v>
      </c>
      <c r="S2293" s="7">
        <v>16</v>
      </c>
      <c r="T2293" s="7">
        <v>17</v>
      </c>
      <c r="U2293" s="7">
        <v>18</v>
      </c>
      <c r="V2293" s="7">
        <v>19</v>
      </c>
      <c r="W2293" s="7">
        <v>20</v>
      </c>
      <c r="X2293" s="7">
        <v>21</v>
      </c>
      <c r="Y2293" s="7">
        <v>22</v>
      </c>
      <c r="Z2293" s="7">
        <v>23</v>
      </c>
      <c r="AA2293" s="7">
        <v>24</v>
      </c>
      <c r="AB2293" s="7">
        <v>25</v>
      </c>
      <c r="AC2293" s="7">
        <v>26</v>
      </c>
      <c r="AD2293" s="7">
        <v>27</v>
      </c>
      <c r="AE2293" s="7">
        <v>28</v>
      </c>
      <c r="AF2293" s="7">
        <v>29</v>
      </c>
      <c r="AG2293" s="7">
        <v>30</v>
      </c>
      <c r="AH2293" s="7">
        <v>31</v>
      </c>
      <c r="AI2293" s="6"/>
    </row>
    <row r="2294" spans="1:35" x14ac:dyDescent="0.25">
      <c r="A2294" s="3"/>
      <c r="B2294" s="5" t="s">
        <v>31</v>
      </c>
      <c r="C2294" s="328" t="s">
        <v>161</v>
      </c>
      <c r="D2294" s="330" t="s">
        <v>63</v>
      </c>
      <c r="E2294" s="331"/>
      <c r="F2294" s="331"/>
      <c r="G2294" s="331"/>
      <c r="H2294" s="331"/>
      <c r="I2294" s="331"/>
      <c r="J2294" s="332"/>
      <c r="K2294" s="336">
        <v>0</v>
      </c>
      <c r="L2294" s="337"/>
      <c r="M2294" s="337"/>
      <c r="N2294" s="337"/>
      <c r="O2294" s="337"/>
      <c r="P2294" s="337"/>
      <c r="Q2294" s="337"/>
      <c r="R2294" s="337"/>
      <c r="S2294" s="337"/>
      <c r="T2294" s="337"/>
      <c r="U2294" s="337"/>
      <c r="V2294" s="337"/>
      <c r="W2294" s="337"/>
      <c r="X2294" s="337"/>
      <c r="Y2294" s="337"/>
      <c r="Z2294" s="337"/>
      <c r="AA2294" s="337"/>
      <c r="AB2294" s="337"/>
      <c r="AC2294" s="337"/>
      <c r="AD2294" s="337"/>
      <c r="AE2294" s="337"/>
      <c r="AF2294" s="337"/>
      <c r="AG2294" s="337"/>
      <c r="AH2294" s="338"/>
      <c r="AI2294" s="6"/>
    </row>
    <row r="2295" spans="1:35" x14ac:dyDescent="0.25">
      <c r="A2295" s="3"/>
      <c r="B2295" s="5" t="s">
        <v>32</v>
      </c>
      <c r="C2295" s="329"/>
      <c r="D2295" s="333"/>
      <c r="E2295" s="334"/>
      <c r="F2295" s="334"/>
      <c r="G2295" s="334"/>
      <c r="H2295" s="334"/>
      <c r="I2295" s="334"/>
      <c r="J2295" s="335"/>
      <c r="K2295" s="339"/>
      <c r="L2295" s="340"/>
      <c r="M2295" s="340"/>
      <c r="N2295" s="340"/>
      <c r="O2295" s="340"/>
      <c r="P2295" s="340"/>
      <c r="Q2295" s="340"/>
      <c r="R2295" s="340"/>
      <c r="S2295" s="340"/>
      <c r="T2295" s="340"/>
      <c r="U2295" s="340"/>
      <c r="V2295" s="340"/>
      <c r="W2295" s="340"/>
      <c r="X2295" s="340"/>
      <c r="Y2295" s="340"/>
      <c r="Z2295" s="340"/>
      <c r="AA2295" s="340"/>
      <c r="AB2295" s="340"/>
      <c r="AC2295" s="340"/>
      <c r="AD2295" s="340"/>
      <c r="AE2295" s="340"/>
      <c r="AF2295" s="340"/>
      <c r="AG2295" s="340"/>
      <c r="AH2295" s="341"/>
      <c r="AI2295" s="6"/>
    </row>
    <row r="2296" spans="1:35" x14ac:dyDescent="0.25">
      <c r="A2296" s="3"/>
      <c r="B2296" s="5" t="s">
        <v>11</v>
      </c>
      <c r="C2296" s="56">
        <v>0</v>
      </c>
      <c r="D2296" s="57">
        <v>0</v>
      </c>
      <c r="E2296" s="57">
        <v>0</v>
      </c>
      <c r="F2296" s="57">
        <v>0</v>
      </c>
      <c r="G2296" s="57">
        <v>0</v>
      </c>
      <c r="H2296" s="57">
        <v>0</v>
      </c>
      <c r="I2296" s="57">
        <v>0</v>
      </c>
      <c r="J2296" s="57">
        <v>0</v>
      </c>
      <c r="K2296" s="57">
        <v>0</v>
      </c>
      <c r="L2296" s="57">
        <v>0</v>
      </c>
      <c r="M2296" s="57">
        <v>0</v>
      </c>
      <c r="N2296" s="57">
        <v>0</v>
      </c>
      <c r="O2296" s="57">
        <v>0</v>
      </c>
      <c r="P2296" s="57">
        <v>0</v>
      </c>
      <c r="Q2296" s="57">
        <v>0</v>
      </c>
      <c r="R2296" s="57">
        <v>0</v>
      </c>
      <c r="S2296" s="57">
        <v>0</v>
      </c>
      <c r="T2296" s="57">
        <v>0</v>
      </c>
      <c r="U2296" s="57">
        <v>0</v>
      </c>
      <c r="V2296" s="57">
        <v>0</v>
      </c>
      <c r="W2296" s="57">
        <v>0</v>
      </c>
      <c r="X2296" s="57">
        <v>0</v>
      </c>
      <c r="Y2296" s="57">
        <v>0</v>
      </c>
      <c r="Z2296" s="57">
        <v>0</v>
      </c>
      <c r="AA2296" s="57">
        <v>0</v>
      </c>
      <c r="AB2296" s="57">
        <v>0</v>
      </c>
      <c r="AC2296" s="57">
        <v>0</v>
      </c>
      <c r="AD2296" s="57">
        <v>0</v>
      </c>
      <c r="AE2296" s="57">
        <v>0</v>
      </c>
      <c r="AF2296" s="57">
        <v>0</v>
      </c>
      <c r="AG2296" s="57">
        <v>0</v>
      </c>
      <c r="AH2296" s="58">
        <v>0</v>
      </c>
      <c r="AI2296" s="6"/>
    </row>
    <row r="2297" spans="1:35" ht="15.75" thickBot="1" x14ac:dyDescent="0.3">
      <c r="A2297" s="3"/>
      <c r="B2297" s="5" t="s">
        <v>12</v>
      </c>
      <c r="C2297" s="145">
        <v>0</v>
      </c>
      <c r="D2297" s="88">
        <v>0</v>
      </c>
      <c r="E2297" s="88">
        <v>0</v>
      </c>
      <c r="F2297" s="88">
        <v>0</v>
      </c>
      <c r="G2297" s="88">
        <v>0</v>
      </c>
      <c r="H2297" s="88">
        <v>0</v>
      </c>
      <c r="I2297" s="88">
        <v>0</v>
      </c>
      <c r="J2297" s="88">
        <v>0</v>
      </c>
      <c r="K2297" s="62">
        <v>0</v>
      </c>
      <c r="L2297" s="62">
        <v>0</v>
      </c>
      <c r="M2297" s="62">
        <v>0</v>
      </c>
      <c r="N2297" s="62">
        <v>0</v>
      </c>
      <c r="O2297" s="62">
        <v>0</v>
      </c>
      <c r="P2297" s="62">
        <v>0</v>
      </c>
      <c r="Q2297" s="62">
        <v>0</v>
      </c>
      <c r="R2297" s="62">
        <v>0</v>
      </c>
      <c r="S2297" s="62">
        <v>0</v>
      </c>
      <c r="T2297" s="62">
        <v>0</v>
      </c>
      <c r="U2297" s="62">
        <v>0</v>
      </c>
      <c r="V2297" s="62">
        <v>0</v>
      </c>
      <c r="W2297" s="62">
        <v>0</v>
      </c>
      <c r="X2297" s="62">
        <v>0</v>
      </c>
      <c r="Y2297" s="62">
        <v>0</v>
      </c>
      <c r="Z2297" s="62">
        <v>0</v>
      </c>
      <c r="AA2297" s="62">
        <v>0</v>
      </c>
      <c r="AB2297" s="62">
        <v>0</v>
      </c>
      <c r="AC2297" s="62">
        <v>0</v>
      </c>
      <c r="AD2297" s="62">
        <v>0</v>
      </c>
      <c r="AE2297" s="62">
        <v>0</v>
      </c>
      <c r="AF2297" s="62">
        <v>0</v>
      </c>
      <c r="AG2297" s="62">
        <v>0</v>
      </c>
      <c r="AH2297" s="146">
        <v>0</v>
      </c>
      <c r="AI2297" s="6"/>
    </row>
    <row r="2298" spans="1:35" x14ac:dyDescent="0.25">
      <c r="A2298" s="3"/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/>
      <c r="AD2298" s="5"/>
      <c r="AE2298" s="5"/>
      <c r="AF2298" s="5"/>
      <c r="AG2298" s="5"/>
      <c r="AH2298" s="5"/>
      <c r="AI2298" s="6"/>
    </row>
    <row r="2299" spans="1:35" ht="15.75" thickBot="1" x14ac:dyDescent="0.3">
      <c r="A2299" s="3"/>
      <c r="B2299" s="5"/>
      <c r="C2299" s="7">
        <v>32</v>
      </c>
      <c r="D2299" s="7">
        <v>33</v>
      </c>
      <c r="E2299" s="7">
        <v>34</v>
      </c>
      <c r="F2299" s="7">
        <v>35</v>
      </c>
      <c r="G2299" s="7">
        <v>36</v>
      </c>
      <c r="H2299" s="7">
        <v>37</v>
      </c>
      <c r="I2299" s="7">
        <v>38</v>
      </c>
      <c r="J2299" s="7">
        <v>39</v>
      </c>
      <c r="K2299" s="7">
        <v>40</v>
      </c>
      <c r="L2299" s="7">
        <v>41</v>
      </c>
      <c r="M2299" s="7">
        <v>42</v>
      </c>
      <c r="N2299" s="7">
        <v>43</v>
      </c>
      <c r="O2299" s="7">
        <v>44</v>
      </c>
      <c r="P2299" s="7">
        <v>45</v>
      </c>
      <c r="Q2299" s="7">
        <v>46</v>
      </c>
      <c r="R2299" s="7">
        <v>47</v>
      </c>
      <c r="S2299" s="7">
        <v>48</v>
      </c>
      <c r="T2299" s="7">
        <v>49</v>
      </c>
      <c r="U2299" s="7">
        <v>50</v>
      </c>
      <c r="V2299" s="7">
        <v>51</v>
      </c>
      <c r="W2299" s="7">
        <v>52</v>
      </c>
      <c r="X2299" s="7">
        <v>53</v>
      </c>
      <c r="Y2299" s="7">
        <v>54</v>
      </c>
      <c r="Z2299" s="7">
        <v>55</v>
      </c>
      <c r="AA2299" s="7">
        <v>56</v>
      </c>
      <c r="AB2299" s="7">
        <v>57</v>
      </c>
      <c r="AC2299" s="7">
        <v>58</v>
      </c>
      <c r="AD2299" s="7">
        <v>59</v>
      </c>
      <c r="AE2299" s="7">
        <v>60</v>
      </c>
      <c r="AF2299" s="7">
        <v>61</v>
      </c>
      <c r="AG2299" s="7">
        <v>62</v>
      </c>
      <c r="AH2299" s="7">
        <v>63</v>
      </c>
      <c r="AI2299" s="6"/>
    </row>
    <row r="2300" spans="1:35" ht="15.75" thickBot="1" x14ac:dyDescent="0.3">
      <c r="A2300" s="3"/>
      <c r="B2300" s="5"/>
      <c r="C2300" s="147" t="s">
        <v>13</v>
      </c>
      <c r="D2300" s="148" t="s">
        <v>14</v>
      </c>
      <c r="E2300" s="148" t="s">
        <v>15</v>
      </c>
      <c r="F2300" s="148" t="s">
        <v>16</v>
      </c>
      <c r="G2300" s="148" t="s">
        <v>17</v>
      </c>
      <c r="H2300" s="148" t="s">
        <v>18</v>
      </c>
      <c r="I2300" s="148" t="s">
        <v>19</v>
      </c>
      <c r="J2300" s="148" t="s">
        <v>20</v>
      </c>
      <c r="K2300" s="148" t="s">
        <v>21</v>
      </c>
      <c r="L2300" s="148" t="s">
        <v>22</v>
      </c>
      <c r="M2300" s="148" t="s">
        <v>23</v>
      </c>
      <c r="N2300" s="148" t="s">
        <v>24</v>
      </c>
      <c r="O2300" s="148" t="s">
        <v>25</v>
      </c>
      <c r="P2300" s="148" t="s">
        <v>26</v>
      </c>
      <c r="Q2300" s="148" t="s">
        <v>27</v>
      </c>
      <c r="R2300" s="342" t="s">
        <v>30</v>
      </c>
      <c r="S2300" s="343"/>
      <c r="T2300" s="343"/>
      <c r="U2300" s="343"/>
      <c r="V2300" s="343"/>
      <c r="W2300" s="343"/>
      <c r="X2300" s="343"/>
      <c r="Y2300" s="343"/>
      <c r="Z2300" s="343"/>
      <c r="AA2300" s="343"/>
      <c r="AB2300" s="343"/>
      <c r="AC2300" s="343"/>
      <c r="AD2300" s="343"/>
      <c r="AE2300" s="343"/>
      <c r="AF2300" s="344"/>
      <c r="AG2300" s="67" t="s">
        <v>28</v>
      </c>
      <c r="AH2300" s="149" t="s">
        <v>29</v>
      </c>
      <c r="AI2300" s="6"/>
    </row>
    <row r="2301" spans="1:35" ht="15.75" thickBot="1" x14ac:dyDescent="0.3">
      <c r="A2301" s="3"/>
      <c r="B2301" s="5"/>
      <c r="C2301" s="150">
        <v>0</v>
      </c>
      <c r="D2301" s="151">
        <v>0</v>
      </c>
      <c r="E2301" s="151">
        <v>0</v>
      </c>
      <c r="F2301" s="151">
        <v>0</v>
      </c>
      <c r="G2301" s="151">
        <v>0</v>
      </c>
      <c r="H2301" s="151">
        <v>0</v>
      </c>
      <c r="I2301" s="151">
        <v>0</v>
      </c>
      <c r="J2301" s="151">
        <v>0</v>
      </c>
      <c r="K2301" s="151">
        <v>0</v>
      </c>
      <c r="L2301" s="151">
        <v>0</v>
      </c>
      <c r="M2301" s="151">
        <v>0</v>
      </c>
      <c r="N2301" s="151">
        <v>0</v>
      </c>
      <c r="O2301" s="151">
        <v>1</v>
      </c>
      <c r="P2301" s="151">
        <v>0</v>
      </c>
      <c r="Q2301" s="151">
        <v>0</v>
      </c>
      <c r="R2301" s="151">
        <v>0</v>
      </c>
      <c r="S2301" s="151">
        <v>0</v>
      </c>
      <c r="T2301" s="151">
        <v>0</v>
      </c>
      <c r="U2301" s="151">
        <v>0</v>
      </c>
      <c r="V2301" s="151">
        <v>0</v>
      </c>
      <c r="W2301" s="151">
        <v>0</v>
      </c>
      <c r="X2301" s="151">
        <v>1</v>
      </c>
      <c r="Y2301" s="151">
        <v>1</v>
      </c>
      <c r="Z2301" s="151">
        <v>1</v>
      </c>
      <c r="AA2301" s="151">
        <v>0</v>
      </c>
      <c r="AB2301" s="151">
        <v>0</v>
      </c>
      <c r="AC2301" s="151">
        <v>1</v>
      </c>
      <c r="AD2301" s="151">
        <v>0</v>
      </c>
      <c r="AE2301" s="151">
        <v>1</v>
      </c>
      <c r="AF2301" s="151">
        <v>1</v>
      </c>
      <c r="AG2301" s="151">
        <v>0</v>
      </c>
      <c r="AH2301" s="152">
        <v>0</v>
      </c>
      <c r="AI2301" s="6"/>
    </row>
    <row r="2302" spans="1:35" x14ac:dyDescent="0.25">
      <c r="A2302" s="3"/>
      <c r="B2302" s="4"/>
      <c r="C2302" s="5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  <c r="AE2302" s="5"/>
      <c r="AF2302" s="5"/>
      <c r="AG2302" s="5"/>
      <c r="AH2302" s="5"/>
      <c r="AI2302" s="6"/>
    </row>
    <row r="2303" spans="1:35" x14ac:dyDescent="0.25">
      <c r="A2303" s="3"/>
      <c r="B2303" s="8" t="s">
        <v>43</v>
      </c>
      <c r="C2303" s="9"/>
      <c r="D2303" s="9"/>
      <c r="E2303" s="9"/>
      <c r="F2303" s="225" t="s">
        <v>44</v>
      </c>
      <c r="G2303" s="225"/>
      <c r="H2303" s="225"/>
      <c r="I2303" s="9"/>
      <c r="J2303" s="226" t="s">
        <v>45</v>
      </c>
      <c r="K2303" s="226"/>
      <c r="L2303" s="226"/>
      <c r="M2303" s="226"/>
      <c r="N2303" s="9"/>
      <c r="O2303" s="227" t="s">
        <v>46</v>
      </c>
      <c r="P2303" s="227"/>
      <c r="Q2303" s="227"/>
      <c r="R2303" s="227"/>
      <c r="S2303" s="9"/>
      <c r="T2303" s="1" t="s">
        <v>49</v>
      </c>
      <c r="U2303" s="10" t="s">
        <v>48</v>
      </c>
      <c r="V2303" s="5"/>
      <c r="W2303" s="9"/>
      <c r="X2303" s="9"/>
      <c r="Y2303" s="9"/>
      <c r="Z2303" s="9"/>
      <c r="AA2303" s="9"/>
      <c r="AB2303" s="9"/>
      <c r="AC2303" s="9"/>
      <c r="AD2303" s="9"/>
      <c r="AE2303" s="9"/>
      <c r="AF2303" s="9"/>
      <c r="AG2303" s="9"/>
      <c r="AH2303" s="9"/>
      <c r="AI2303" s="6"/>
    </row>
    <row r="2304" spans="1:35" x14ac:dyDescent="0.25">
      <c r="A2304" s="3"/>
      <c r="B2304" s="221" t="str">
        <f>"0x"&amp;DEC2HEX(Sheet3!$I$4,8)</f>
        <v>0x00400320</v>
      </c>
      <c r="C2304" s="221"/>
      <c r="D2304" s="221"/>
      <c r="E2304" s="12"/>
      <c r="F2304" s="319" t="str">
        <f>"0x"&amp;BIN2HEX(CONCATENATE(C2297,D2297,E2297,F2297,G2297,H2297,I2297,J2297),2)&amp;BIN2HEX(CONCATENATE(K2297,L2297,M2297,N2297,O2297,P2297,Q2297,R2297),2)&amp;BIN2HEX(CONCATENATE(S2297,T2297,U2297,V2297,W2297,X2297,Y2297,Z2297),2)&amp;BIN2HEX(CONCATENATE(AA2297,AB2297,AC2297,AD2297,AE2297,AF2297,AG2297,AH2297),2)</f>
        <v>0x00000000</v>
      </c>
      <c r="G2304" s="319"/>
      <c r="H2304" s="319"/>
      <c r="I2304" s="12"/>
      <c r="J2304" s="319" t="str">
        <f>"0b"&amp;C2301&amp;D2301&amp;E2301&amp;F2301&amp;G2301&amp;H2301&amp;I2301&amp;J2301&amp;K2301&amp;L2301&amp;M2301&amp;N2301&amp;O2301&amp;P2301&amp;Q2301</f>
        <v>0b000000000000100</v>
      </c>
      <c r="K2304" s="319"/>
      <c r="L2304" s="319"/>
      <c r="M2304" s="319"/>
      <c r="N2304" s="12"/>
      <c r="O2304" s="319" t="str">
        <f>"0b"&amp;DEC2BIN(((AF2301+AE2301*2+AD2301*4+AC2301*8+AB2301*16+AA2301*32+Z2301*64+Y2301*128+X2301*256+W2301*512+V2301*1024+U2301*2048+T2301*4096+S2301*2^13+R2301*2^14)/512),6)&amp;DEC2BIN(MOD((AF2301+AE2301*2+AD2301*4+AC2301*8+AB2301*16+AA2301*32+Z2301*64+Y2301*128+X2301*256+W2301*512+V2301*1024+U2301*2048+T2301*4096+S2301*2^13+R2301*2^14),512),9)</f>
        <v>0b000000111001011</v>
      </c>
      <c r="P2304" s="319"/>
      <c r="Q2304" s="319"/>
      <c r="R2304" s="319"/>
      <c r="S2304" s="12"/>
      <c r="T2304" s="224">
        <v>0</v>
      </c>
      <c r="U2304" s="224">
        <f>AH2301</f>
        <v>0</v>
      </c>
      <c r="V2304" s="5"/>
      <c r="W2304" s="14"/>
      <c r="X2304" s="14"/>
      <c r="Y2304" s="14"/>
      <c r="Z2304" s="14"/>
      <c r="AA2304" s="14"/>
      <c r="AB2304" s="14"/>
      <c r="AC2304" s="14"/>
      <c r="AD2304" s="14"/>
      <c r="AE2304" s="14"/>
      <c r="AF2304" s="14"/>
      <c r="AG2304" s="14"/>
      <c r="AH2304" s="14"/>
      <c r="AI2304" s="6"/>
    </row>
    <row r="2305" spans="1:35" x14ac:dyDescent="0.25">
      <c r="A2305" s="3"/>
      <c r="B2305" s="221"/>
      <c r="C2305" s="221"/>
      <c r="D2305" s="221"/>
      <c r="E2305" s="15"/>
      <c r="F2305" s="222"/>
      <c r="G2305" s="222"/>
      <c r="H2305" s="222"/>
      <c r="I2305" s="15"/>
      <c r="J2305" s="221"/>
      <c r="K2305" s="221"/>
      <c r="L2305" s="221"/>
      <c r="M2305" s="221"/>
      <c r="N2305" s="15"/>
      <c r="O2305" s="221"/>
      <c r="P2305" s="221"/>
      <c r="Q2305" s="221"/>
      <c r="R2305" s="221"/>
      <c r="S2305" s="15"/>
      <c r="T2305" s="224"/>
      <c r="U2305" s="15"/>
      <c r="V2305" s="5"/>
      <c r="W2305" s="16"/>
      <c r="X2305" s="16"/>
      <c r="Y2305" s="16"/>
      <c r="Z2305" s="16"/>
      <c r="AA2305" s="16"/>
      <c r="AB2305" s="16"/>
      <c r="AC2305" s="16"/>
      <c r="AD2305" s="16"/>
      <c r="AE2305" s="16"/>
      <c r="AF2305" s="16"/>
      <c r="AG2305" s="16"/>
      <c r="AH2305" s="16"/>
      <c r="AI2305" s="6"/>
    </row>
    <row r="2306" spans="1:35" x14ac:dyDescent="0.25">
      <c r="A2306" s="3"/>
      <c r="B2306" s="221"/>
      <c r="C2306" s="221"/>
      <c r="D2306" s="221"/>
      <c r="E2306" s="15"/>
      <c r="F2306" s="222"/>
      <c r="G2306" s="222"/>
      <c r="H2306" s="222"/>
      <c r="I2306" s="15"/>
      <c r="J2306" s="221"/>
      <c r="K2306" s="221"/>
      <c r="L2306" s="221"/>
      <c r="M2306" s="221"/>
      <c r="N2306" s="15"/>
      <c r="O2306" s="221"/>
      <c r="P2306" s="221"/>
      <c r="Q2306" s="221"/>
      <c r="R2306" s="221"/>
      <c r="S2306" s="15"/>
      <c r="T2306" s="224"/>
      <c r="U2306" s="15"/>
      <c r="V2306" s="5"/>
      <c r="W2306" s="16"/>
      <c r="X2306" s="16"/>
      <c r="Y2306" s="16"/>
      <c r="Z2306" s="16"/>
      <c r="AA2306" s="16"/>
      <c r="AB2306" s="16"/>
      <c r="AC2306" s="16"/>
      <c r="AD2306" s="16"/>
      <c r="AE2306" s="16"/>
      <c r="AF2306" s="16"/>
      <c r="AG2306" s="16"/>
      <c r="AH2306" s="16"/>
      <c r="AI2306" s="6"/>
    </row>
    <row r="2307" spans="1:35" x14ac:dyDescent="0.25">
      <c r="A2307" s="3"/>
      <c r="B2307" s="5"/>
      <c r="C2307" s="5"/>
      <c r="D2307" s="5"/>
      <c r="E2307" s="5"/>
      <c r="F2307" s="17"/>
      <c r="G2307" s="17"/>
      <c r="H2307" s="17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/>
      <c r="AD2307" s="5"/>
      <c r="AE2307" s="5"/>
      <c r="AF2307" s="5"/>
      <c r="AG2307" s="5"/>
      <c r="AH2307" s="5"/>
      <c r="AI2307" s="6"/>
    </row>
    <row r="2308" spans="1:35" x14ac:dyDescent="0.25">
      <c r="A2308" s="3"/>
      <c r="B2308" s="5" t="s">
        <v>47</v>
      </c>
      <c r="C2308" s="18"/>
      <c r="D2308" s="18"/>
      <c r="E2308" s="18"/>
      <c r="F2308" s="5"/>
      <c r="G2308" s="5"/>
      <c r="H2308" s="5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  <c r="AB2308" s="18"/>
      <c r="AC2308" s="18"/>
      <c r="AD2308" s="18"/>
      <c r="AE2308" s="18"/>
      <c r="AF2308" s="18"/>
      <c r="AG2308" s="18"/>
      <c r="AH2308" s="18"/>
      <c r="AI2308" s="6"/>
    </row>
    <row r="2309" spans="1:35" x14ac:dyDescent="0.25">
      <c r="A2309" s="3"/>
      <c r="B2309" s="221" t="str">
        <f>"0x"&amp;DEC2HEX(Sheet3!$I$4,8)</f>
        <v>0x00400320</v>
      </c>
      <c r="C2309" s="221"/>
      <c r="D2309" s="221"/>
      <c r="E2309" s="16"/>
      <c r="F2309" s="322" t="str">
        <f>F2304&amp;BIN2HEX(MID(J2304,3,8),2)&amp;BIN2HEX(RIGHT(J2304,7)&amp;MID(O2304,3,1),2)&amp;BIN2HEX(MID(O2304,4,8),2)&amp;BIN2HEX(RIGHT(O2304,6)&amp;T2304&amp;U2304,2)</f>
        <v>0x000000000008072C</v>
      </c>
      <c r="G2309" s="322"/>
      <c r="H2309" s="322"/>
      <c r="I2309" s="322"/>
      <c r="J2309" s="5"/>
      <c r="K2309" s="5"/>
      <c r="L2309" s="5"/>
      <c r="M2309" s="5"/>
      <c r="N2309" s="5"/>
      <c r="O2309" s="5"/>
      <c r="P2309" s="16"/>
      <c r="Q2309" s="16"/>
      <c r="R2309" s="19"/>
      <c r="S2309" s="19"/>
      <c r="T2309" s="19"/>
      <c r="U2309" s="19"/>
      <c r="V2309" s="19"/>
      <c r="W2309" s="19"/>
      <c r="X2309" s="19"/>
      <c r="Y2309" s="19"/>
      <c r="Z2309" s="19"/>
      <c r="AA2309" s="19"/>
      <c r="AB2309" s="19"/>
      <c r="AC2309" s="19"/>
      <c r="AD2309" s="19"/>
      <c r="AE2309" s="19"/>
      <c r="AF2309" s="19"/>
      <c r="AG2309" s="5"/>
      <c r="AH2309" s="5"/>
      <c r="AI2309" s="6"/>
    </row>
    <row r="2310" spans="1:35" x14ac:dyDescent="0.25">
      <c r="A2310" s="3"/>
      <c r="B2310" s="221"/>
      <c r="C2310" s="221"/>
      <c r="D2310" s="221"/>
      <c r="E2310" s="5"/>
      <c r="F2310" s="223"/>
      <c r="G2310" s="223"/>
      <c r="H2310" s="223"/>
      <c r="I2310" s="223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/>
      <c r="AD2310" s="5"/>
      <c r="AE2310" s="5"/>
      <c r="AF2310" s="5"/>
      <c r="AG2310" s="5"/>
      <c r="AH2310" s="5"/>
      <c r="AI2310" s="6"/>
    </row>
    <row r="2311" spans="1:35" x14ac:dyDescent="0.25">
      <c r="A2311" s="3"/>
      <c r="B2311" s="221"/>
      <c r="C2311" s="221"/>
      <c r="D2311" s="221"/>
      <c r="E2311" s="5"/>
      <c r="F2311" s="223"/>
      <c r="G2311" s="223"/>
      <c r="H2311" s="223"/>
      <c r="I2311" s="223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  <c r="AE2311" s="5"/>
      <c r="AF2311" s="5"/>
      <c r="AG2311" s="5"/>
      <c r="AH2311" s="5"/>
      <c r="AI2311" s="6"/>
    </row>
    <row r="2312" spans="1:35" x14ac:dyDescent="0.25">
      <c r="A2312" s="20"/>
      <c r="B2312" s="21"/>
      <c r="C2312" s="21"/>
      <c r="D2312" s="21"/>
      <c r="E2312" s="21"/>
      <c r="F2312" s="21"/>
      <c r="G2312" s="21"/>
      <c r="H2312" s="21"/>
      <c r="I2312" s="21"/>
      <c r="J2312" s="21"/>
      <c r="K2312" s="21"/>
      <c r="L2312" s="21"/>
      <c r="M2312" s="21"/>
      <c r="N2312" s="21"/>
      <c r="O2312" s="22"/>
      <c r="P2312" s="21"/>
      <c r="Q2312" s="21"/>
      <c r="R2312" s="21"/>
      <c r="S2312" s="21"/>
      <c r="T2312" s="21"/>
      <c r="U2312" s="21"/>
      <c r="V2312" s="21"/>
      <c r="W2312" s="21"/>
      <c r="X2312" s="21"/>
      <c r="Y2312" s="21"/>
      <c r="Z2312" s="21"/>
      <c r="AA2312" s="21"/>
      <c r="AB2312" s="21"/>
      <c r="AC2312" s="21"/>
      <c r="AD2312" s="21"/>
      <c r="AE2312" s="21"/>
      <c r="AF2312" s="21"/>
      <c r="AG2312" s="21"/>
      <c r="AH2312" s="21"/>
      <c r="AI2312" s="23"/>
    </row>
  </sheetData>
  <sheetProtection algorithmName="SHA-512" hashValue="TJo1EGR4Eo2aH7IrkpWfHz3rFBOrdjHASQrQpjjVpOSQ8iLpxamBBr1MCebht/CBxDTdXO48HxpSg4w31S0Nmg==" saltValue="RlFDXwpUTmcRG1gfwacWog==" spinCount="100000" sheet="1" objects="1" scenarios="1"/>
  <mergeCells count="1057">
    <mergeCell ref="R12:AF12"/>
    <mergeCell ref="F15:H15"/>
    <mergeCell ref="J15:M15"/>
    <mergeCell ref="O15:R15"/>
    <mergeCell ref="B16:D16"/>
    <mergeCell ref="F16:H16"/>
    <mergeCell ref="J16:M16"/>
    <mergeCell ref="O16:R16"/>
    <mergeCell ref="R34:AF34"/>
    <mergeCell ref="F37:H37"/>
    <mergeCell ref="J37:M37"/>
    <mergeCell ref="O37:R37"/>
    <mergeCell ref="B38:D38"/>
    <mergeCell ref="F38:H38"/>
    <mergeCell ref="J38:M38"/>
    <mergeCell ref="O38:R38"/>
    <mergeCell ref="B39:D39"/>
    <mergeCell ref="F39:H39"/>
    <mergeCell ref="J39:M39"/>
    <mergeCell ref="O39:R39"/>
    <mergeCell ref="C28:AH28"/>
    <mergeCell ref="C29:AH29"/>
    <mergeCell ref="B17:D17"/>
    <mergeCell ref="F17:H17"/>
    <mergeCell ref="J17:M17"/>
    <mergeCell ref="O17:R17"/>
    <mergeCell ref="B18:D18"/>
    <mergeCell ref="F18:H18"/>
    <mergeCell ref="J18:M18"/>
    <mergeCell ref="O18:R18"/>
    <mergeCell ref="B21:D21"/>
    <mergeCell ref="F21:I21"/>
    <mergeCell ref="B22:D22"/>
    <mergeCell ref="F22:I22"/>
    <mergeCell ref="B23:D23"/>
    <mergeCell ref="F23:I23"/>
    <mergeCell ref="AH72:AH73"/>
    <mergeCell ref="AA72:AG72"/>
    <mergeCell ref="Y72:Y73"/>
    <mergeCell ref="X72:X73"/>
    <mergeCell ref="J83:M83"/>
    <mergeCell ref="O83:R83"/>
    <mergeCell ref="F40:H40"/>
    <mergeCell ref="J40:M40"/>
    <mergeCell ref="O40:R40"/>
    <mergeCell ref="B65:D65"/>
    <mergeCell ref="F65:I65"/>
    <mergeCell ref="R56:AF56"/>
    <mergeCell ref="F59:H59"/>
    <mergeCell ref="J59:M59"/>
    <mergeCell ref="O59:R59"/>
    <mergeCell ref="B43:D43"/>
    <mergeCell ref="F43:I43"/>
    <mergeCell ref="B44:D44"/>
    <mergeCell ref="F44:I44"/>
    <mergeCell ref="B45:D45"/>
    <mergeCell ref="F45:I45"/>
    <mergeCell ref="O62:R62"/>
    <mergeCell ref="C50:AH50"/>
    <mergeCell ref="C51:AH51"/>
    <mergeCell ref="B40:D40"/>
    <mergeCell ref="O60:R60"/>
    <mergeCell ref="B89:D89"/>
    <mergeCell ref="F89:I89"/>
    <mergeCell ref="B84:D84"/>
    <mergeCell ref="F84:H84"/>
    <mergeCell ref="J84:M84"/>
    <mergeCell ref="B87:D87"/>
    <mergeCell ref="F87:I87"/>
    <mergeCell ref="B60:D60"/>
    <mergeCell ref="F60:H60"/>
    <mergeCell ref="J60:M60"/>
    <mergeCell ref="B67:D67"/>
    <mergeCell ref="F67:I67"/>
    <mergeCell ref="B62:D62"/>
    <mergeCell ref="F62:H62"/>
    <mergeCell ref="J62:M62"/>
    <mergeCell ref="C72:W72"/>
    <mergeCell ref="C73:W73"/>
    <mergeCell ref="R78:AF78"/>
    <mergeCell ref="F81:H81"/>
    <mergeCell ref="J81:M81"/>
    <mergeCell ref="O81:R81"/>
    <mergeCell ref="Z72:Z73"/>
    <mergeCell ref="AA73:AG73"/>
    <mergeCell ref="B88:D88"/>
    <mergeCell ref="F88:I88"/>
    <mergeCell ref="O84:R84"/>
    <mergeCell ref="B82:D82"/>
    <mergeCell ref="F82:H82"/>
    <mergeCell ref="J82:M82"/>
    <mergeCell ref="O82:R82"/>
    <mergeCell ref="B83:D83"/>
    <mergeCell ref="F83:H83"/>
    <mergeCell ref="AH160:AH161"/>
    <mergeCell ref="F131:I131"/>
    <mergeCell ref="R122:AF122"/>
    <mergeCell ref="F126:H126"/>
    <mergeCell ref="J126:M126"/>
    <mergeCell ref="O126:R126"/>
    <mergeCell ref="C116:AH117"/>
    <mergeCell ref="C160:AE160"/>
    <mergeCell ref="C161:AE161"/>
    <mergeCell ref="AA94:AB94"/>
    <mergeCell ref="AA95:AB95"/>
    <mergeCell ref="D94:J95"/>
    <mergeCell ref="Z94:Z95"/>
    <mergeCell ref="AD94:AD95"/>
    <mergeCell ref="AE94:AE95"/>
    <mergeCell ref="AF94:AH95"/>
    <mergeCell ref="R100:AF100"/>
    <mergeCell ref="F104:H104"/>
    <mergeCell ref="J104:M104"/>
    <mergeCell ref="O104:R104"/>
    <mergeCell ref="F109:I109"/>
    <mergeCell ref="R94:Y94"/>
    <mergeCell ref="R95:Y95"/>
    <mergeCell ref="K94:Q95"/>
    <mergeCell ref="AD182:AD183"/>
    <mergeCell ref="AG182:AG183"/>
    <mergeCell ref="AE182:AE183"/>
    <mergeCell ref="AF182:AF183"/>
    <mergeCell ref="L204:L205"/>
    <mergeCell ref="M204:M205"/>
    <mergeCell ref="N204:N205"/>
    <mergeCell ref="O204:O205"/>
    <mergeCell ref="P204:P205"/>
    <mergeCell ref="Q204:Q205"/>
    <mergeCell ref="R204:R205"/>
    <mergeCell ref="C248:C249"/>
    <mergeCell ref="K248:M248"/>
    <mergeCell ref="K249:M249"/>
    <mergeCell ref="N248:N249"/>
    <mergeCell ref="AC248:AH249"/>
    <mergeCell ref="C138:AC138"/>
    <mergeCell ref="C139:AC139"/>
    <mergeCell ref="AD138:AD139"/>
    <mergeCell ref="AE138:AE139"/>
    <mergeCell ref="AG138:AG139"/>
    <mergeCell ref="AH138:AH139"/>
    <mergeCell ref="T182:T183"/>
    <mergeCell ref="U182:U183"/>
    <mergeCell ref="V182:V183"/>
    <mergeCell ref="C182:C183"/>
    <mergeCell ref="D182:D183"/>
    <mergeCell ref="E182:E183"/>
    <mergeCell ref="F182:F183"/>
    <mergeCell ref="G182:G183"/>
    <mergeCell ref="AF160:AF161"/>
    <mergeCell ref="AG160:AG161"/>
    <mergeCell ref="F204:F205"/>
    <mergeCell ref="G204:G205"/>
    <mergeCell ref="H204:H205"/>
    <mergeCell ref="I204:I205"/>
    <mergeCell ref="J204:J205"/>
    <mergeCell ref="K204:K205"/>
    <mergeCell ref="W182:W183"/>
    <mergeCell ref="AH182:AH183"/>
    <mergeCell ref="I182:I183"/>
    <mergeCell ref="J182:J183"/>
    <mergeCell ref="K182:K183"/>
    <mergeCell ref="L182:L183"/>
    <mergeCell ref="F197:I197"/>
    <mergeCell ref="F214:H214"/>
    <mergeCell ref="J214:M214"/>
    <mergeCell ref="O214:R214"/>
    <mergeCell ref="Y204:Y205"/>
    <mergeCell ref="AE204:AE205"/>
    <mergeCell ref="AF204:AF205"/>
    <mergeCell ref="AG204:AG205"/>
    <mergeCell ref="AH204:AH205"/>
    <mergeCell ref="M182:M183"/>
    <mergeCell ref="N182:N183"/>
    <mergeCell ref="O182:O183"/>
    <mergeCell ref="P182:P183"/>
    <mergeCell ref="Q182:Q183"/>
    <mergeCell ref="H182:H183"/>
    <mergeCell ref="X182:X183"/>
    <mergeCell ref="Y182:Y183"/>
    <mergeCell ref="Z182:Z183"/>
    <mergeCell ref="AB182:AB183"/>
    <mergeCell ref="AC182:AC183"/>
    <mergeCell ref="F302:H302"/>
    <mergeCell ref="J302:M302"/>
    <mergeCell ref="O302:R302"/>
    <mergeCell ref="F285:I285"/>
    <mergeCell ref="C292:AH293"/>
    <mergeCell ref="R298:AF298"/>
    <mergeCell ref="C380:C381"/>
    <mergeCell ref="F263:I263"/>
    <mergeCell ref="F280:H280"/>
    <mergeCell ref="J280:M280"/>
    <mergeCell ref="O280:R280"/>
    <mergeCell ref="C270:H270"/>
    <mergeCell ref="C271:H271"/>
    <mergeCell ref="I270:AH271"/>
    <mergeCell ref="R276:AF276"/>
    <mergeCell ref="F219:I219"/>
    <mergeCell ref="F170:H170"/>
    <mergeCell ref="J170:M170"/>
    <mergeCell ref="O170:R170"/>
    <mergeCell ref="F175:I175"/>
    <mergeCell ref="F192:H192"/>
    <mergeCell ref="J192:M192"/>
    <mergeCell ref="O192:R192"/>
    <mergeCell ref="F258:H258"/>
    <mergeCell ref="J258:M258"/>
    <mergeCell ref="O258:R258"/>
    <mergeCell ref="R182:R183"/>
    <mergeCell ref="F241:I241"/>
    <mergeCell ref="S204:S205"/>
    <mergeCell ref="C204:C205"/>
    <mergeCell ref="D204:D205"/>
    <mergeCell ref="E204:E205"/>
    <mergeCell ref="F346:H346"/>
    <mergeCell ref="J346:M346"/>
    <mergeCell ref="O346:R346"/>
    <mergeCell ref="F351:I351"/>
    <mergeCell ref="F368:H368"/>
    <mergeCell ref="J368:M368"/>
    <mergeCell ref="O368:R368"/>
    <mergeCell ref="F307:I307"/>
    <mergeCell ref="F324:H324"/>
    <mergeCell ref="J324:M324"/>
    <mergeCell ref="O324:R324"/>
    <mergeCell ref="F329:I329"/>
    <mergeCell ref="C314:AH315"/>
    <mergeCell ref="C336:AH337"/>
    <mergeCell ref="C358:AH359"/>
    <mergeCell ref="R320:AF320"/>
    <mergeCell ref="R342:AF342"/>
    <mergeCell ref="F434:H434"/>
    <mergeCell ref="J434:M434"/>
    <mergeCell ref="O434:R434"/>
    <mergeCell ref="F439:I439"/>
    <mergeCell ref="F456:H456"/>
    <mergeCell ref="J456:M456"/>
    <mergeCell ref="O456:R456"/>
    <mergeCell ref="F412:H412"/>
    <mergeCell ref="J412:M412"/>
    <mergeCell ref="O412:R412"/>
    <mergeCell ref="F417:I417"/>
    <mergeCell ref="F373:I373"/>
    <mergeCell ref="F390:H390"/>
    <mergeCell ref="J390:M390"/>
    <mergeCell ref="O390:R390"/>
    <mergeCell ref="F395:I395"/>
    <mergeCell ref="R386:AF386"/>
    <mergeCell ref="D380:J381"/>
    <mergeCell ref="O380:O381"/>
    <mergeCell ref="P380:R381"/>
    <mergeCell ref="S380:V381"/>
    <mergeCell ref="W380:Z381"/>
    <mergeCell ref="AB380:AB381"/>
    <mergeCell ref="K380:M380"/>
    <mergeCell ref="N380:N381"/>
    <mergeCell ref="AC380:AH381"/>
    <mergeCell ref="K381:M381"/>
    <mergeCell ref="F505:I505"/>
    <mergeCell ref="F522:H522"/>
    <mergeCell ref="J522:M522"/>
    <mergeCell ref="O522:R522"/>
    <mergeCell ref="D512:J513"/>
    <mergeCell ref="O512:O513"/>
    <mergeCell ref="F461:I461"/>
    <mergeCell ref="F478:H478"/>
    <mergeCell ref="J478:M478"/>
    <mergeCell ref="O478:R478"/>
    <mergeCell ref="F483:I483"/>
    <mergeCell ref="R474:AF474"/>
    <mergeCell ref="C468:AH469"/>
    <mergeCell ref="R540:AF540"/>
    <mergeCell ref="P512:R513"/>
    <mergeCell ref="S512:V513"/>
    <mergeCell ref="W512:Z513"/>
    <mergeCell ref="AB512:AB513"/>
    <mergeCell ref="F808:H808"/>
    <mergeCell ref="J808:M808"/>
    <mergeCell ref="O808:R808"/>
    <mergeCell ref="F813:I813"/>
    <mergeCell ref="F830:H830"/>
    <mergeCell ref="J830:M830"/>
    <mergeCell ref="O830:R830"/>
    <mergeCell ref="F769:I769"/>
    <mergeCell ref="F786:H786"/>
    <mergeCell ref="J786:M786"/>
    <mergeCell ref="O786:R786"/>
    <mergeCell ref="F791:I791"/>
    <mergeCell ref="R782:AF782"/>
    <mergeCell ref="F742:H742"/>
    <mergeCell ref="J742:M742"/>
    <mergeCell ref="O742:R742"/>
    <mergeCell ref="F747:I747"/>
    <mergeCell ref="F764:H764"/>
    <mergeCell ref="J764:M764"/>
    <mergeCell ref="O764:R764"/>
    <mergeCell ref="R804:AF804"/>
    <mergeCell ref="R826:AF826"/>
    <mergeCell ref="F1072:H1072"/>
    <mergeCell ref="J1072:M1072"/>
    <mergeCell ref="O1072:R1072"/>
    <mergeCell ref="F1077:I1077"/>
    <mergeCell ref="F1094:H1094"/>
    <mergeCell ref="J1094:M1094"/>
    <mergeCell ref="O1094:R1094"/>
    <mergeCell ref="F1033:I1033"/>
    <mergeCell ref="F1050:H1050"/>
    <mergeCell ref="J1050:M1050"/>
    <mergeCell ref="O1050:R1050"/>
    <mergeCell ref="F1055:I1055"/>
    <mergeCell ref="R1046:AF1046"/>
    <mergeCell ref="F1006:H1006"/>
    <mergeCell ref="J1006:M1006"/>
    <mergeCell ref="O1006:R1006"/>
    <mergeCell ref="F1011:I1011"/>
    <mergeCell ref="F1028:H1028"/>
    <mergeCell ref="J1028:M1028"/>
    <mergeCell ref="O1028:R1028"/>
    <mergeCell ref="O1292:R1292"/>
    <mergeCell ref="F1204:H1204"/>
    <mergeCell ref="J1204:M1204"/>
    <mergeCell ref="O1204:R1204"/>
    <mergeCell ref="F1209:I1209"/>
    <mergeCell ref="F1226:H1226"/>
    <mergeCell ref="J1226:M1226"/>
    <mergeCell ref="O1226:R1226"/>
    <mergeCell ref="F1165:I1165"/>
    <mergeCell ref="F1182:H1182"/>
    <mergeCell ref="J1182:M1182"/>
    <mergeCell ref="O1182:R1182"/>
    <mergeCell ref="F1187:I1187"/>
    <mergeCell ref="R1178:AF1178"/>
    <mergeCell ref="F1116:H1116"/>
    <mergeCell ref="J1116:M1116"/>
    <mergeCell ref="O1116:R1116"/>
    <mergeCell ref="F1121:I1121"/>
    <mergeCell ref="F1666:H1666"/>
    <mergeCell ref="J1666:M1666"/>
    <mergeCell ref="O1666:R1666"/>
    <mergeCell ref="F1671:I1671"/>
    <mergeCell ref="T204:T205"/>
    <mergeCell ref="R210:AF210"/>
    <mergeCell ref="D248:J249"/>
    <mergeCell ref="O248:O249"/>
    <mergeCell ref="P248:R249"/>
    <mergeCell ref="S248:V249"/>
    <mergeCell ref="W248:Z249"/>
    <mergeCell ref="AB248:AB249"/>
    <mergeCell ref="R254:AF254"/>
    <mergeCell ref="F1627:I1627"/>
    <mergeCell ref="F1644:H1644"/>
    <mergeCell ref="J1644:M1644"/>
    <mergeCell ref="O1644:R1644"/>
    <mergeCell ref="F1649:I1649"/>
    <mergeCell ref="F1600:H1600"/>
    <mergeCell ref="J1600:M1600"/>
    <mergeCell ref="R364:AF364"/>
    <mergeCell ref="J1468:M1468"/>
    <mergeCell ref="O1468:R1468"/>
    <mergeCell ref="F1473:I1473"/>
    <mergeCell ref="F1490:H1490"/>
    <mergeCell ref="J1490:M1490"/>
    <mergeCell ref="O1490:R1490"/>
    <mergeCell ref="F1429:I1429"/>
    <mergeCell ref="F1446:H1446"/>
    <mergeCell ref="J1446:M1446"/>
    <mergeCell ref="O1446:R1446"/>
    <mergeCell ref="F1451:I1451"/>
    <mergeCell ref="F632:H632"/>
    <mergeCell ref="J632:M632"/>
    <mergeCell ref="O632:R632"/>
    <mergeCell ref="F637:I637"/>
    <mergeCell ref="F588:H588"/>
    <mergeCell ref="J588:M588"/>
    <mergeCell ref="R144:AF144"/>
    <mergeCell ref="R166:AF166"/>
    <mergeCell ref="R188:AF188"/>
    <mergeCell ref="Z204:Z205"/>
    <mergeCell ref="AA204:AA205"/>
    <mergeCell ref="AB204:AB205"/>
    <mergeCell ref="AC204:AC205"/>
    <mergeCell ref="AD204:AD205"/>
    <mergeCell ref="U204:U205"/>
    <mergeCell ref="V204:V205"/>
    <mergeCell ref="W204:W205"/>
    <mergeCell ref="X204:X205"/>
    <mergeCell ref="F148:H148"/>
    <mergeCell ref="J148:M148"/>
    <mergeCell ref="O148:R148"/>
    <mergeCell ref="F153:I153"/>
    <mergeCell ref="AA182:AA183"/>
    <mergeCell ref="S182:S183"/>
    <mergeCell ref="F544:H544"/>
    <mergeCell ref="J544:M544"/>
    <mergeCell ref="C402:H402"/>
    <mergeCell ref="C403:H403"/>
    <mergeCell ref="I402:AH403"/>
    <mergeCell ref="O588:R588"/>
    <mergeCell ref="F593:I593"/>
    <mergeCell ref="O544:R544"/>
    <mergeCell ref="O896:R896"/>
    <mergeCell ref="R1200:AF1200"/>
    <mergeCell ref="R1222:AF1222"/>
    <mergeCell ref="R1244:AF1244"/>
    <mergeCell ref="R1266:AF1266"/>
    <mergeCell ref="R1288:AF1288"/>
    <mergeCell ref="R1068:AF1068"/>
    <mergeCell ref="R1090:AF1090"/>
    <mergeCell ref="R1112:AF1112"/>
    <mergeCell ref="R1134:AF1134"/>
    <mergeCell ref="O1270:R1270"/>
    <mergeCell ref="O940:R940"/>
    <mergeCell ref="O962:R962"/>
    <mergeCell ref="O918:R918"/>
    <mergeCell ref="R914:AF914"/>
    <mergeCell ref="R936:AF936"/>
    <mergeCell ref="R958:AF958"/>
    <mergeCell ref="K1569:AH1569"/>
    <mergeCell ref="R1596:AF1596"/>
    <mergeCell ref="C1612:C1613"/>
    <mergeCell ref="D1612:J1613"/>
    <mergeCell ref="K1612:AH1612"/>
    <mergeCell ref="K1613:AH1613"/>
    <mergeCell ref="R1464:AF1464"/>
    <mergeCell ref="R1486:AF1486"/>
    <mergeCell ref="R1508:AF1508"/>
    <mergeCell ref="R1530:AF1530"/>
    <mergeCell ref="R1552:AF1552"/>
    <mergeCell ref="O1600:R1600"/>
    <mergeCell ref="F1605:I1605"/>
    <mergeCell ref="F1561:I1561"/>
    <mergeCell ref="F1578:H1578"/>
    <mergeCell ref="J1578:M1578"/>
    <mergeCell ref="O1578:R1578"/>
    <mergeCell ref="F1583:I1583"/>
    <mergeCell ref="R1574:AF1574"/>
    <mergeCell ref="F1534:H1534"/>
    <mergeCell ref="J1534:M1534"/>
    <mergeCell ref="O1534:R1534"/>
    <mergeCell ref="F1539:I1539"/>
    <mergeCell ref="F1556:H1556"/>
    <mergeCell ref="J1556:M1556"/>
    <mergeCell ref="F1468:H1468"/>
    <mergeCell ref="C1546:C1547"/>
    <mergeCell ref="D1546:J1547"/>
    <mergeCell ref="K1546:AH1546"/>
    <mergeCell ref="K1547:AH1547"/>
    <mergeCell ref="C1524:C1525"/>
    <mergeCell ref="D1524:J1525"/>
    <mergeCell ref="K1524:AH1524"/>
    <mergeCell ref="K1525:AH1525"/>
    <mergeCell ref="F1495:I1495"/>
    <mergeCell ref="F1512:H1512"/>
    <mergeCell ref="J1512:M1512"/>
    <mergeCell ref="O1512:R1512"/>
    <mergeCell ref="F1517:I1517"/>
    <mergeCell ref="O1556:R1556"/>
    <mergeCell ref="R1618:AF1618"/>
    <mergeCell ref="R1640:AF1640"/>
    <mergeCell ref="R1662:AF1662"/>
    <mergeCell ref="C1656:C1657"/>
    <mergeCell ref="D1656:J1657"/>
    <mergeCell ref="K1656:AH1656"/>
    <mergeCell ref="K1657:AH1657"/>
    <mergeCell ref="C1634:C1635"/>
    <mergeCell ref="D1634:J1635"/>
    <mergeCell ref="K1634:AH1634"/>
    <mergeCell ref="K1635:AH1635"/>
    <mergeCell ref="F1622:H1622"/>
    <mergeCell ref="J1622:M1622"/>
    <mergeCell ref="O1622:R1622"/>
    <mergeCell ref="C1590:C1591"/>
    <mergeCell ref="D1590:J1591"/>
    <mergeCell ref="K1590:AH1590"/>
    <mergeCell ref="K1591:AH1591"/>
    <mergeCell ref="C1568:C1569"/>
    <mergeCell ref="D1568:J1569"/>
    <mergeCell ref="K1568:AH1568"/>
    <mergeCell ref="C1458:C1459"/>
    <mergeCell ref="D1458:J1459"/>
    <mergeCell ref="K1458:AH1458"/>
    <mergeCell ref="K1459:AH1459"/>
    <mergeCell ref="C1436:C1437"/>
    <mergeCell ref="D1436:J1437"/>
    <mergeCell ref="K1436:AH1436"/>
    <mergeCell ref="K1437:AH1437"/>
    <mergeCell ref="F1402:H1402"/>
    <mergeCell ref="J1402:M1402"/>
    <mergeCell ref="F1407:I1407"/>
    <mergeCell ref="F1424:H1424"/>
    <mergeCell ref="J1424:M1424"/>
    <mergeCell ref="O1424:R1424"/>
    <mergeCell ref="R1398:AF1398"/>
    <mergeCell ref="R1420:AF1420"/>
    <mergeCell ref="C1502:C1503"/>
    <mergeCell ref="D1502:J1503"/>
    <mergeCell ref="K1502:AH1502"/>
    <mergeCell ref="K1503:AH1503"/>
    <mergeCell ref="C1480:C1481"/>
    <mergeCell ref="D1480:J1481"/>
    <mergeCell ref="K1480:AH1480"/>
    <mergeCell ref="K1481:AH1481"/>
    <mergeCell ref="O1402:R1402"/>
    <mergeCell ref="R1442:AF1442"/>
    <mergeCell ref="C1370:C1371"/>
    <mergeCell ref="D1370:J1371"/>
    <mergeCell ref="K1370:AH1370"/>
    <mergeCell ref="K1371:AH1371"/>
    <mergeCell ref="C1348:C1349"/>
    <mergeCell ref="D1348:J1349"/>
    <mergeCell ref="K1348:AH1348"/>
    <mergeCell ref="K1349:AH1349"/>
    <mergeCell ref="R1332:AF1332"/>
    <mergeCell ref="R1354:AF1354"/>
    <mergeCell ref="F1363:I1363"/>
    <mergeCell ref="C1414:C1415"/>
    <mergeCell ref="D1414:J1415"/>
    <mergeCell ref="K1414:AH1414"/>
    <mergeCell ref="K1415:AH1415"/>
    <mergeCell ref="C1392:C1393"/>
    <mergeCell ref="D1392:J1393"/>
    <mergeCell ref="K1392:AH1392"/>
    <mergeCell ref="K1393:AH1393"/>
    <mergeCell ref="F1380:H1380"/>
    <mergeCell ref="J1380:M1380"/>
    <mergeCell ref="O1380:R1380"/>
    <mergeCell ref="F1385:I1385"/>
    <mergeCell ref="F1336:H1336"/>
    <mergeCell ref="J1336:M1336"/>
    <mergeCell ref="O1336:R1336"/>
    <mergeCell ref="F1341:I1341"/>
    <mergeCell ref="F1358:H1358"/>
    <mergeCell ref="J1358:M1358"/>
    <mergeCell ref="O1358:R1358"/>
    <mergeCell ref="R1376:AF1376"/>
    <mergeCell ref="C1282:C1283"/>
    <mergeCell ref="D1282:J1283"/>
    <mergeCell ref="K1282:AH1282"/>
    <mergeCell ref="K1283:AH1283"/>
    <mergeCell ref="C1260:C1261"/>
    <mergeCell ref="D1260:J1261"/>
    <mergeCell ref="K1260:AH1260"/>
    <mergeCell ref="K1261:AH1261"/>
    <mergeCell ref="F1231:I1231"/>
    <mergeCell ref="F1248:H1248"/>
    <mergeCell ref="J1248:M1248"/>
    <mergeCell ref="F1253:I1253"/>
    <mergeCell ref="C1326:C1327"/>
    <mergeCell ref="D1326:J1327"/>
    <mergeCell ref="K1326:AH1326"/>
    <mergeCell ref="K1327:AH1327"/>
    <mergeCell ref="C1304:C1305"/>
    <mergeCell ref="D1304:J1305"/>
    <mergeCell ref="K1304:AH1304"/>
    <mergeCell ref="K1305:AH1305"/>
    <mergeCell ref="O1248:R1248"/>
    <mergeCell ref="F1297:I1297"/>
    <mergeCell ref="F1314:H1314"/>
    <mergeCell ref="J1314:M1314"/>
    <mergeCell ref="O1314:R1314"/>
    <mergeCell ref="F1319:I1319"/>
    <mergeCell ref="R1310:AF1310"/>
    <mergeCell ref="F1270:H1270"/>
    <mergeCell ref="J1270:M1270"/>
    <mergeCell ref="F1275:I1275"/>
    <mergeCell ref="F1292:H1292"/>
    <mergeCell ref="J1292:M1292"/>
    <mergeCell ref="C1194:C1195"/>
    <mergeCell ref="D1194:J1195"/>
    <mergeCell ref="K1194:AH1194"/>
    <mergeCell ref="K1195:AH1195"/>
    <mergeCell ref="C1172:C1173"/>
    <mergeCell ref="D1172:J1173"/>
    <mergeCell ref="K1172:AH1172"/>
    <mergeCell ref="K1173:AH1173"/>
    <mergeCell ref="F1138:H1138"/>
    <mergeCell ref="J1138:M1138"/>
    <mergeCell ref="F1143:I1143"/>
    <mergeCell ref="F1160:H1160"/>
    <mergeCell ref="J1160:M1160"/>
    <mergeCell ref="R1156:AF1156"/>
    <mergeCell ref="C1238:C1239"/>
    <mergeCell ref="D1238:J1239"/>
    <mergeCell ref="K1238:AH1238"/>
    <mergeCell ref="K1239:AH1239"/>
    <mergeCell ref="C1216:C1217"/>
    <mergeCell ref="D1216:J1217"/>
    <mergeCell ref="K1216:AH1216"/>
    <mergeCell ref="K1217:AH1217"/>
    <mergeCell ref="O1138:R1138"/>
    <mergeCell ref="O1160:R1160"/>
    <mergeCell ref="C1106:C1107"/>
    <mergeCell ref="D1106:J1107"/>
    <mergeCell ref="K1106:AH1106"/>
    <mergeCell ref="K1107:AH1107"/>
    <mergeCell ref="C1084:C1085"/>
    <mergeCell ref="D1084:J1085"/>
    <mergeCell ref="K1084:AH1084"/>
    <mergeCell ref="K1085:AH1085"/>
    <mergeCell ref="F1099:I1099"/>
    <mergeCell ref="C1150:C1151"/>
    <mergeCell ref="D1150:J1151"/>
    <mergeCell ref="K1150:AH1150"/>
    <mergeCell ref="K1151:AH1151"/>
    <mergeCell ref="C1128:C1129"/>
    <mergeCell ref="D1128:J1129"/>
    <mergeCell ref="K1128:AH1128"/>
    <mergeCell ref="K1129:AH1129"/>
    <mergeCell ref="C1018:C1019"/>
    <mergeCell ref="D1018:J1019"/>
    <mergeCell ref="K1018:AH1018"/>
    <mergeCell ref="K1019:AH1019"/>
    <mergeCell ref="C996:C997"/>
    <mergeCell ref="D996:J997"/>
    <mergeCell ref="K996:AH996"/>
    <mergeCell ref="K997:AH997"/>
    <mergeCell ref="F967:I967"/>
    <mergeCell ref="F984:H984"/>
    <mergeCell ref="J984:M984"/>
    <mergeCell ref="F989:I989"/>
    <mergeCell ref="C1062:C1063"/>
    <mergeCell ref="D1062:J1063"/>
    <mergeCell ref="K1062:AH1062"/>
    <mergeCell ref="K1063:AH1063"/>
    <mergeCell ref="C1040:C1041"/>
    <mergeCell ref="D1040:J1041"/>
    <mergeCell ref="K1040:AH1040"/>
    <mergeCell ref="K1041:AH1041"/>
    <mergeCell ref="R980:AF980"/>
    <mergeCell ref="R1002:AF1002"/>
    <mergeCell ref="R1024:AF1024"/>
    <mergeCell ref="O984:R984"/>
    <mergeCell ref="C930:C931"/>
    <mergeCell ref="D930:J931"/>
    <mergeCell ref="K930:AH930"/>
    <mergeCell ref="K931:AH931"/>
    <mergeCell ref="C908:C909"/>
    <mergeCell ref="D908:J909"/>
    <mergeCell ref="K908:AH908"/>
    <mergeCell ref="K909:AH909"/>
    <mergeCell ref="F874:H874"/>
    <mergeCell ref="J874:M874"/>
    <mergeCell ref="F879:I879"/>
    <mergeCell ref="F896:H896"/>
    <mergeCell ref="J896:M896"/>
    <mergeCell ref="C974:C975"/>
    <mergeCell ref="D974:J975"/>
    <mergeCell ref="K974:AH974"/>
    <mergeCell ref="K975:AH975"/>
    <mergeCell ref="C952:C953"/>
    <mergeCell ref="D952:J953"/>
    <mergeCell ref="K952:AH952"/>
    <mergeCell ref="K953:AH953"/>
    <mergeCell ref="F940:H940"/>
    <mergeCell ref="J940:M940"/>
    <mergeCell ref="F945:I945"/>
    <mergeCell ref="F962:H962"/>
    <mergeCell ref="J962:M962"/>
    <mergeCell ref="F901:I901"/>
    <mergeCell ref="F918:H918"/>
    <mergeCell ref="J918:M918"/>
    <mergeCell ref="F923:I923"/>
    <mergeCell ref="R892:AF892"/>
    <mergeCell ref="O874:R874"/>
    <mergeCell ref="C842:C843"/>
    <mergeCell ref="D842:J843"/>
    <mergeCell ref="K842:AH842"/>
    <mergeCell ref="K843:AH843"/>
    <mergeCell ref="C820:C821"/>
    <mergeCell ref="D820:J821"/>
    <mergeCell ref="K820:AH820"/>
    <mergeCell ref="K821:AH821"/>
    <mergeCell ref="F835:I835"/>
    <mergeCell ref="C886:C887"/>
    <mergeCell ref="D886:J887"/>
    <mergeCell ref="K886:AH886"/>
    <mergeCell ref="K887:AH887"/>
    <mergeCell ref="C864:C865"/>
    <mergeCell ref="D864:J865"/>
    <mergeCell ref="K864:AH864"/>
    <mergeCell ref="K865:AH865"/>
    <mergeCell ref="F852:H852"/>
    <mergeCell ref="J852:M852"/>
    <mergeCell ref="F857:I857"/>
    <mergeCell ref="R848:AF848"/>
    <mergeCell ref="R870:AF870"/>
    <mergeCell ref="O852:R852"/>
    <mergeCell ref="C754:C755"/>
    <mergeCell ref="D754:J755"/>
    <mergeCell ref="K754:AH754"/>
    <mergeCell ref="K755:AH755"/>
    <mergeCell ref="C732:C733"/>
    <mergeCell ref="D732:J733"/>
    <mergeCell ref="K732:AH732"/>
    <mergeCell ref="K733:AH733"/>
    <mergeCell ref="J698:M698"/>
    <mergeCell ref="O698:R698"/>
    <mergeCell ref="C798:C799"/>
    <mergeCell ref="D798:J799"/>
    <mergeCell ref="K798:AH798"/>
    <mergeCell ref="K799:AH799"/>
    <mergeCell ref="C776:C777"/>
    <mergeCell ref="D776:J777"/>
    <mergeCell ref="K776:AH776"/>
    <mergeCell ref="K777:AH777"/>
    <mergeCell ref="R716:AF716"/>
    <mergeCell ref="R738:AF738"/>
    <mergeCell ref="R760:AF760"/>
    <mergeCell ref="F703:I703"/>
    <mergeCell ref="F720:H720"/>
    <mergeCell ref="J720:M720"/>
    <mergeCell ref="O720:R720"/>
    <mergeCell ref="F725:I725"/>
    <mergeCell ref="F698:H698"/>
    <mergeCell ref="C666:C667"/>
    <mergeCell ref="D666:J667"/>
    <mergeCell ref="K666:AH666"/>
    <mergeCell ref="K667:AH667"/>
    <mergeCell ref="C644:C645"/>
    <mergeCell ref="D644:J645"/>
    <mergeCell ref="K644:AH644"/>
    <mergeCell ref="K645:AH645"/>
    <mergeCell ref="F654:H654"/>
    <mergeCell ref="J654:M654"/>
    <mergeCell ref="O654:R654"/>
    <mergeCell ref="F659:I659"/>
    <mergeCell ref="R650:AF650"/>
    <mergeCell ref="C710:C711"/>
    <mergeCell ref="D710:J711"/>
    <mergeCell ref="K710:AH710"/>
    <mergeCell ref="K711:AH711"/>
    <mergeCell ref="C688:C689"/>
    <mergeCell ref="D688:J689"/>
    <mergeCell ref="K688:AH688"/>
    <mergeCell ref="K689:AH689"/>
    <mergeCell ref="R672:AF672"/>
    <mergeCell ref="R694:AF694"/>
    <mergeCell ref="F676:H676"/>
    <mergeCell ref="J676:M676"/>
    <mergeCell ref="O676:R676"/>
    <mergeCell ref="F681:I681"/>
    <mergeCell ref="O566:R566"/>
    <mergeCell ref="F571:I571"/>
    <mergeCell ref="R562:AF562"/>
    <mergeCell ref="F527:I527"/>
    <mergeCell ref="R584:AF584"/>
    <mergeCell ref="R606:AF606"/>
    <mergeCell ref="R628:AF628"/>
    <mergeCell ref="R408:AF408"/>
    <mergeCell ref="R430:AF430"/>
    <mergeCell ref="R452:AF452"/>
    <mergeCell ref="C424:AH425"/>
    <mergeCell ref="C446:AH447"/>
    <mergeCell ref="C578:AH579"/>
    <mergeCell ref="C600:AH601"/>
    <mergeCell ref="C622:AH623"/>
    <mergeCell ref="C490:AH491"/>
    <mergeCell ref="C534:H534"/>
    <mergeCell ref="C535:H535"/>
    <mergeCell ref="I534:AH535"/>
    <mergeCell ref="C556:AH557"/>
    <mergeCell ref="R496:AF496"/>
    <mergeCell ref="R518:AF518"/>
    <mergeCell ref="C512:C513"/>
    <mergeCell ref="K512:M512"/>
    <mergeCell ref="N512:N513"/>
    <mergeCell ref="AC512:AH513"/>
    <mergeCell ref="K513:M513"/>
    <mergeCell ref="F615:I615"/>
    <mergeCell ref="F549:I549"/>
    <mergeCell ref="F500:H500"/>
    <mergeCell ref="J500:M500"/>
    <mergeCell ref="O500:R500"/>
    <mergeCell ref="C1678:C1679"/>
    <mergeCell ref="D1678:J1679"/>
    <mergeCell ref="K1678:AH1678"/>
    <mergeCell ref="K1679:AH1679"/>
    <mergeCell ref="R1684:AF1684"/>
    <mergeCell ref="F1688:H1688"/>
    <mergeCell ref="J1688:M1688"/>
    <mergeCell ref="O1688:R1688"/>
    <mergeCell ref="F1693:I1693"/>
    <mergeCell ref="AC226:AC227"/>
    <mergeCell ref="AD226:AD227"/>
    <mergeCell ref="AE226:AE227"/>
    <mergeCell ref="AF226:AF227"/>
    <mergeCell ref="AG226:AG227"/>
    <mergeCell ref="AH226:AH227"/>
    <mergeCell ref="R232:AF232"/>
    <mergeCell ref="F236:H236"/>
    <mergeCell ref="J236:M236"/>
    <mergeCell ref="O236:R236"/>
    <mergeCell ref="C226:V226"/>
    <mergeCell ref="C227:V227"/>
    <mergeCell ref="W226:W227"/>
    <mergeCell ref="X226:X227"/>
    <mergeCell ref="Y226:Y227"/>
    <mergeCell ref="Z226:Z227"/>
    <mergeCell ref="AA226:AA227"/>
    <mergeCell ref="AB226:AB227"/>
    <mergeCell ref="F610:H610"/>
    <mergeCell ref="J610:M610"/>
    <mergeCell ref="O610:R610"/>
    <mergeCell ref="F566:H566"/>
    <mergeCell ref="J566:M566"/>
    <mergeCell ref="C1722:C1723"/>
    <mergeCell ref="D1722:J1723"/>
    <mergeCell ref="K1722:AH1722"/>
    <mergeCell ref="K1723:AH1723"/>
    <mergeCell ref="R1728:AF1728"/>
    <mergeCell ref="F1732:H1732"/>
    <mergeCell ref="J1732:M1732"/>
    <mergeCell ref="O1732:R1732"/>
    <mergeCell ref="F1737:I1737"/>
    <mergeCell ref="C1700:C1701"/>
    <mergeCell ref="D1700:J1701"/>
    <mergeCell ref="K1700:AH1700"/>
    <mergeCell ref="K1701:AH1701"/>
    <mergeCell ref="R1706:AF1706"/>
    <mergeCell ref="F1710:H1710"/>
    <mergeCell ref="J1710:M1710"/>
    <mergeCell ref="O1710:R1710"/>
    <mergeCell ref="F1715:I1715"/>
    <mergeCell ref="C1766:C1767"/>
    <mergeCell ref="D1766:J1767"/>
    <mergeCell ref="K1766:AH1766"/>
    <mergeCell ref="K1767:AH1767"/>
    <mergeCell ref="R1772:AF1772"/>
    <mergeCell ref="F1776:H1776"/>
    <mergeCell ref="J1776:M1776"/>
    <mergeCell ref="O1776:R1776"/>
    <mergeCell ref="F1781:I1781"/>
    <mergeCell ref="C1744:C1745"/>
    <mergeCell ref="D1744:J1745"/>
    <mergeCell ref="K1744:AH1744"/>
    <mergeCell ref="K1745:AH1745"/>
    <mergeCell ref="R1750:AF1750"/>
    <mergeCell ref="F1754:H1754"/>
    <mergeCell ref="J1754:M1754"/>
    <mergeCell ref="O1754:R1754"/>
    <mergeCell ref="F1759:I1759"/>
    <mergeCell ref="C1810:C1811"/>
    <mergeCell ref="D1810:J1811"/>
    <mergeCell ref="K1810:AH1810"/>
    <mergeCell ref="K1811:AH1811"/>
    <mergeCell ref="R1816:AF1816"/>
    <mergeCell ref="F1820:H1820"/>
    <mergeCell ref="J1820:M1820"/>
    <mergeCell ref="O1820:R1820"/>
    <mergeCell ref="F1825:I1825"/>
    <mergeCell ref="C1788:C1789"/>
    <mergeCell ref="D1788:J1789"/>
    <mergeCell ref="K1788:AH1788"/>
    <mergeCell ref="K1789:AH1789"/>
    <mergeCell ref="R1794:AF1794"/>
    <mergeCell ref="F1798:H1798"/>
    <mergeCell ref="J1798:M1798"/>
    <mergeCell ref="O1798:R1798"/>
    <mergeCell ref="F1803:I1803"/>
    <mergeCell ref="C1854:C1855"/>
    <mergeCell ref="D1854:J1855"/>
    <mergeCell ref="K1854:AH1854"/>
    <mergeCell ref="K1855:AH1855"/>
    <mergeCell ref="R1860:AF1860"/>
    <mergeCell ref="F1864:H1864"/>
    <mergeCell ref="J1864:M1864"/>
    <mergeCell ref="O1864:R1864"/>
    <mergeCell ref="F1869:I1869"/>
    <mergeCell ref="C1832:C1833"/>
    <mergeCell ref="D1832:J1833"/>
    <mergeCell ref="K1832:AH1832"/>
    <mergeCell ref="K1833:AH1833"/>
    <mergeCell ref="R1838:AF1838"/>
    <mergeCell ref="F1842:H1842"/>
    <mergeCell ref="J1842:M1842"/>
    <mergeCell ref="O1842:R1842"/>
    <mergeCell ref="F1847:I1847"/>
    <mergeCell ref="C1898:C1899"/>
    <mergeCell ref="D1898:J1899"/>
    <mergeCell ref="K1898:AH1898"/>
    <mergeCell ref="K1899:AH1899"/>
    <mergeCell ref="R1904:AF1904"/>
    <mergeCell ref="F1908:H1908"/>
    <mergeCell ref="J1908:M1908"/>
    <mergeCell ref="O1908:R1908"/>
    <mergeCell ref="F1913:I1913"/>
    <mergeCell ref="C1876:C1877"/>
    <mergeCell ref="D1876:J1877"/>
    <mergeCell ref="K1876:AH1876"/>
    <mergeCell ref="K1877:AH1877"/>
    <mergeCell ref="R1882:AF1882"/>
    <mergeCell ref="F1886:H1886"/>
    <mergeCell ref="J1886:M1886"/>
    <mergeCell ref="O1886:R1886"/>
    <mergeCell ref="F1891:I1891"/>
    <mergeCell ref="C1942:C1943"/>
    <mergeCell ref="D1942:J1943"/>
    <mergeCell ref="K1942:AH1942"/>
    <mergeCell ref="K1943:AH1943"/>
    <mergeCell ref="R1948:AF1948"/>
    <mergeCell ref="F1952:H1952"/>
    <mergeCell ref="J1952:M1952"/>
    <mergeCell ref="O1952:R1952"/>
    <mergeCell ref="F1957:I1957"/>
    <mergeCell ref="C1920:C1921"/>
    <mergeCell ref="D1920:J1921"/>
    <mergeCell ref="K1920:AH1920"/>
    <mergeCell ref="K1921:AH1921"/>
    <mergeCell ref="R1926:AF1926"/>
    <mergeCell ref="F1930:H1930"/>
    <mergeCell ref="J1930:M1930"/>
    <mergeCell ref="O1930:R1930"/>
    <mergeCell ref="F1935:I1935"/>
    <mergeCell ref="C1986:C1987"/>
    <mergeCell ref="D1986:J1987"/>
    <mergeCell ref="K1986:AH1986"/>
    <mergeCell ref="K1987:AH1987"/>
    <mergeCell ref="R1992:AF1992"/>
    <mergeCell ref="F1996:H1996"/>
    <mergeCell ref="J1996:M1996"/>
    <mergeCell ref="O1996:R1996"/>
    <mergeCell ref="F2001:I2001"/>
    <mergeCell ref="C1964:C1965"/>
    <mergeCell ref="D1964:J1965"/>
    <mergeCell ref="K1964:AH1964"/>
    <mergeCell ref="K1965:AH1965"/>
    <mergeCell ref="R1970:AF1970"/>
    <mergeCell ref="F1974:H1974"/>
    <mergeCell ref="J1974:M1974"/>
    <mergeCell ref="O1974:R1974"/>
    <mergeCell ref="F1979:I1979"/>
    <mergeCell ref="C2030:C2031"/>
    <mergeCell ref="D2030:J2031"/>
    <mergeCell ref="K2030:AH2030"/>
    <mergeCell ref="K2031:AH2031"/>
    <mergeCell ref="R2036:AF2036"/>
    <mergeCell ref="F2040:H2040"/>
    <mergeCell ref="J2040:M2040"/>
    <mergeCell ref="O2040:R2040"/>
    <mergeCell ref="F2045:I2045"/>
    <mergeCell ref="C2008:C2009"/>
    <mergeCell ref="D2008:J2009"/>
    <mergeCell ref="K2008:AH2008"/>
    <mergeCell ref="K2009:AH2009"/>
    <mergeCell ref="R2014:AF2014"/>
    <mergeCell ref="F2018:H2018"/>
    <mergeCell ref="J2018:M2018"/>
    <mergeCell ref="O2018:R2018"/>
    <mergeCell ref="F2023:I2023"/>
    <mergeCell ref="C2074:C2075"/>
    <mergeCell ref="D2074:J2075"/>
    <mergeCell ref="K2074:AH2074"/>
    <mergeCell ref="K2075:AH2075"/>
    <mergeCell ref="R2080:AF2080"/>
    <mergeCell ref="F2084:H2084"/>
    <mergeCell ref="J2084:M2084"/>
    <mergeCell ref="O2084:R2084"/>
    <mergeCell ref="F2089:I2089"/>
    <mergeCell ref="C2052:C2053"/>
    <mergeCell ref="D2052:J2053"/>
    <mergeCell ref="K2052:AH2052"/>
    <mergeCell ref="K2053:AH2053"/>
    <mergeCell ref="R2058:AF2058"/>
    <mergeCell ref="F2062:H2062"/>
    <mergeCell ref="J2062:M2062"/>
    <mergeCell ref="O2062:R2062"/>
    <mergeCell ref="F2067:I2067"/>
    <mergeCell ref="C2118:C2119"/>
    <mergeCell ref="D2118:J2119"/>
    <mergeCell ref="K2118:AH2118"/>
    <mergeCell ref="K2119:AH2119"/>
    <mergeCell ref="R2124:AF2124"/>
    <mergeCell ref="F2128:H2128"/>
    <mergeCell ref="J2128:M2128"/>
    <mergeCell ref="O2128:R2128"/>
    <mergeCell ref="F2133:I2133"/>
    <mergeCell ref="C2096:C2097"/>
    <mergeCell ref="D2096:J2097"/>
    <mergeCell ref="K2096:AH2096"/>
    <mergeCell ref="K2097:AH2097"/>
    <mergeCell ref="R2102:AF2102"/>
    <mergeCell ref="F2106:H2106"/>
    <mergeCell ref="J2106:M2106"/>
    <mergeCell ref="O2106:R2106"/>
    <mergeCell ref="F2111:I2111"/>
    <mergeCell ref="C2162:C2163"/>
    <mergeCell ref="D2162:J2163"/>
    <mergeCell ref="K2162:AH2162"/>
    <mergeCell ref="K2163:AH2163"/>
    <mergeCell ref="R2168:AF2168"/>
    <mergeCell ref="F2172:H2172"/>
    <mergeCell ref="J2172:M2172"/>
    <mergeCell ref="O2172:R2172"/>
    <mergeCell ref="F2177:I2177"/>
    <mergeCell ref="C2140:C2141"/>
    <mergeCell ref="D2140:J2141"/>
    <mergeCell ref="K2140:AH2140"/>
    <mergeCell ref="K2141:AH2141"/>
    <mergeCell ref="R2146:AF2146"/>
    <mergeCell ref="F2150:H2150"/>
    <mergeCell ref="J2150:M2150"/>
    <mergeCell ref="O2150:R2150"/>
    <mergeCell ref="F2155:I2155"/>
    <mergeCell ref="C2206:C2207"/>
    <mergeCell ref="D2206:J2207"/>
    <mergeCell ref="K2206:AH2206"/>
    <mergeCell ref="K2207:AH2207"/>
    <mergeCell ref="R2212:AF2212"/>
    <mergeCell ref="F2216:H2216"/>
    <mergeCell ref="J2216:M2216"/>
    <mergeCell ref="O2216:R2216"/>
    <mergeCell ref="F2221:I2221"/>
    <mergeCell ref="C2184:C2185"/>
    <mergeCell ref="D2184:J2185"/>
    <mergeCell ref="K2184:AH2184"/>
    <mergeCell ref="K2185:AH2185"/>
    <mergeCell ref="R2190:AF2190"/>
    <mergeCell ref="F2194:H2194"/>
    <mergeCell ref="J2194:M2194"/>
    <mergeCell ref="O2194:R2194"/>
    <mergeCell ref="F2199:I2199"/>
    <mergeCell ref="F2309:I2309"/>
    <mergeCell ref="C2272:C2273"/>
    <mergeCell ref="D2272:J2273"/>
    <mergeCell ref="K2272:AH2272"/>
    <mergeCell ref="K2273:AH2273"/>
    <mergeCell ref="R2278:AF2278"/>
    <mergeCell ref="F2282:H2282"/>
    <mergeCell ref="J2282:M2282"/>
    <mergeCell ref="O2282:R2282"/>
    <mergeCell ref="F2287:I2287"/>
    <mergeCell ref="C2228:C2229"/>
    <mergeCell ref="D2228:J2229"/>
    <mergeCell ref="K2228:AH2228"/>
    <mergeCell ref="K2229:AH2229"/>
    <mergeCell ref="R2234:AF2234"/>
    <mergeCell ref="F2238:H2238"/>
    <mergeCell ref="J2238:M2238"/>
    <mergeCell ref="O2238:R2238"/>
    <mergeCell ref="F2243:I2243"/>
    <mergeCell ref="C2250:C2251"/>
    <mergeCell ref="D2250:J2251"/>
    <mergeCell ref="K2250:AH2250"/>
    <mergeCell ref="K2251:AH2251"/>
    <mergeCell ref="R2256:AF2256"/>
    <mergeCell ref="F2260:H2260"/>
    <mergeCell ref="J2260:M2260"/>
    <mergeCell ref="O2260:R2260"/>
    <mergeCell ref="F2265:I2265"/>
    <mergeCell ref="C2294:C2295"/>
    <mergeCell ref="D2294:J2295"/>
    <mergeCell ref="K2294:AH2294"/>
    <mergeCell ref="K2295:AH2295"/>
    <mergeCell ref="R2300:AF2300"/>
    <mergeCell ref="F2304:H2304"/>
    <mergeCell ref="J2304:M2304"/>
    <mergeCell ref="O2304:R230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3:AI420"/>
  <sheetViews>
    <sheetView topLeftCell="A52" workbookViewId="0">
      <selection activeCell="C119" sqref="C119"/>
    </sheetView>
  </sheetViews>
  <sheetFormatPr defaultColWidth="5.7109375" defaultRowHeight="15" x14ac:dyDescent="0.25"/>
  <sheetData>
    <row r="3" spans="1:35" x14ac:dyDescent="0.25">
      <c r="A3" s="24"/>
      <c r="B3" s="28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6"/>
    </row>
    <row r="4" spans="1:35" x14ac:dyDescent="0.25">
      <c r="A4" s="3"/>
      <c r="B4" s="4" t="s">
        <v>276</v>
      </c>
      <c r="C4" s="5"/>
      <c r="D4" s="5"/>
      <c r="E4" s="5"/>
      <c r="F4" s="5"/>
      <c r="G4" s="5"/>
      <c r="H4" s="5"/>
      <c r="I4" s="5" t="str">
        <f>"0x"&amp;BIN2HEX(CONCATENATE(C9,D9,E9,F9,G9,H9,I9,J9),2)&amp;BIN2HEX(CONCATENATE(K9,L9,M9,N9,O9,P9,Q9,R9),2)&amp;BIN2HEX(CONCATENATE(S9,T9,U9,V9,W9,X9,Y9,Z9),2)&amp;BIN2HEX(CONCATENATE(AA9,AB9,AC9,AD9,AE9,AF9,AG9,AH9),2)&amp;"_"&amp;BIN2HEX(CONCATENATE(C13,D13,E13,F13,G13,H13,I13,J13),2)&amp;BIN2HEX(CONCATENATE(K13,L13,M13,N13,O13,P13,Q13,R13),2)&amp;BIN2HEX(CONCATENATE(S13,T13,U13,V13,W13,X13,Y13,Z13),2)&amp;BIN2HEX(CONCATENATE(AA13,AB13,AC13,AD13,AE13,AF13,AG13,AH13),2)</f>
        <v>0x00000000_00100000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6"/>
    </row>
    <row r="5" spans="1:35" ht="15.75" thickBot="1" x14ac:dyDescent="0.3">
      <c r="A5" s="3"/>
      <c r="B5" s="5"/>
      <c r="C5" s="7">
        <v>0</v>
      </c>
      <c r="D5" s="7">
        <v>1</v>
      </c>
      <c r="E5" s="7">
        <v>2</v>
      </c>
      <c r="F5" s="7">
        <v>3</v>
      </c>
      <c r="G5" s="7">
        <v>4</v>
      </c>
      <c r="H5" s="7">
        <v>5</v>
      </c>
      <c r="I5" s="7">
        <v>6</v>
      </c>
      <c r="J5" s="7">
        <v>7</v>
      </c>
      <c r="K5" s="7">
        <v>8</v>
      </c>
      <c r="L5" s="7">
        <v>9</v>
      </c>
      <c r="M5" s="7">
        <v>10</v>
      </c>
      <c r="N5" s="7">
        <v>11</v>
      </c>
      <c r="O5" s="7">
        <v>12</v>
      </c>
      <c r="P5" s="7">
        <v>13</v>
      </c>
      <c r="Q5" s="7">
        <v>14</v>
      </c>
      <c r="R5" s="7">
        <v>15</v>
      </c>
      <c r="S5" s="7">
        <v>16</v>
      </c>
      <c r="T5" s="7">
        <v>17</v>
      </c>
      <c r="U5" s="7">
        <v>18</v>
      </c>
      <c r="V5" s="7">
        <v>19</v>
      </c>
      <c r="W5" s="7">
        <v>20</v>
      </c>
      <c r="X5" s="7">
        <v>21</v>
      </c>
      <c r="Y5" s="7">
        <v>22</v>
      </c>
      <c r="Z5" s="7">
        <v>23</v>
      </c>
      <c r="AA5" s="7">
        <v>24</v>
      </c>
      <c r="AB5" s="7">
        <v>25</v>
      </c>
      <c r="AC5" s="7">
        <v>26</v>
      </c>
      <c r="AD5" s="7">
        <v>27</v>
      </c>
      <c r="AE5" s="7">
        <v>28</v>
      </c>
      <c r="AF5" s="7">
        <v>29</v>
      </c>
      <c r="AG5" s="7">
        <v>30</v>
      </c>
      <c r="AH5" s="7">
        <v>31</v>
      </c>
      <c r="AI5" s="6"/>
    </row>
    <row r="6" spans="1:35" x14ac:dyDescent="0.25">
      <c r="A6" s="3"/>
      <c r="B6" s="5" t="s">
        <v>31</v>
      </c>
      <c r="C6" s="153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7"/>
      <c r="AI6" s="6"/>
    </row>
    <row r="7" spans="1:35" x14ac:dyDescent="0.25">
      <c r="A7" s="3"/>
      <c r="B7" s="5" t="s">
        <v>32</v>
      </c>
      <c r="C7" s="158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60"/>
      <c r="AI7" s="6"/>
    </row>
    <row r="8" spans="1:35" x14ac:dyDescent="0.25">
      <c r="A8" s="3"/>
      <c r="B8" s="5" t="s">
        <v>11</v>
      </c>
      <c r="C8" s="56">
        <v>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v>0</v>
      </c>
      <c r="Q8" s="57">
        <v>0</v>
      </c>
      <c r="R8" s="57">
        <v>0</v>
      </c>
      <c r="S8" s="57">
        <v>0</v>
      </c>
      <c r="T8" s="57">
        <v>0</v>
      </c>
      <c r="U8" s="57">
        <v>0</v>
      </c>
      <c r="V8" s="57">
        <v>0</v>
      </c>
      <c r="W8" s="57">
        <v>0</v>
      </c>
      <c r="X8" s="57">
        <v>0</v>
      </c>
      <c r="Y8" s="57">
        <v>0</v>
      </c>
      <c r="Z8" s="57">
        <v>0</v>
      </c>
      <c r="AA8" s="57">
        <v>0</v>
      </c>
      <c r="AB8" s="57">
        <v>0</v>
      </c>
      <c r="AC8" s="57">
        <v>0</v>
      </c>
      <c r="AD8" s="57">
        <v>0</v>
      </c>
      <c r="AE8" s="57">
        <v>0</v>
      </c>
      <c r="AF8" s="57">
        <v>0</v>
      </c>
      <c r="AG8" s="57">
        <v>0</v>
      </c>
      <c r="AH8" s="58">
        <v>0</v>
      </c>
      <c r="AI8" s="6"/>
    </row>
    <row r="9" spans="1:35" ht="15.75" thickBot="1" x14ac:dyDescent="0.3">
      <c r="A9" s="3"/>
      <c r="B9" s="5" t="s">
        <v>12</v>
      </c>
      <c r="C9" s="145">
        <v>0</v>
      </c>
      <c r="D9" s="88">
        <v>0</v>
      </c>
      <c r="E9" s="88">
        <v>0</v>
      </c>
      <c r="F9" s="88">
        <v>0</v>
      </c>
      <c r="G9" s="88">
        <v>0</v>
      </c>
      <c r="H9" s="88">
        <v>0</v>
      </c>
      <c r="I9" s="88">
        <v>0</v>
      </c>
      <c r="J9" s="88">
        <v>0</v>
      </c>
      <c r="K9" s="88">
        <v>0</v>
      </c>
      <c r="L9" s="88">
        <v>0</v>
      </c>
      <c r="M9" s="88">
        <v>0</v>
      </c>
      <c r="N9" s="88">
        <v>0</v>
      </c>
      <c r="O9" s="88">
        <v>0</v>
      </c>
      <c r="P9" s="88">
        <v>0</v>
      </c>
      <c r="Q9" s="88">
        <v>0</v>
      </c>
      <c r="R9" s="88">
        <v>0</v>
      </c>
      <c r="S9" s="88">
        <v>0</v>
      </c>
      <c r="T9" s="88">
        <v>0</v>
      </c>
      <c r="U9" s="88">
        <v>0</v>
      </c>
      <c r="V9" s="88">
        <v>0</v>
      </c>
      <c r="W9" s="88">
        <v>0</v>
      </c>
      <c r="X9" s="88">
        <v>0</v>
      </c>
      <c r="Y9" s="88">
        <v>0</v>
      </c>
      <c r="Z9" s="88">
        <v>0</v>
      </c>
      <c r="AA9" s="88">
        <v>0</v>
      </c>
      <c r="AB9" s="88">
        <v>0</v>
      </c>
      <c r="AC9" s="88">
        <v>0</v>
      </c>
      <c r="AD9" s="88">
        <v>0</v>
      </c>
      <c r="AE9" s="88">
        <v>0</v>
      </c>
      <c r="AF9" s="88">
        <v>0</v>
      </c>
      <c r="AG9" s="88">
        <v>0</v>
      </c>
      <c r="AH9" s="89">
        <v>0</v>
      </c>
      <c r="AI9" s="6"/>
    </row>
    <row r="10" spans="1:35" x14ac:dyDescent="0.25">
      <c r="A10" s="3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6"/>
    </row>
    <row r="11" spans="1:35" ht="15.75" thickBot="1" x14ac:dyDescent="0.3">
      <c r="A11" s="3"/>
      <c r="B11" s="5"/>
      <c r="C11" s="7">
        <v>32</v>
      </c>
      <c r="D11" s="7">
        <v>33</v>
      </c>
      <c r="E11" s="7">
        <v>34</v>
      </c>
      <c r="F11" s="7">
        <v>35</v>
      </c>
      <c r="G11" s="7">
        <v>36</v>
      </c>
      <c r="H11" s="7">
        <v>37</v>
      </c>
      <c r="I11" s="7">
        <v>38</v>
      </c>
      <c r="J11" s="7">
        <v>39</v>
      </c>
      <c r="K11" s="7">
        <v>40</v>
      </c>
      <c r="L11" s="7">
        <v>41</v>
      </c>
      <c r="M11" s="7">
        <v>42</v>
      </c>
      <c r="N11" s="7">
        <v>43</v>
      </c>
      <c r="O11" s="7">
        <v>44</v>
      </c>
      <c r="P11" s="7">
        <v>45</v>
      </c>
      <c r="Q11" s="7">
        <v>46</v>
      </c>
      <c r="R11" s="7">
        <v>47</v>
      </c>
      <c r="S11" s="7">
        <v>48</v>
      </c>
      <c r="T11" s="7">
        <v>49</v>
      </c>
      <c r="U11" s="7">
        <v>50</v>
      </c>
      <c r="V11" s="7">
        <v>51</v>
      </c>
      <c r="W11" s="7">
        <v>52</v>
      </c>
      <c r="X11" s="7">
        <v>53</v>
      </c>
      <c r="Y11" s="7">
        <v>54</v>
      </c>
      <c r="Z11" s="7">
        <v>55</v>
      </c>
      <c r="AA11" s="7">
        <v>56</v>
      </c>
      <c r="AB11" s="7">
        <v>57</v>
      </c>
      <c r="AC11" s="7">
        <v>58</v>
      </c>
      <c r="AD11" s="7">
        <v>59</v>
      </c>
      <c r="AE11" s="7">
        <v>60</v>
      </c>
      <c r="AF11" s="7">
        <v>61</v>
      </c>
      <c r="AG11" s="7">
        <v>62</v>
      </c>
      <c r="AH11" s="7">
        <v>63</v>
      </c>
      <c r="AI11" s="6"/>
    </row>
    <row r="12" spans="1:35" ht="15.75" thickBot="1" x14ac:dyDescent="0.3">
      <c r="A12" s="3"/>
      <c r="B12" s="5"/>
      <c r="C12" s="147" t="s">
        <v>13</v>
      </c>
      <c r="D12" s="148" t="s">
        <v>14</v>
      </c>
      <c r="E12" s="148" t="s">
        <v>15</v>
      </c>
      <c r="F12" s="148" t="s">
        <v>16</v>
      </c>
      <c r="G12" s="148" t="s">
        <v>17</v>
      </c>
      <c r="H12" s="148" t="s">
        <v>18</v>
      </c>
      <c r="I12" s="148" t="s">
        <v>19</v>
      </c>
      <c r="J12" s="148" t="s">
        <v>20</v>
      </c>
      <c r="K12" s="148" t="s">
        <v>21</v>
      </c>
      <c r="L12" s="148" t="s">
        <v>22</v>
      </c>
      <c r="M12" s="148" t="s">
        <v>23</v>
      </c>
      <c r="N12" s="148" t="s">
        <v>24</v>
      </c>
      <c r="O12" s="148" t="s">
        <v>25</v>
      </c>
      <c r="P12" s="148" t="s">
        <v>26</v>
      </c>
      <c r="Q12" s="148" t="s">
        <v>27</v>
      </c>
      <c r="R12" s="362" t="s">
        <v>30</v>
      </c>
      <c r="S12" s="362"/>
      <c r="T12" s="362"/>
      <c r="U12" s="362"/>
      <c r="V12" s="362"/>
      <c r="W12" s="362"/>
      <c r="X12" s="362"/>
      <c r="Y12" s="362"/>
      <c r="Z12" s="362"/>
      <c r="AA12" s="362"/>
      <c r="AB12" s="362"/>
      <c r="AC12" s="362"/>
      <c r="AD12" s="362"/>
      <c r="AE12" s="362"/>
      <c r="AF12" s="362"/>
      <c r="AG12" s="67" t="s">
        <v>28</v>
      </c>
      <c r="AH12" s="149" t="s">
        <v>29</v>
      </c>
      <c r="AI12" s="6"/>
    </row>
    <row r="13" spans="1:35" ht="15.75" thickBot="1" x14ac:dyDescent="0.3">
      <c r="A13" s="3"/>
      <c r="B13" s="5"/>
      <c r="C13" s="150">
        <v>0</v>
      </c>
      <c r="D13" s="151">
        <v>0</v>
      </c>
      <c r="E13" s="151">
        <v>0</v>
      </c>
      <c r="F13" s="151">
        <v>0</v>
      </c>
      <c r="G13" s="151">
        <v>0</v>
      </c>
      <c r="H13" s="151">
        <v>0</v>
      </c>
      <c r="I13" s="151">
        <v>0</v>
      </c>
      <c r="J13" s="151">
        <v>0</v>
      </c>
      <c r="K13" s="151">
        <v>0</v>
      </c>
      <c r="L13" s="151">
        <v>0</v>
      </c>
      <c r="M13" s="151">
        <v>0</v>
      </c>
      <c r="N13" s="151">
        <v>1</v>
      </c>
      <c r="O13" s="151">
        <v>0</v>
      </c>
      <c r="P13" s="151">
        <v>0</v>
      </c>
      <c r="Q13" s="151">
        <v>0</v>
      </c>
      <c r="R13" s="151">
        <v>0</v>
      </c>
      <c r="S13" s="151">
        <v>0</v>
      </c>
      <c r="T13" s="151">
        <v>0</v>
      </c>
      <c r="U13" s="151">
        <v>0</v>
      </c>
      <c r="V13" s="151">
        <v>0</v>
      </c>
      <c r="W13" s="151">
        <v>0</v>
      </c>
      <c r="X13" s="151">
        <v>0</v>
      </c>
      <c r="Y13" s="151">
        <v>0</v>
      </c>
      <c r="Z13" s="151">
        <v>0</v>
      </c>
      <c r="AA13" s="151">
        <v>0</v>
      </c>
      <c r="AB13" s="151">
        <v>0</v>
      </c>
      <c r="AC13" s="151">
        <v>0</v>
      </c>
      <c r="AD13" s="151">
        <v>0</v>
      </c>
      <c r="AE13" s="151">
        <v>0</v>
      </c>
      <c r="AF13" s="151">
        <v>0</v>
      </c>
      <c r="AG13" s="151">
        <v>0</v>
      </c>
      <c r="AH13" s="152">
        <v>0</v>
      </c>
      <c r="AI13" s="6"/>
    </row>
    <row r="14" spans="1:35" x14ac:dyDescent="0.25">
      <c r="A14" s="3"/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6"/>
    </row>
    <row r="15" spans="1:35" x14ac:dyDescent="0.25">
      <c r="A15" s="3"/>
      <c r="B15" s="8" t="s">
        <v>43</v>
      </c>
      <c r="C15" s="9"/>
      <c r="D15" s="9"/>
      <c r="E15" s="9"/>
      <c r="F15" s="363" t="s">
        <v>44</v>
      </c>
      <c r="G15" s="363"/>
      <c r="H15" s="363"/>
      <c r="I15" s="9"/>
      <c r="J15" s="364" t="s">
        <v>45</v>
      </c>
      <c r="K15" s="364"/>
      <c r="L15" s="364"/>
      <c r="M15" s="364"/>
      <c r="N15" s="9"/>
      <c r="O15" s="365" t="s">
        <v>46</v>
      </c>
      <c r="P15" s="365"/>
      <c r="Q15" s="365"/>
      <c r="R15" s="365"/>
      <c r="S15" s="9"/>
      <c r="T15" s="1" t="s">
        <v>49</v>
      </c>
      <c r="U15" s="10" t="s">
        <v>48</v>
      </c>
      <c r="V15" s="5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6"/>
    </row>
    <row r="16" spans="1:35" x14ac:dyDescent="0.25">
      <c r="A16" s="3"/>
      <c r="B16" s="317" t="str">
        <f>"0x"&amp;DEC2HEX(Sheet3!$I$4,8)</f>
        <v>0x00400320</v>
      </c>
      <c r="C16" s="317"/>
      <c r="D16" s="317"/>
      <c r="E16" s="12"/>
      <c r="F16" s="319" t="str">
        <f>"0x"&amp;BIN2HEX(CONCATENATE(C9,D9,E9,F9,G9,H9,I9,J9),2)&amp;BIN2HEX(CONCATENATE(K9,L9,M9,N9,O9,P9,Q9,R9),2)&amp;BIN2HEX(CONCATENATE(S9,T9,U9,V9,W9,X9,Y9,Z9),2)&amp;BIN2HEX(CONCATENATE(AA9,AB9,AC9,AD9,AE9,AF9,AG9,AH9),2)</f>
        <v>0x00000000</v>
      </c>
      <c r="G16" s="319"/>
      <c r="H16" s="319"/>
      <c r="I16" s="12"/>
      <c r="J16" s="319" t="str">
        <f>"0b"&amp;C13&amp;D13&amp;E13&amp;F13&amp;G13&amp;H13&amp;I13&amp;J13&amp;K13&amp;L13&amp;M13&amp;N13&amp;O13&amp;P13&amp;Q13</f>
        <v>0b000000000001000</v>
      </c>
      <c r="K16" s="319"/>
      <c r="L16" s="319"/>
      <c r="M16" s="319"/>
      <c r="N16" s="12"/>
      <c r="O16" s="319" t="str">
        <f>"0b"&amp;DEC2BIN(((AF13+AE13*2+AD13*4+AC13*8+AB13*16+AA13*32+Z13*64+Y13*128+X13*256+W13*512+V13*1024+U13*2048+T13*4096+S13*2^13+R13*2^14)/512),6)&amp;DEC2BIN(MOD((AF13+AE13*2+AD13*4+AC13*8+AB13*16+AA13*32+Z13*64+Y13*128+X13*256+W13*512+V13*1024+U13*2048+T13*4096+S13*2^13+R13*2^14),512),9)</f>
        <v>0b000000000000000</v>
      </c>
      <c r="P16" s="319"/>
      <c r="Q16" s="319"/>
      <c r="R16" s="319"/>
      <c r="S16" s="12"/>
      <c r="T16" s="196">
        <v>0</v>
      </c>
      <c r="U16" s="196">
        <f>AH13</f>
        <v>0</v>
      </c>
      <c r="V16" s="5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6"/>
    </row>
    <row r="17" spans="1:35" x14ac:dyDescent="0.25">
      <c r="A17" s="3"/>
      <c r="B17" s="317"/>
      <c r="C17" s="317"/>
      <c r="D17" s="317"/>
      <c r="E17" s="15"/>
      <c r="F17" s="319"/>
      <c r="G17" s="319"/>
      <c r="H17" s="319"/>
      <c r="I17" s="15"/>
      <c r="J17" s="317"/>
      <c r="K17" s="317"/>
      <c r="L17" s="317"/>
      <c r="M17" s="317"/>
      <c r="N17" s="15"/>
      <c r="O17" s="317"/>
      <c r="P17" s="317"/>
      <c r="Q17" s="317"/>
      <c r="R17" s="317"/>
      <c r="S17" s="15"/>
      <c r="T17" s="196"/>
      <c r="U17" s="15"/>
      <c r="V17" s="5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6"/>
    </row>
    <row r="18" spans="1:35" x14ac:dyDescent="0.25">
      <c r="A18" s="3"/>
      <c r="B18" s="317"/>
      <c r="C18" s="317"/>
      <c r="D18" s="317"/>
      <c r="E18" s="15"/>
      <c r="F18" s="319"/>
      <c r="G18" s="319"/>
      <c r="H18" s="319"/>
      <c r="I18" s="15"/>
      <c r="J18" s="317"/>
      <c r="K18" s="317"/>
      <c r="L18" s="317"/>
      <c r="M18" s="317"/>
      <c r="N18" s="15"/>
      <c r="O18" s="317"/>
      <c r="P18" s="317"/>
      <c r="Q18" s="317"/>
      <c r="R18" s="317"/>
      <c r="S18" s="15"/>
      <c r="T18" s="196"/>
      <c r="U18" s="15"/>
      <c r="V18" s="5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6"/>
    </row>
    <row r="19" spans="1:35" x14ac:dyDescent="0.25">
      <c r="A19" s="3"/>
      <c r="B19" s="5"/>
      <c r="C19" s="5"/>
      <c r="D19" s="5"/>
      <c r="E19" s="5"/>
      <c r="F19" s="17"/>
      <c r="G19" s="17"/>
      <c r="H19" s="17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6"/>
    </row>
    <row r="20" spans="1:35" x14ac:dyDescent="0.25">
      <c r="A20" s="3"/>
      <c r="B20" s="5" t="s">
        <v>47</v>
      </c>
      <c r="C20" s="18"/>
      <c r="D20" s="18"/>
      <c r="E20" s="18"/>
      <c r="F20" s="5"/>
      <c r="G20" s="5"/>
      <c r="H20" s="5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6"/>
    </row>
    <row r="21" spans="1:35" x14ac:dyDescent="0.25">
      <c r="A21" s="3"/>
      <c r="B21" s="317" t="str">
        <f>"0x"&amp;DEC2HEX(Sheet3!$I$4,8)</f>
        <v>0x00400320</v>
      </c>
      <c r="C21" s="317"/>
      <c r="D21" s="317"/>
      <c r="E21" s="16"/>
      <c r="F21" s="322" t="str">
        <f>F16&amp;BIN2HEX(MID(J16,3,8),2)&amp;BIN2HEX(RIGHT(J16,7)&amp;MID(O16,3,1),2)&amp;BIN2HEX(MID(O16,4,8),2)&amp;BIN2HEX(RIGHT(O16,6)&amp;T16&amp;U16,2)</f>
        <v>0x0000000000100000</v>
      </c>
      <c r="G21" s="322"/>
      <c r="H21" s="322"/>
      <c r="I21" s="322"/>
      <c r="J21" s="5"/>
      <c r="K21" s="5"/>
      <c r="L21" s="5"/>
      <c r="M21" s="5"/>
      <c r="N21" s="5"/>
      <c r="O21" s="5"/>
      <c r="P21" s="16"/>
      <c r="Q21" s="1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5"/>
      <c r="AH21" s="5"/>
      <c r="AI21" s="6"/>
    </row>
    <row r="22" spans="1:35" x14ac:dyDescent="0.25">
      <c r="A22" s="3"/>
      <c r="B22" s="317"/>
      <c r="C22" s="317"/>
      <c r="D22" s="317"/>
      <c r="E22" s="5"/>
      <c r="F22" s="322"/>
      <c r="G22" s="322"/>
      <c r="H22" s="322"/>
      <c r="I22" s="322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6"/>
    </row>
    <row r="23" spans="1:35" x14ac:dyDescent="0.25">
      <c r="A23" s="3"/>
      <c r="B23" s="317"/>
      <c r="C23" s="317"/>
      <c r="D23" s="317"/>
      <c r="E23" s="5"/>
      <c r="F23" s="322"/>
      <c r="G23" s="322"/>
      <c r="H23" s="322"/>
      <c r="I23" s="322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6"/>
    </row>
    <row r="24" spans="1:35" x14ac:dyDescent="0.2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2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3"/>
    </row>
    <row r="25" spans="1:35" x14ac:dyDescent="0.25">
      <c r="A25" s="24"/>
      <c r="B25" s="28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6"/>
    </row>
    <row r="26" spans="1:35" x14ac:dyDescent="0.25">
      <c r="A26" s="3"/>
      <c r="B26" s="4" t="s">
        <v>278</v>
      </c>
      <c r="C26" s="5"/>
      <c r="D26" s="5"/>
      <c r="E26" s="5"/>
      <c r="F26" s="5"/>
      <c r="G26" s="5"/>
      <c r="H26" s="5"/>
      <c r="I26" s="5" t="str">
        <f>"0x"&amp;BIN2HEX(CONCATENATE(C31,D31,E31,F31,G31,H31,I31,J31),2)&amp;BIN2HEX(CONCATENATE(K31,L31,M31,N31,O31,P31,Q31,R31),2)&amp;BIN2HEX(CONCATENATE(S31,T31,U31,V31,W31,X31,Y31,Z31),2)&amp;BIN2HEX(CONCATENATE(AA31,AB31,AC31,AD31,AE31,AF31,AG31,AH31),2)&amp;"_"&amp;BIN2HEX(CONCATENATE(C35,D35,E35,F35,G35,H35,I35,J35),2)&amp;BIN2HEX(CONCATENATE(K35,L35,M35,N35,O35,P35,Q35,R35),2)&amp;BIN2HEX(CONCATENATE(S35,T35,U35,V35,W35,X35,Y35,Z35),2)&amp;BIN2HEX(CONCATENATE(AA35,AB35,AC35,AD35,AE35,AF35,AG35,AH35),2)</f>
        <v>0x00000000_001000B0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6"/>
    </row>
    <row r="27" spans="1:35" ht="15.75" thickBot="1" x14ac:dyDescent="0.3">
      <c r="A27" s="3"/>
      <c r="B27" s="5"/>
      <c r="C27" s="7">
        <v>0</v>
      </c>
      <c r="D27" s="7">
        <v>1</v>
      </c>
      <c r="E27" s="7">
        <v>2</v>
      </c>
      <c r="F27" s="7">
        <v>3</v>
      </c>
      <c r="G27" s="7">
        <v>4</v>
      </c>
      <c r="H27" s="7">
        <v>5</v>
      </c>
      <c r="I27" s="7">
        <v>6</v>
      </c>
      <c r="J27" s="7">
        <v>7</v>
      </c>
      <c r="K27" s="7">
        <v>8</v>
      </c>
      <c r="L27" s="7">
        <v>9</v>
      </c>
      <c r="M27" s="7">
        <v>10</v>
      </c>
      <c r="N27" s="7">
        <v>11</v>
      </c>
      <c r="O27" s="7">
        <v>12</v>
      </c>
      <c r="P27" s="7">
        <v>13</v>
      </c>
      <c r="Q27" s="7">
        <v>14</v>
      </c>
      <c r="R27" s="7">
        <v>15</v>
      </c>
      <c r="S27" s="7">
        <v>16</v>
      </c>
      <c r="T27" s="7">
        <v>17</v>
      </c>
      <c r="U27" s="7">
        <v>18</v>
      </c>
      <c r="V27" s="7">
        <v>19</v>
      </c>
      <c r="W27" s="7">
        <v>20</v>
      </c>
      <c r="X27" s="7">
        <v>21</v>
      </c>
      <c r="Y27" s="7">
        <v>22</v>
      </c>
      <c r="Z27" s="7">
        <v>23</v>
      </c>
      <c r="AA27" s="7">
        <v>24</v>
      </c>
      <c r="AB27" s="7">
        <v>25</v>
      </c>
      <c r="AC27" s="7">
        <v>26</v>
      </c>
      <c r="AD27" s="7">
        <v>27</v>
      </c>
      <c r="AE27" s="7">
        <v>28</v>
      </c>
      <c r="AF27" s="7">
        <v>29</v>
      </c>
      <c r="AG27" s="7">
        <v>30</v>
      </c>
      <c r="AH27" s="7">
        <v>31</v>
      </c>
      <c r="AI27" s="6"/>
    </row>
    <row r="28" spans="1:35" ht="15" customHeight="1" x14ac:dyDescent="0.25">
      <c r="A28" s="3"/>
      <c r="B28" s="5" t="s">
        <v>31</v>
      </c>
      <c r="C28" s="349">
        <v>0</v>
      </c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7"/>
      <c r="R28" s="350"/>
      <c r="S28" s="330" t="s">
        <v>279</v>
      </c>
      <c r="T28" s="331"/>
      <c r="U28" s="331"/>
      <c r="V28" s="331"/>
      <c r="W28" s="331"/>
      <c r="X28" s="331"/>
      <c r="Y28" s="331"/>
      <c r="Z28" s="331"/>
      <c r="AA28" s="331"/>
      <c r="AB28" s="331"/>
      <c r="AC28" s="331"/>
      <c r="AD28" s="331"/>
      <c r="AE28" s="331"/>
      <c r="AF28" s="331"/>
      <c r="AG28" s="331"/>
      <c r="AH28" s="355"/>
      <c r="AI28" s="6"/>
    </row>
    <row r="29" spans="1:35" x14ac:dyDescent="0.25">
      <c r="A29" s="3"/>
      <c r="B29" s="5" t="s">
        <v>32</v>
      </c>
      <c r="C29" s="351"/>
      <c r="D29" s="352"/>
      <c r="E29" s="352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33"/>
      <c r="T29" s="334"/>
      <c r="U29" s="334"/>
      <c r="V29" s="334"/>
      <c r="W29" s="334"/>
      <c r="X29" s="334"/>
      <c r="Y29" s="334"/>
      <c r="Z29" s="334"/>
      <c r="AA29" s="334"/>
      <c r="AB29" s="334"/>
      <c r="AC29" s="334"/>
      <c r="AD29" s="334"/>
      <c r="AE29" s="334"/>
      <c r="AF29" s="334"/>
      <c r="AG29" s="334"/>
      <c r="AH29" s="357"/>
      <c r="AI29" s="6"/>
    </row>
    <row r="30" spans="1:35" x14ac:dyDescent="0.25">
      <c r="A30" s="3"/>
      <c r="B30" s="5" t="s">
        <v>11</v>
      </c>
      <c r="C30" s="56">
        <v>0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v>0</v>
      </c>
      <c r="Q30" s="57">
        <v>0</v>
      </c>
      <c r="R30" s="57">
        <v>0</v>
      </c>
      <c r="S30" s="57">
        <v>0</v>
      </c>
      <c r="T30" s="57">
        <v>0</v>
      </c>
      <c r="U30" s="57">
        <v>0</v>
      </c>
      <c r="V30" s="57">
        <v>0</v>
      </c>
      <c r="W30" s="57">
        <v>0</v>
      </c>
      <c r="X30" s="57">
        <v>0</v>
      </c>
      <c r="Y30" s="57">
        <v>0</v>
      </c>
      <c r="Z30" s="57">
        <v>0</v>
      </c>
      <c r="AA30" s="57">
        <v>0</v>
      </c>
      <c r="AB30" s="57">
        <v>0</v>
      </c>
      <c r="AC30" s="57">
        <v>0</v>
      </c>
      <c r="AD30" s="57">
        <v>0</v>
      </c>
      <c r="AE30" s="57">
        <v>0</v>
      </c>
      <c r="AF30" s="57">
        <v>0</v>
      </c>
      <c r="AG30" s="57">
        <v>0</v>
      </c>
      <c r="AH30" s="58">
        <v>0</v>
      </c>
      <c r="AI30" s="6"/>
    </row>
    <row r="31" spans="1:35" ht="15.75" thickBot="1" x14ac:dyDescent="0.3">
      <c r="A31" s="3"/>
      <c r="B31" s="5" t="s">
        <v>12</v>
      </c>
      <c r="C31" s="197">
        <v>0</v>
      </c>
      <c r="D31" s="161">
        <v>0</v>
      </c>
      <c r="E31" s="161">
        <v>0</v>
      </c>
      <c r="F31" s="161">
        <v>0</v>
      </c>
      <c r="G31" s="161">
        <v>0</v>
      </c>
      <c r="H31" s="161">
        <v>0</v>
      </c>
      <c r="I31" s="161">
        <v>0</v>
      </c>
      <c r="J31" s="161">
        <v>0</v>
      </c>
      <c r="K31" s="161">
        <v>0</v>
      </c>
      <c r="L31" s="161">
        <v>0</v>
      </c>
      <c r="M31" s="161">
        <v>0</v>
      </c>
      <c r="N31" s="161">
        <v>0</v>
      </c>
      <c r="O31" s="161">
        <v>0</v>
      </c>
      <c r="P31" s="161">
        <v>0</v>
      </c>
      <c r="Q31" s="161">
        <v>0</v>
      </c>
      <c r="R31" s="161">
        <v>0</v>
      </c>
      <c r="S31" s="88">
        <v>0</v>
      </c>
      <c r="T31" s="88">
        <v>0</v>
      </c>
      <c r="U31" s="88">
        <v>0</v>
      </c>
      <c r="V31" s="88">
        <v>0</v>
      </c>
      <c r="W31" s="88">
        <v>0</v>
      </c>
      <c r="X31" s="88">
        <v>0</v>
      </c>
      <c r="Y31" s="88">
        <v>0</v>
      </c>
      <c r="Z31" s="88">
        <v>0</v>
      </c>
      <c r="AA31" s="88">
        <v>0</v>
      </c>
      <c r="AB31" s="88">
        <v>0</v>
      </c>
      <c r="AC31" s="88">
        <v>0</v>
      </c>
      <c r="AD31" s="88">
        <v>0</v>
      </c>
      <c r="AE31" s="88">
        <v>0</v>
      </c>
      <c r="AF31" s="88">
        <v>0</v>
      </c>
      <c r="AG31" s="88">
        <v>0</v>
      </c>
      <c r="AH31" s="89">
        <v>0</v>
      </c>
      <c r="AI31" s="6"/>
    </row>
    <row r="32" spans="1:35" x14ac:dyDescent="0.25">
      <c r="A32" s="3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6"/>
    </row>
    <row r="33" spans="1:35" ht="15.75" thickBot="1" x14ac:dyDescent="0.3">
      <c r="A33" s="3"/>
      <c r="B33" s="5"/>
      <c r="C33" s="7">
        <v>32</v>
      </c>
      <c r="D33" s="7">
        <v>33</v>
      </c>
      <c r="E33" s="7">
        <v>34</v>
      </c>
      <c r="F33" s="7">
        <v>35</v>
      </c>
      <c r="G33" s="7">
        <v>36</v>
      </c>
      <c r="H33" s="7">
        <v>37</v>
      </c>
      <c r="I33" s="7">
        <v>38</v>
      </c>
      <c r="J33" s="7">
        <v>39</v>
      </c>
      <c r="K33" s="7">
        <v>40</v>
      </c>
      <c r="L33" s="7">
        <v>41</v>
      </c>
      <c r="M33" s="7">
        <v>42</v>
      </c>
      <c r="N33" s="7">
        <v>43</v>
      </c>
      <c r="O33" s="7">
        <v>44</v>
      </c>
      <c r="P33" s="7">
        <v>45</v>
      </c>
      <c r="Q33" s="7">
        <v>46</v>
      </c>
      <c r="R33" s="7">
        <v>47</v>
      </c>
      <c r="S33" s="7">
        <v>48</v>
      </c>
      <c r="T33" s="7">
        <v>49</v>
      </c>
      <c r="U33" s="7">
        <v>50</v>
      </c>
      <c r="V33" s="7">
        <v>51</v>
      </c>
      <c r="W33" s="7">
        <v>52</v>
      </c>
      <c r="X33" s="7">
        <v>53</v>
      </c>
      <c r="Y33" s="7">
        <v>54</v>
      </c>
      <c r="Z33" s="7">
        <v>55</v>
      </c>
      <c r="AA33" s="7">
        <v>56</v>
      </c>
      <c r="AB33" s="7">
        <v>57</v>
      </c>
      <c r="AC33" s="7">
        <v>58</v>
      </c>
      <c r="AD33" s="7">
        <v>59</v>
      </c>
      <c r="AE33" s="7">
        <v>60</v>
      </c>
      <c r="AF33" s="7">
        <v>61</v>
      </c>
      <c r="AG33" s="7">
        <v>62</v>
      </c>
      <c r="AH33" s="7">
        <v>63</v>
      </c>
      <c r="AI33" s="6"/>
    </row>
    <row r="34" spans="1:35" ht="15.75" thickBot="1" x14ac:dyDescent="0.3">
      <c r="A34" s="3"/>
      <c r="B34" s="5"/>
      <c r="C34" s="147" t="s">
        <v>13</v>
      </c>
      <c r="D34" s="148" t="s">
        <v>14</v>
      </c>
      <c r="E34" s="148" t="s">
        <v>15</v>
      </c>
      <c r="F34" s="148" t="s">
        <v>16</v>
      </c>
      <c r="G34" s="148" t="s">
        <v>17</v>
      </c>
      <c r="H34" s="148" t="s">
        <v>18</v>
      </c>
      <c r="I34" s="148" t="s">
        <v>19</v>
      </c>
      <c r="J34" s="148" t="s">
        <v>20</v>
      </c>
      <c r="K34" s="148" t="s">
        <v>21</v>
      </c>
      <c r="L34" s="148" t="s">
        <v>22</v>
      </c>
      <c r="M34" s="148" t="s">
        <v>23</v>
      </c>
      <c r="N34" s="148" t="s">
        <v>24</v>
      </c>
      <c r="O34" s="148" t="s">
        <v>25</v>
      </c>
      <c r="P34" s="148" t="s">
        <v>26</v>
      </c>
      <c r="Q34" s="148" t="s">
        <v>27</v>
      </c>
      <c r="R34" s="362" t="s">
        <v>30</v>
      </c>
      <c r="S34" s="362"/>
      <c r="T34" s="362"/>
      <c r="U34" s="362"/>
      <c r="V34" s="362"/>
      <c r="W34" s="362"/>
      <c r="X34" s="362"/>
      <c r="Y34" s="362"/>
      <c r="Z34" s="362"/>
      <c r="AA34" s="362"/>
      <c r="AB34" s="362"/>
      <c r="AC34" s="362"/>
      <c r="AD34" s="362"/>
      <c r="AE34" s="362"/>
      <c r="AF34" s="362"/>
      <c r="AG34" s="67" t="s">
        <v>28</v>
      </c>
      <c r="AH34" s="149" t="s">
        <v>29</v>
      </c>
      <c r="AI34" s="6"/>
    </row>
    <row r="35" spans="1:35" ht="15.75" thickBot="1" x14ac:dyDescent="0.3">
      <c r="A35" s="3"/>
      <c r="B35" s="5"/>
      <c r="C35" s="150">
        <v>0</v>
      </c>
      <c r="D35" s="151">
        <v>0</v>
      </c>
      <c r="E35" s="151">
        <v>0</v>
      </c>
      <c r="F35" s="151">
        <v>0</v>
      </c>
      <c r="G35" s="151">
        <v>0</v>
      </c>
      <c r="H35" s="151">
        <v>0</v>
      </c>
      <c r="I35" s="151">
        <v>0</v>
      </c>
      <c r="J35" s="151">
        <v>0</v>
      </c>
      <c r="K35" s="151">
        <v>0</v>
      </c>
      <c r="L35" s="151">
        <v>0</v>
      </c>
      <c r="M35" s="151">
        <v>0</v>
      </c>
      <c r="N35" s="151">
        <v>1</v>
      </c>
      <c r="O35" s="151">
        <v>0</v>
      </c>
      <c r="P35" s="151">
        <v>0</v>
      </c>
      <c r="Q35" s="151">
        <v>0</v>
      </c>
      <c r="R35" s="151">
        <v>0</v>
      </c>
      <c r="S35" s="151">
        <v>0</v>
      </c>
      <c r="T35" s="151">
        <v>0</v>
      </c>
      <c r="U35" s="151">
        <v>0</v>
      </c>
      <c r="V35" s="151">
        <v>0</v>
      </c>
      <c r="W35" s="151">
        <v>0</v>
      </c>
      <c r="X35" s="151">
        <v>0</v>
      </c>
      <c r="Y35" s="151">
        <v>0</v>
      </c>
      <c r="Z35" s="151">
        <v>0</v>
      </c>
      <c r="AA35" s="151">
        <v>1</v>
      </c>
      <c r="AB35" s="151">
        <v>0</v>
      </c>
      <c r="AC35" s="151">
        <v>1</v>
      </c>
      <c r="AD35" s="151">
        <v>1</v>
      </c>
      <c r="AE35" s="151">
        <v>0</v>
      </c>
      <c r="AF35" s="151">
        <v>0</v>
      </c>
      <c r="AG35" s="151">
        <v>0</v>
      </c>
      <c r="AH35" s="152">
        <v>0</v>
      </c>
      <c r="AI35" s="6"/>
    </row>
    <row r="36" spans="1:35" x14ac:dyDescent="0.25">
      <c r="A36" s="3"/>
      <c r="B36" s="4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6"/>
    </row>
    <row r="37" spans="1:35" x14ac:dyDescent="0.25">
      <c r="A37" s="3"/>
      <c r="B37" s="8" t="s">
        <v>43</v>
      </c>
      <c r="C37" s="9"/>
      <c r="D37" s="9"/>
      <c r="E37" s="9"/>
      <c r="F37" s="363" t="s">
        <v>44</v>
      </c>
      <c r="G37" s="363"/>
      <c r="H37" s="363"/>
      <c r="I37" s="9"/>
      <c r="J37" s="364" t="s">
        <v>45</v>
      </c>
      <c r="K37" s="364"/>
      <c r="L37" s="364"/>
      <c r="M37" s="364"/>
      <c r="N37" s="9"/>
      <c r="O37" s="365" t="s">
        <v>46</v>
      </c>
      <c r="P37" s="365"/>
      <c r="Q37" s="365"/>
      <c r="R37" s="365"/>
      <c r="S37" s="9"/>
      <c r="T37" s="1" t="s">
        <v>49</v>
      </c>
      <c r="U37" s="10" t="s">
        <v>48</v>
      </c>
      <c r="V37" s="5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6"/>
    </row>
    <row r="38" spans="1:35" x14ac:dyDescent="0.25">
      <c r="A38" s="3"/>
      <c r="B38" s="317" t="str">
        <f>"0x"&amp;DEC2HEX(Sheet3!$I$4,8)</f>
        <v>0x00400320</v>
      </c>
      <c r="C38" s="317"/>
      <c r="D38" s="317"/>
      <c r="E38" s="12"/>
      <c r="F38" s="319" t="str">
        <f>"0x"&amp;BIN2HEX(CONCATENATE(C31,D31,E31,F31,G31,H31,I31,J31),2)&amp;BIN2HEX(CONCATENATE(K31,L31,M31,N31,O31,P31,Q31,R31),2)&amp;BIN2HEX(CONCATENATE(S31,T31,U31,V31,W31,X31,Y31,Z31),2)&amp;BIN2HEX(CONCATENATE(AA31,AB31,AC31,AD31,AE31,AF31,AG31,AH31),2)</f>
        <v>0x00000000</v>
      </c>
      <c r="G38" s="319"/>
      <c r="H38" s="319"/>
      <c r="I38" s="12"/>
      <c r="J38" s="319" t="str">
        <f>"0b"&amp;C35&amp;D35&amp;E35&amp;F35&amp;G35&amp;H35&amp;I35&amp;J35&amp;K35&amp;L35&amp;M35&amp;N35&amp;O35&amp;P35&amp;Q35</f>
        <v>0b000000000001000</v>
      </c>
      <c r="K38" s="319"/>
      <c r="L38" s="319"/>
      <c r="M38" s="319"/>
      <c r="N38" s="12"/>
      <c r="O38" s="319" t="str">
        <f>"0b"&amp;DEC2BIN(((AF35+AE35*2+AD35*4+AC35*8+AB35*16+AA35*32+Z35*64+Y35*128+X35*256+W35*512+V35*1024+U35*2048+T35*4096+S35*2^13+R35*2^14)/512),6)&amp;DEC2BIN(MOD((AF35+AE35*2+AD35*4+AC35*8+AB35*16+AA35*32+Z35*64+Y35*128+X35*256+W35*512+V35*1024+U35*2048+T35*4096+S35*2^13+R35*2^14),512),9)</f>
        <v>0b000000000101100</v>
      </c>
      <c r="P38" s="319"/>
      <c r="Q38" s="319"/>
      <c r="R38" s="319"/>
      <c r="S38" s="12"/>
      <c r="T38" s="196">
        <v>0</v>
      </c>
      <c r="U38" s="196">
        <f>AH35</f>
        <v>0</v>
      </c>
      <c r="V38" s="5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6"/>
    </row>
    <row r="39" spans="1:35" x14ac:dyDescent="0.25">
      <c r="A39" s="3"/>
      <c r="B39" s="317"/>
      <c r="C39" s="317"/>
      <c r="D39" s="317"/>
      <c r="E39" s="15"/>
      <c r="F39" s="319"/>
      <c r="G39" s="319"/>
      <c r="H39" s="319"/>
      <c r="I39" s="15"/>
      <c r="J39" s="317"/>
      <c r="K39" s="317"/>
      <c r="L39" s="317"/>
      <c r="M39" s="317"/>
      <c r="N39" s="15"/>
      <c r="O39" s="317"/>
      <c r="P39" s="317"/>
      <c r="Q39" s="317"/>
      <c r="R39" s="317"/>
      <c r="S39" s="15"/>
      <c r="T39" s="196"/>
      <c r="U39" s="15"/>
      <c r="V39" s="5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6"/>
    </row>
    <row r="40" spans="1:35" x14ac:dyDescent="0.25">
      <c r="A40" s="3"/>
      <c r="B40" s="317"/>
      <c r="C40" s="317"/>
      <c r="D40" s="317"/>
      <c r="E40" s="15"/>
      <c r="F40" s="319"/>
      <c r="G40" s="319"/>
      <c r="H40" s="319"/>
      <c r="I40" s="15"/>
      <c r="J40" s="317"/>
      <c r="K40" s="317"/>
      <c r="L40" s="317"/>
      <c r="M40" s="317"/>
      <c r="N40" s="15"/>
      <c r="O40" s="317"/>
      <c r="P40" s="317"/>
      <c r="Q40" s="317"/>
      <c r="R40" s="317"/>
      <c r="S40" s="15"/>
      <c r="T40" s="196"/>
      <c r="U40" s="15"/>
      <c r="V40" s="5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6"/>
    </row>
    <row r="41" spans="1:35" x14ac:dyDescent="0.25">
      <c r="A41" s="3"/>
      <c r="B41" s="5"/>
      <c r="C41" s="5"/>
      <c r="D41" s="5"/>
      <c r="E41" s="5"/>
      <c r="F41" s="17"/>
      <c r="G41" s="17"/>
      <c r="H41" s="17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6"/>
    </row>
    <row r="42" spans="1:35" x14ac:dyDescent="0.25">
      <c r="A42" s="3"/>
      <c r="B42" s="5" t="s">
        <v>47</v>
      </c>
      <c r="C42" s="18"/>
      <c r="D42" s="18"/>
      <c r="E42" s="18"/>
      <c r="F42" s="5"/>
      <c r="G42" s="5"/>
      <c r="H42" s="5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6"/>
    </row>
    <row r="43" spans="1:35" x14ac:dyDescent="0.25">
      <c r="A43" s="3"/>
      <c r="B43" s="317" t="str">
        <f>"0x"&amp;DEC2HEX(Sheet3!$I$4,8)</f>
        <v>0x00400320</v>
      </c>
      <c r="C43" s="317"/>
      <c r="D43" s="317"/>
      <c r="E43" s="16"/>
      <c r="F43" s="322" t="str">
        <f>F38&amp;BIN2HEX(MID(J38,3,8),2)&amp;BIN2HEX(RIGHT(J38,7)&amp;MID(O38,3,1),2)&amp;BIN2HEX(MID(O38,4,8),2)&amp;BIN2HEX(RIGHT(O38,6)&amp;T38&amp;U38,2)</f>
        <v>0x00000000001000B0</v>
      </c>
      <c r="G43" s="322"/>
      <c r="H43" s="322"/>
      <c r="I43" s="322"/>
      <c r="J43" s="5"/>
      <c r="K43" s="5"/>
      <c r="L43" s="5"/>
      <c r="M43" s="5"/>
      <c r="N43" s="5"/>
      <c r="O43" s="5"/>
      <c r="P43" s="16"/>
      <c r="Q43" s="16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5"/>
      <c r="AH43" s="5"/>
      <c r="AI43" s="6"/>
    </row>
    <row r="44" spans="1:35" x14ac:dyDescent="0.25">
      <c r="A44" s="3"/>
      <c r="B44" s="317"/>
      <c r="C44" s="317"/>
      <c r="D44" s="317"/>
      <c r="E44" s="5"/>
      <c r="F44" s="322"/>
      <c r="G44" s="322"/>
      <c r="H44" s="322"/>
      <c r="I44" s="322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6"/>
    </row>
    <row r="45" spans="1:35" x14ac:dyDescent="0.25">
      <c r="A45" s="3"/>
      <c r="B45" s="317"/>
      <c r="C45" s="317"/>
      <c r="D45" s="317"/>
      <c r="E45" s="5"/>
      <c r="F45" s="322"/>
      <c r="G45" s="322"/>
      <c r="H45" s="322"/>
      <c r="I45" s="322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6"/>
    </row>
    <row r="46" spans="1:35" x14ac:dyDescent="0.25">
      <c r="A46" s="2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2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3"/>
    </row>
    <row r="47" spans="1:35" x14ac:dyDescent="0.25">
      <c r="A47" s="24"/>
      <c r="B47" s="28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6"/>
    </row>
    <row r="48" spans="1:35" x14ac:dyDescent="0.25">
      <c r="A48" s="3"/>
      <c r="B48" s="4" t="s">
        <v>403</v>
      </c>
      <c r="C48" s="5"/>
      <c r="D48" s="5"/>
      <c r="E48" s="5"/>
      <c r="F48" s="5"/>
      <c r="G48" s="5"/>
      <c r="H48" s="5"/>
      <c r="I48" s="5" t="str">
        <f>"0x"&amp;BIN2HEX(CONCATENATE(C53,D53,E53,F53,G53,H53,I53,J53),2)&amp;BIN2HEX(CONCATENATE(K53,L53,M53,N53,O53,P53,Q53,R53),2)&amp;BIN2HEX(CONCATENATE(S53,T53,U53,V53,W53,X53,Y53,Z53),2)&amp;BIN2HEX(CONCATENATE(AA53,AB53,AC53,AD53,AE53,AF53,AG53,AH53),2)&amp;"_"&amp;BIN2HEX(CONCATENATE(C57,D57,E57,F57,G57,H57,I57,J57),2)&amp;BIN2HEX(CONCATENATE(K57,L57,M57,N57,O57,P57,Q57,R57),2)&amp;BIN2HEX(CONCATENATE(S57,T57,U57,V57,W57,X57,Y57,Z57),2)&amp;BIN2HEX(CONCATENATE(AA57,AB57,AC57,AD57,AE57,AF57,AG57,AH57),2)</f>
        <v>0x00000001_001000E0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6"/>
    </row>
    <row r="49" spans="1:35" ht="15.75" thickBot="1" x14ac:dyDescent="0.3">
      <c r="A49" s="3"/>
      <c r="B49" s="5"/>
      <c r="C49" s="7">
        <v>0</v>
      </c>
      <c r="D49" s="7">
        <v>1</v>
      </c>
      <c r="E49" s="7">
        <v>2</v>
      </c>
      <c r="F49" s="7">
        <v>3</v>
      </c>
      <c r="G49" s="7">
        <v>4</v>
      </c>
      <c r="H49" s="7">
        <v>5</v>
      </c>
      <c r="I49" s="7">
        <v>6</v>
      </c>
      <c r="J49" s="7">
        <v>7</v>
      </c>
      <c r="K49" s="7">
        <v>8</v>
      </c>
      <c r="L49" s="7">
        <v>9</v>
      </c>
      <c r="M49" s="7">
        <v>10</v>
      </c>
      <c r="N49" s="7">
        <v>11</v>
      </c>
      <c r="O49" s="7">
        <v>12</v>
      </c>
      <c r="P49" s="7">
        <v>13</v>
      </c>
      <c r="Q49" s="7">
        <v>14</v>
      </c>
      <c r="R49" s="7">
        <v>15</v>
      </c>
      <c r="S49" s="7">
        <v>16</v>
      </c>
      <c r="T49" s="7">
        <v>17</v>
      </c>
      <c r="U49" s="7">
        <v>18</v>
      </c>
      <c r="V49" s="7">
        <v>19</v>
      </c>
      <c r="W49" s="7">
        <v>20</v>
      </c>
      <c r="X49" s="7">
        <v>21</v>
      </c>
      <c r="Y49" s="7">
        <v>22</v>
      </c>
      <c r="Z49" s="7">
        <v>23</v>
      </c>
      <c r="AA49" s="7">
        <v>24</v>
      </c>
      <c r="AB49" s="7">
        <v>25</v>
      </c>
      <c r="AC49" s="7">
        <v>26</v>
      </c>
      <c r="AD49" s="7">
        <v>27</v>
      </c>
      <c r="AE49" s="7">
        <v>28</v>
      </c>
      <c r="AF49" s="7">
        <v>29</v>
      </c>
      <c r="AG49" s="7">
        <v>30</v>
      </c>
      <c r="AH49" s="7">
        <v>31</v>
      </c>
      <c r="AI49" s="6"/>
    </row>
    <row r="50" spans="1:35" ht="15" customHeight="1" x14ac:dyDescent="0.25">
      <c r="A50" s="3"/>
      <c r="B50" s="5" t="s">
        <v>31</v>
      </c>
      <c r="C50" s="349">
        <v>0</v>
      </c>
      <c r="D50" s="337"/>
      <c r="E50" s="337"/>
      <c r="F50" s="337"/>
      <c r="G50" s="337"/>
      <c r="H50" s="337"/>
      <c r="I50" s="337"/>
      <c r="J50" s="337"/>
      <c r="K50" s="337"/>
      <c r="L50" s="337"/>
      <c r="M50" s="337"/>
      <c r="N50" s="337"/>
      <c r="O50" s="337"/>
      <c r="P50" s="337"/>
      <c r="Q50" s="337"/>
      <c r="R50" s="337"/>
      <c r="S50" s="337"/>
      <c r="T50" s="337"/>
      <c r="U50" s="337"/>
      <c r="V50" s="337"/>
      <c r="W50" s="337"/>
      <c r="X50" s="337"/>
      <c r="Y50" s="337"/>
      <c r="Z50" s="337"/>
      <c r="AA50" s="337"/>
      <c r="AB50" s="337"/>
      <c r="AC50" s="337"/>
      <c r="AD50" s="337"/>
      <c r="AE50" s="337"/>
      <c r="AF50" s="337"/>
      <c r="AG50" s="337"/>
      <c r="AH50" s="347" t="s">
        <v>404</v>
      </c>
      <c r="AI50" s="6"/>
    </row>
    <row r="51" spans="1:35" x14ac:dyDescent="0.25">
      <c r="A51" s="3"/>
      <c r="B51" s="5" t="s">
        <v>32</v>
      </c>
      <c r="C51" s="351"/>
      <c r="D51" s="352"/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52"/>
      <c r="Y51" s="352"/>
      <c r="Z51" s="352"/>
      <c r="AA51" s="352"/>
      <c r="AB51" s="352"/>
      <c r="AC51" s="352"/>
      <c r="AD51" s="352"/>
      <c r="AE51" s="352"/>
      <c r="AF51" s="352"/>
      <c r="AG51" s="352"/>
      <c r="AH51" s="348"/>
      <c r="AI51" s="6"/>
    </row>
    <row r="52" spans="1:35" x14ac:dyDescent="0.25">
      <c r="A52" s="3"/>
      <c r="B52" s="5" t="s">
        <v>11</v>
      </c>
      <c r="C52" s="56">
        <v>0</v>
      </c>
      <c r="D52" s="57">
        <v>0</v>
      </c>
      <c r="E52" s="57">
        <v>0</v>
      </c>
      <c r="F52" s="57">
        <v>0</v>
      </c>
      <c r="G52" s="57">
        <v>0</v>
      </c>
      <c r="H52" s="57">
        <v>0</v>
      </c>
      <c r="I52" s="57">
        <v>0</v>
      </c>
      <c r="J52" s="57">
        <v>0</v>
      </c>
      <c r="K52" s="57">
        <v>0</v>
      </c>
      <c r="L52" s="57">
        <v>0</v>
      </c>
      <c r="M52" s="57">
        <v>0</v>
      </c>
      <c r="N52" s="57">
        <v>0</v>
      </c>
      <c r="O52" s="57">
        <v>0</v>
      </c>
      <c r="P52" s="57">
        <v>0</v>
      </c>
      <c r="Q52" s="57">
        <v>0</v>
      </c>
      <c r="R52" s="57">
        <v>0</v>
      </c>
      <c r="S52" s="57">
        <v>0</v>
      </c>
      <c r="T52" s="57">
        <v>0</v>
      </c>
      <c r="U52" s="57">
        <v>0</v>
      </c>
      <c r="V52" s="57">
        <v>0</v>
      </c>
      <c r="W52" s="57">
        <v>0</v>
      </c>
      <c r="X52" s="57">
        <v>0</v>
      </c>
      <c r="Y52" s="57">
        <v>0</v>
      </c>
      <c r="Z52" s="57">
        <v>0</v>
      </c>
      <c r="AA52" s="57">
        <v>0</v>
      </c>
      <c r="AB52" s="57">
        <v>0</v>
      </c>
      <c r="AC52" s="57">
        <v>0</v>
      </c>
      <c r="AD52" s="57">
        <v>0</v>
      </c>
      <c r="AE52" s="57">
        <v>0</v>
      </c>
      <c r="AF52" s="57">
        <v>0</v>
      </c>
      <c r="AG52" s="57">
        <v>0</v>
      </c>
      <c r="AH52" s="58">
        <v>1</v>
      </c>
      <c r="AI52" s="6"/>
    </row>
    <row r="53" spans="1:35" ht="15.75" thickBot="1" x14ac:dyDescent="0.3">
      <c r="A53" s="3"/>
      <c r="B53" s="5" t="s">
        <v>12</v>
      </c>
      <c r="C53" s="197">
        <v>0</v>
      </c>
      <c r="D53" s="161">
        <v>0</v>
      </c>
      <c r="E53" s="161">
        <v>0</v>
      </c>
      <c r="F53" s="161">
        <v>0</v>
      </c>
      <c r="G53" s="161">
        <v>0</v>
      </c>
      <c r="H53" s="161">
        <v>0</v>
      </c>
      <c r="I53" s="161">
        <v>0</v>
      </c>
      <c r="J53" s="161">
        <v>0</v>
      </c>
      <c r="K53" s="161">
        <v>0</v>
      </c>
      <c r="L53" s="161">
        <v>0</v>
      </c>
      <c r="M53" s="161">
        <v>0</v>
      </c>
      <c r="N53" s="161">
        <v>0</v>
      </c>
      <c r="O53" s="161">
        <v>0</v>
      </c>
      <c r="P53" s="161">
        <v>0</v>
      </c>
      <c r="Q53" s="161">
        <v>0</v>
      </c>
      <c r="R53" s="161">
        <v>0</v>
      </c>
      <c r="S53" s="161">
        <v>0</v>
      </c>
      <c r="T53" s="161">
        <v>0</v>
      </c>
      <c r="U53" s="161">
        <v>0</v>
      </c>
      <c r="V53" s="161">
        <v>0</v>
      </c>
      <c r="W53" s="161">
        <v>0</v>
      </c>
      <c r="X53" s="161">
        <v>0</v>
      </c>
      <c r="Y53" s="161">
        <v>0</v>
      </c>
      <c r="Z53" s="161">
        <v>0</v>
      </c>
      <c r="AA53" s="161">
        <v>0</v>
      </c>
      <c r="AB53" s="161">
        <v>0</v>
      </c>
      <c r="AC53" s="161">
        <v>0</v>
      </c>
      <c r="AD53" s="161">
        <v>0</v>
      </c>
      <c r="AE53" s="161">
        <v>0</v>
      </c>
      <c r="AF53" s="161">
        <v>0</v>
      </c>
      <c r="AG53" s="161">
        <v>0</v>
      </c>
      <c r="AH53" s="89">
        <v>1</v>
      </c>
      <c r="AI53" s="6"/>
    </row>
    <row r="54" spans="1:35" x14ac:dyDescent="0.25">
      <c r="A54" s="3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6"/>
    </row>
    <row r="55" spans="1:35" ht="15.75" thickBot="1" x14ac:dyDescent="0.3">
      <c r="A55" s="3"/>
      <c r="B55" s="5"/>
      <c r="C55" s="7">
        <v>32</v>
      </c>
      <c r="D55" s="7">
        <v>33</v>
      </c>
      <c r="E55" s="7">
        <v>34</v>
      </c>
      <c r="F55" s="7">
        <v>35</v>
      </c>
      <c r="G55" s="7">
        <v>36</v>
      </c>
      <c r="H55" s="7">
        <v>37</v>
      </c>
      <c r="I55" s="7">
        <v>38</v>
      </c>
      <c r="J55" s="7">
        <v>39</v>
      </c>
      <c r="K55" s="7">
        <v>40</v>
      </c>
      <c r="L55" s="7">
        <v>41</v>
      </c>
      <c r="M55" s="7">
        <v>42</v>
      </c>
      <c r="N55" s="7">
        <v>43</v>
      </c>
      <c r="O55" s="7">
        <v>44</v>
      </c>
      <c r="P55" s="7">
        <v>45</v>
      </c>
      <c r="Q55" s="7">
        <v>46</v>
      </c>
      <c r="R55" s="7">
        <v>47</v>
      </c>
      <c r="S55" s="7">
        <v>48</v>
      </c>
      <c r="T55" s="7">
        <v>49</v>
      </c>
      <c r="U55" s="7">
        <v>50</v>
      </c>
      <c r="V55" s="7">
        <v>51</v>
      </c>
      <c r="W55" s="7">
        <v>52</v>
      </c>
      <c r="X55" s="7">
        <v>53</v>
      </c>
      <c r="Y55" s="7">
        <v>54</v>
      </c>
      <c r="Z55" s="7">
        <v>55</v>
      </c>
      <c r="AA55" s="7">
        <v>56</v>
      </c>
      <c r="AB55" s="7">
        <v>57</v>
      </c>
      <c r="AC55" s="7">
        <v>58</v>
      </c>
      <c r="AD55" s="7">
        <v>59</v>
      </c>
      <c r="AE55" s="7">
        <v>60</v>
      </c>
      <c r="AF55" s="7">
        <v>61</v>
      </c>
      <c r="AG55" s="7">
        <v>62</v>
      </c>
      <c r="AH55" s="7">
        <v>63</v>
      </c>
      <c r="AI55" s="6"/>
    </row>
    <row r="56" spans="1:35" ht="15.75" thickBot="1" x14ac:dyDescent="0.3">
      <c r="A56" s="3"/>
      <c r="B56" s="5"/>
      <c r="C56" s="147" t="s">
        <v>13</v>
      </c>
      <c r="D56" s="148" t="s">
        <v>14</v>
      </c>
      <c r="E56" s="148" t="s">
        <v>15</v>
      </c>
      <c r="F56" s="148" t="s">
        <v>16</v>
      </c>
      <c r="G56" s="148" t="s">
        <v>17</v>
      </c>
      <c r="H56" s="148" t="s">
        <v>18</v>
      </c>
      <c r="I56" s="148" t="s">
        <v>19</v>
      </c>
      <c r="J56" s="148" t="s">
        <v>20</v>
      </c>
      <c r="K56" s="148" t="s">
        <v>21</v>
      </c>
      <c r="L56" s="148" t="s">
        <v>22</v>
      </c>
      <c r="M56" s="148" t="s">
        <v>23</v>
      </c>
      <c r="N56" s="148" t="s">
        <v>24</v>
      </c>
      <c r="O56" s="148" t="s">
        <v>25</v>
      </c>
      <c r="P56" s="148" t="s">
        <v>26</v>
      </c>
      <c r="Q56" s="148" t="s">
        <v>27</v>
      </c>
      <c r="R56" s="362" t="s">
        <v>30</v>
      </c>
      <c r="S56" s="362"/>
      <c r="T56" s="362"/>
      <c r="U56" s="362"/>
      <c r="V56" s="362"/>
      <c r="W56" s="362"/>
      <c r="X56" s="362"/>
      <c r="Y56" s="362"/>
      <c r="Z56" s="362"/>
      <c r="AA56" s="362"/>
      <c r="AB56" s="362"/>
      <c r="AC56" s="362"/>
      <c r="AD56" s="362"/>
      <c r="AE56" s="362"/>
      <c r="AF56" s="362"/>
      <c r="AG56" s="67" t="s">
        <v>28</v>
      </c>
      <c r="AH56" s="149" t="s">
        <v>29</v>
      </c>
      <c r="AI56" s="6"/>
    </row>
    <row r="57" spans="1:35" ht="15.75" thickBot="1" x14ac:dyDescent="0.3">
      <c r="A57" s="3"/>
      <c r="B57" s="5"/>
      <c r="C57" s="150">
        <v>0</v>
      </c>
      <c r="D57" s="151">
        <v>0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1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1</v>
      </c>
      <c r="AB57" s="151">
        <v>1</v>
      </c>
      <c r="AC57" s="151">
        <v>1</v>
      </c>
      <c r="AD57" s="151">
        <v>0</v>
      </c>
      <c r="AE57" s="151">
        <v>0</v>
      </c>
      <c r="AF57" s="151">
        <v>0</v>
      </c>
      <c r="AG57" s="151">
        <v>0</v>
      </c>
      <c r="AH57" s="152">
        <v>0</v>
      </c>
      <c r="AI57" s="6"/>
    </row>
    <row r="58" spans="1:35" x14ac:dyDescent="0.25">
      <c r="A58" s="3"/>
      <c r="B58" s="4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6"/>
    </row>
    <row r="59" spans="1:35" x14ac:dyDescent="0.25">
      <c r="A59" s="3"/>
      <c r="B59" s="8" t="s">
        <v>43</v>
      </c>
      <c r="C59" s="9"/>
      <c r="D59" s="9"/>
      <c r="E59" s="9"/>
      <c r="F59" s="363" t="s">
        <v>44</v>
      </c>
      <c r="G59" s="363"/>
      <c r="H59" s="363"/>
      <c r="I59" s="9"/>
      <c r="J59" s="364" t="s">
        <v>45</v>
      </c>
      <c r="K59" s="364"/>
      <c r="L59" s="364"/>
      <c r="M59" s="364"/>
      <c r="N59" s="9"/>
      <c r="O59" s="365" t="s">
        <v>46</v>
      </c>
      <c r="P59" s="365"/>
      <c r="Q59" s="365"/>
      <c r="R59" s="365"/>
      <c r="S59" s="9"/>
      <c r="T59" s="1" t="s">
        <v>49</v>
      </c>
      <c r="U59" s="10" t="s">
        <v>48</v>
      </c>
      <c r="V59" s="5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6"/>
    </row>
    <row r="60" spans="1:35" x14ac:dyDescent="0.25">
      <c r="A60" s="3"/>
      <c r="B60" s="317" t="str">
        <f>"0x"&amp;DEC2HEX(Sheet3!$I$4,8)</f>
        <v>0x00400320</v>
      </c>
      <c r="C60" s="317"/>
      <c r="D60" s="317"/>
      <c r="E60" s="12"/>
      <c r="F60" s="319" t="str">
        <f>"0x"&amp;BIN2HEX(CONCATENATE(C53,D53,E53,F53,G53,H53,I53,J53),2)&amp;BIN2HEX(CONCATENATE(K53,L53,M53,N53,O53,P53,Q53,R53),2)&amp;BIN2HEX(CONCATENATE(S53,T53,U53,V53,W53,X53,Y53,Z53),2)&amp;BIN2HEX(CONCATENATE(AA53,AB53,AC53,AD53,AE53,AF53,AG53,AH53),2)</f>
        <v>0x00000001</v>
      </c>
      <c r="G60" s="319"/>
      <c r="H60" s="319"/>
      <c r="I60" s="12"/>
      <c r="J60" s="319" t="str">
        <f>"0b"&amp;C57&amp;D57&amp;E57&amp;F57&amp;G57&amp;H57&amp;I57&amp;J57&amp;K57&amp;L57&amp;M57&amp;N57&amp;O57&amp;P57&amp;Q57</f>
        <v>0b000000000001000</v>
      </c>
      <c r="K60" s="319"/>
      <c r="L60" s="319"/>
      <c r="M60" s="319"/>
      <c r="N60" s="12"/>
      <c r="O60" s="319" t="str">
        <f>"0b"&amp;DEC2BIN(((AF57+AE57*2+AD57*4+AC57*8+AB57*16+AA57*32+Z57*64+Y57*128+X57*256+W57*512+V57*1024+U57*2048+T57*4096+S57*2^13+R57*2^14)/512),6)&amp;DEC2BIN(MOD((AF57+AE57*2+AD57*4+AC57*8+AB57*16+AA57*32+Z57*64+Y57*128+X57*256+W57*512+V57*1024+U57*2048+T57*4096+S57*2^13+R57*2^14),512),9)</f>
        <v>0b000000000111000</v>
      </c>
      <c r="P60" s="319"/>
      <c r="Q60" s="319"/>
      <c r="R60" s="319"/>
      <c r="S60" s="12"/>
      <c r="T60" s="196">
        <v>0</v>
      </c>
      <c r="U60" s="196">
        <f>AH57</f>
        <v>0</v>
      </c>
      <c r="V60" s="5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6"/>
    </row>
    <row r="61" spans="1:35" x14ac:dyDescent="0.25">
      <c r="A61" s="3"/>
      <c r="B61" s="317"/>
      <c r="C61" s="317"/>
      <c r="D61" s="317"/>
      <c r="E61" s="15"/>
      <c r="F61" s="319"/>
      <c r="G61" s="319"/>
      <c r="H61" s="319"/>
      <c r="I61" s="15"/>
      <c r="J61" s="317"/>
      <c r="K61" s="317"/>
      <c r="L61" s="317"/>
      <c r="M61" s="317"/>
      <c r="N61" s="15"/>
      <c r="O61" s="317"/>
      <c r="P61" s="317"/>
      <c r="Q61" s="317"/>
      <c r="R61" s="317"/>
      <c r="S61" s="15"/>
      <c r="T61" s="196"/>
      <c r="U61" s="15"/>
      <c r="V61" s="5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6"/>
    </row>
    <row r="62" spans="1:35" x14ac:dyDescent="0.25">
      <c r="A62" s="3"/>
      <c r="B62" s="317"/>
      <c r="C62" s="317"/>
      <c r="D62" s="317"/>
      <c r="E62" s="15"/>
      <c r="F62" s="319"/>
      <c r="G62" s="319"/>
      <c r="H62" s="319"/>
      <c r="I62" s="15"/>
      <c r="J62" s="317"/>
      <c r="K62" s="317"/>
      <c r="L62" s="317"/>
      <c r="M62" s="317"/>
      <c r="N62" s="15"/>
      <c r="O62" s="317"/>
      <c r="P62" s="317"/>
      <c r="Q62" s="317"/>
      <c r="R62" s="317"/>
      <c r="S62" s="15"/>
      <c r="T62" s="196"/>
      <c r="U62" s="15"/>
      <c r="V62" s="5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6"/>
    </row>
    <row r="63" spans="1:35" x14ac:dyDescent="0.25">
      <c r="A63" s="3"/>
      <c r="B63" s="5"/>
      <c r="C63" s="5"/>
      <c r="D63" s="5"/>
      <c r="E63" s="5"/>
      <c r="F63" s="17"/>
      <c r="G63" s="17"/>
      <c r="H63" s="17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6"/>
    </row>
    <row r="64" spans="1:35" x14ac:dyDescent="0.25">
      <c r="A64" s="3"/>
      <c r="B64" s="5" t="s">
        <v>47</v>
      </c>
      <c r="C64" s="18"/>
      <c r="D64" s="18"/>
      <c r="E64" s="18"/>
      <c r="F64" s="5"/>
      <c r="G64" s="5"/>
      <c r="H64" s="5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6"/>
    </row>
    <row r="65" spans="1:35" x14ac:dyDescent="0.25">
      <c r="A65" s="3"/>
      <c r="B65" s="317" t="str">
        <f>"0x"&amp;DEC2HEX(Sheet3!$I$4,8)</f>
        <v>0x00400320</v>
      </c>
      <c r="C65" s="317"/>
      <c r="D65" s="317"/>
      <c r="E65" s="16"/>
      <c r="F65" s="322" t="str">
        <f>F60&amp;BIN2HEX(MID(J60,3,8),2)&amp;BIN2HEX(RIGHT(J60,7)&amp;MID(O60,3,1),2)&amp;BIN2HEX(MID(O60,4,8),2)&amp;BIN2HEX(RIGHT(O60,6)&amp;T60&amp;U60,2)</f>
        <v>0x00000001001000E0</v>
      </c>
      <c r="G65" s="322"/>
      <c r="H65" s="322"/>
      <c r="I65" s="322"/>
      <c r="J65" s="5"/>
      <c r="K65" s="5"/>
      <c r="L65" s="5"/>
      <c r="M65" s="5"/>
      <c r="N65" s="5"/>
      <c r="O65" s="5"/>
      <c r="P65" s="16"/>
      <c r="Q65" s="16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5"/>
      <c r="AH65" s="5"/>
      <c r="AI65" s="6"/>
    </row>
    <row r="66" spans="1:35" x14ac:dyDescent="0.25">
      <c r="A66" s="3"/>
      <c r="B66" s="317"/>
      <c r="C66" s="317"/>
      <c r="D66" s="317"/>
      <c r="E66" s="5"/>
      <c r="F66" s="322"/>
      <c r="G66" s="322"/>
      <c r="H66" s="322"/>
      <c r="I66" s="322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6"/>
    </row>
    <row r="67" spans="1:35" x14ac:dyDescent="0.25">
      <c r="A67" s="3"/>
      <c r="B67" s="317"/>
      <c r="C67" s="317"/>
      <c r="D67" s="317"/>
      <c r="E67" s="5"/>
      <c r="F67" s="322"/>
      <c r="G67" s="322"/>
      <c r="H67" s="322"/>
      <c r="I67" s="322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6"/>
    </row>
    <row r="68" spans="1:35" x14ac:dyDescent="0.25">
      <c r="A68" s="20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2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3"/>
    </row>
    <row r="69" spans="1:35" x14ac:dyDescent="0.25">
      <c r="A69" s="24"/>
      <c r="B69" s="28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6"/>
    </row>
    <row r="70" spans="1:35" x14ac:dyDescent="0.25">
      <c r="A70" s="3"/>
      <c r="B70" s="4" t="s">
        <v>280</v>
      </c>
      <c r="C70" s="5"/>
      <c r="D70" s="5"/>
      <c r="E70" s="5"/>
      <c r="F70" s="5"/>
      <c r="G70" s="5"/>
      <c r="H70" s="5"/>
      <c r="I70" s="5" t="str">
        <f>"0x"&amp;BIN2HEX(CONCATENATE(C75,D75,E75,F75,G75,H75,I75,J75),2)&amp;BIN2HEX(CONCATENATE(K75,L75,M75,N75,O75,P75,Q75,R75),2)&amp;BIN2HEX(CONCATENATE(S75,T75,U75,V75,W75,X75,Y75,Z75),2)&amp;BIN2HEX(CONCATENATE(AA75,AB75,AC75,AD75,AE75,AF75,AG75,AH75),2)&amp;"_"&amp;BIN2HEX(CONCATENATE(C79,D79,E79,F79,G79,H79,I79,J79),2)&amp;BIN2HEX(CONCATENATE(K79,L79,M79,N79,O79,P79,Q79,R79),2)&amp;BIN2HEX(CONCATENATE(S79,T79,U79,V79,W79,X79,Y79,Z79),2)&amp;BIN2HEX(CONCATENATE(AA79,AB79,AC79,AD79,AE79,AF79,AG79,AH79),2)</f>
        <v>0xFFFFFFFF_00100100</v>
      </c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6"/>
    </row>
    <row r="71" spans="1:35" ht="15.75" thickBot="1" x14ac:dyDescent="0.3">
      <c r="A71" s="3"/>
      <c r="B71" s="5"/>
      <c r="C71" s="7">
        <v>0</v>
      </c>
      <c r="D71" s="7">
        <v>1</v>
      </c>
      <c r="E71" s="7">
        <v>2</v>
      </c>
      <c r="F71" s="7">
        <v>3</v>
      </c>
      <c r="G71" s="7">
        <v>4</v>
      </c>
      <c r="H71" s="7">
        <v>5</v>
      </c>
      <c r="I71" s="7">
        <v>6</v>
      </c>
      <c r="J71" s="7">
        <v>7</v>
      </c>
      <c r="K71" s="7">
        <v>8</v>
      </c>
      <c r="L71" s="7">
        <v>9</v>
      </c>
      <c r="M71" s="7">
        <v>10</v>
      </c>
      <c r="N71" s="7">
        <v>11</v>
      </c>
      <c r="O71" s="7">
        <v>12</v>
      </c>
      <c r="P71" s="7">
        <v>13</v>
      </c>
      <c r="Q71" s="7">
        <v>14</v>
      </c>
      <c r="R71" s="7">
        <v>15</v>
      </c>
      <c r="S71" s="7">
        <v>16</v>
      </c>
      <c r="T71" s="7">
        <v>17</v>
      </c>
      <c r="U71" s="7">
        <v>18</v>
      </c>
      <c r="V71" s="7">
        <v>19</v>
      </c>
      <c r="W71" s="7">
        <v>20</v>
      </c>
      <c r="X71" s="7">
        <v>21</v>
      </c>
      <c r="Y71" s="7">
        <v>22</v>
      </c>
      <c r="Z71" s="7">
        <v>23</v>
      </c>
      <c r="AA71" s="7">
        <v>24</v>
      </c>
      <c r="AB71" s="7">
        <v>25</v>
      </c>
      <c r="AC71" s="7">
        <v>26</v>
      </c>
      <c r="AD71" s="7">
        <v>27</v>
      </c>
      <c r="AE71" s="7">
        <v>28</v>
      </c>
      <c r="AF71" s="7">
        <v>29</v>
      </c>
      <c r="AG71" s="7">
        <v>30</v>
      </c>
      <c r="AH71" s="7">
        <v>31</v>
      </c>
      <c r="AI71" s="6"/>
    </row>
    <row r="72" spans="1:35" ht="15" customHeight="1" x14ac:dyDescent="0.25">
      <c r="A72" s="3"/>
      <c r="B72" s="5" t="s">
        <v>31</v>
      </c>
      <c r="C72" s="328" t="s">
        <v>296</v>
      </c>
      <c r="D72" s="345" t="s">
        <v>297</v>
      </c>
      <c r="E72" s="330" t="s">
        <v>298</v>
      </c>
      <c r="F72" s="331"/>
      <c r="G72" s="331"/>
      <c r="H72" s="331"/>
      <c r="I72" s="331"/>
      <c r="J72" s="331"/>
      <c r="K72" s="331"/>
      <c r="L72" s="331"/>
      <c r="M72" s="331"/>
      <c r="N72" s="331"/>
      <c r="O72" s="331"/>
      <c r="P72" s="331"/>
      <c r="Q72" s="331"/>
      <c r="R72" s="332"/>
      <c r="S72" s="330" t="s">
        <v>299</v>
      </c>
      <c r="T72" s="331"/>
      <c r="U72" s="331"/>
      <c r="V72" s="331"/>
      <c r="W72" s="331"/>
      <c r="X72" s="331"/>
      <c r="Y72" s="331"/>
      <c r="Z72" s="331"/>
      <c r="AA72" s="331"/>
      <c r="AB72" s="331"/>
      <c r="AC72" s="331"/>
      <c r="AD72" s="331"/>
      <c r="AE72" s="331"/>
      <c r="AF72" s="331"/>
      <c r="AG72" s="331"/>
      <c r="AH72" s="355"/>
      <c r="AI72" s="6"/>
    </row>
    <row r="73" spans="1:35" x14ac:dyDescent="0.25">
      <c r="A73" s="3"/>
      <c r="B73" s="5" t="s">
        <v>32</v>
      </c>
      <c r="C73" s="329"/>
      <c r="D73" s="346"/>
      <c r="E73" s="333"/>
      <c r="F73" s="334"/>
      <c r="G73" s="334"/>
      <c r="H73" s="334"/>
      <c r="I73" s="334"/>
      <c r="J73" s="334"/>
      <c r="K73" s="334"/>
      <c r="L73" s="334"/>
      <c r="M73" s="334"/>
      <c r="N73" s="334"/>
      <c r="O73" s="334"/>
      <c r="P73" s="334"/>
      <c r="Q73" s="334"/>
      <c r="R73" s="335"/>
      <c r="S73" s="333"/>
      <c r="T73" s="334"/>
      <c r="U73" s="334"/>
      <c r="V73" s="334"/>
      <c r="W73" s="334"/>
      <c r="X73" s="334"/>
      <c r="Y73" s="334"/>
      <c r="Z73" s="334"/>
      <c r="AA73" s="334"/>
      <c r="AB73" s="334"/>
      <c r="AC73" s="334"/>
      <c r="AD73" s="334"/>
      <c r="AE73" s="334"/>
      <c r="AF73" s="334"/>
      <c r="AG73" s="334"/>
      <c r="AH73" s="357"/>
      <c r="AI73" s="6"/>
    </row>
    <row r="74" spans="1:35" x14ac:dyDescent="0.25">
      <c r="A74" s="3"/>
      <c r="B74" s="5" t="s">
        <v>11</v>
      </c>
      <c r="C74" s="56">
        <v>1</v>
      </c>
      <c r="D74" s="57">
        <v>1</v>
      </c>
      <c r="E74" s="57">
        <v>1</v>
      </c>
      <c r="F74" s="57">
        <v>1</v>
      </c>
      <c r="G74" s="57">
        <v>1</v>
      </c>
      <c r="H74" s="57">
        <v>1</v>
      </c>
      <c r="I74" s="57">
        <v>1</v>
      </c>
      <c r="J74" s="57">
        <v>1</v>
      </c>
      <c r="K74" s="57">
        <v>1</v>
      </c>
      <c r="L74" s="57">
        <v>1</v>
      </c>
      <c r="M74" s="57">
        <v>1</v>
      </c>
      <c r="N74" s="57">
        <v>1</v>
      </c>
      <c r="O74" s="57">
        <v>1</v>
      </c>
      <c r="P74" s="57">
        <v>1</v>
      </c>
      <c r="Q74" s="57">
        <v>1</v>
      </c>
      <c r="R74" s="57">
        <v>1</v>
      </c>
      <c r="S74" s="57">
        <v>1</v>
      </c>
      <c r="T74" s="57">
        <v>1</v>
      </c>
      <c r="U74" s="57">
        <v>1</v>
      </c>
      <c r="V74" s="57">
        <v>1</v>
      </c>
      <c r="W74" s="57">
        <v>1</v>
      </c>
      <c r="X74" s="57">
        <v>1</v>
      </c>
      <c r="Y74" s="57">
        <v>1</v>
      </c>
      <c r="Z74" s="57">
        <v>1</v>
      </c>
      <c r="AA74" s="57">
        <v>1</v>
      </c>
      <c r="AB74" s="57">
        <v>1</v>
      </c>
      <c r="AC74" s="57">
        <v>1</v>
      </c>
      <c r="AD74" s="57">
        <v>1</v>
      </c>
      <c r="AE74" s="57">
        <v>1</v>
      </c>
      <c r="AF74" s="57">
        <v>1</v>
      </c>
      <c r="AG74" s="57">
        <v>1</v>
      </c>
      <c r="AH74" s="58">
        <v>1</v>
      </c>
      <c r="AI74" s="6"/>
    </row>
    <row r="75" spans="1:35" ht="15.75" thickBot="1" x14ac:dyDescent="0.3">
      <c r="A75" s="3"/>
      <c r="B75" s="5" t="s">
        <v>12</v>
      </c>
      <c r="C75" s="145">
        <v>1</v>
      </c>
      <c r="D75" s="88">
        <v>1</v>
      </c>
      <c r="E75" s="88">
        <v>1</v>
      </c>
      <c r="F75" s="88">
        <v>1</v>
      </c>
      <c r="G75" s="88">
        <v>1</v>
      </c>
      <c r="H75" s="88">
        <v>1</v>
      </c>
      <c r="I75" s="88">
        <v>1</v>
      </c>
      <c r="J75" s="88">
        <v>1</v>
      </c>
      <c r="K75" s="88">
        <v>1</v>
      </c>
      <c r="L75" s="88">
        <v>1</v>
      </c>
      <c r="M75" s="88">
        <v>1</v>
      </c>
      <c r="N75" s="88">
        <v>1</v>
      </c>
      <c r="O75" s="88">
        <v>1</v>
      </c>
      <c r="P75" s="88">
        <v>1</v>
      </c>
      <c r="Q75" s="88">
        <v>1</v>
      </c>
      <c r="R75" s="88">
        <v>1</v>
      </c>
      <c r="S75" s="88">
        <v>1</v>
      </c>
      <c r="T75" s="88">
        <v>1</v>
      </c>
      <c r="U75" s="88">
        <v>1</v>
      </c>
      <c r="V75" s="88">
        <v>1</v>
      </c>
      <c r="W75" s="88">
        <v>1</v>
      </c>
      <c r="X75" s="88">
        <v>1</v>
      </c>
      <c r="Y75" s="88">
        <v>1</v>
      </c>
      <c r="Z75" s="88">
        <v>1</v>
      </c>
      <c r="AA75" s="88">
        <v>1</v>
      </c>
      <c r="AB75" s="88">
        <v>1</v>
      </c>
      <c r="AC75" s="88">
        <v>1</v>
      </c>
      <c r="AD75" s="88">
        <v>1</v>
      </c>
      <c r="AE75" s="88">
        <v>1</v>
      </c>
      <c r="AF75" s="88">
        <v>1</v>
      </c>
      <c r="AG75" s="88">
        <v>1</v>
      </c>
      <c r="AH75" s="89">
        <v>1</v>
      </c>
      <c r="AI75" s="6"/>
    </row>
    <row r="76" spans="1:35" x14ac:dyDescent="0.25">
      <c r="A76" s="3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6"/>
    </row>
    <row r="77" spans="1:35" ht="15.75" thickBot="1" x14ac:dyDescent="0.3">
      <c r="A77" s="3"/>
      <c r="B77" s="5"/>
      <c r="C77" s="7">
        <v>32</v>
      </c>
      <c r="D77" s="7">
        <v>33</v>
      </c>
      <c r="E77" s="7">
        <v>34</v>
      </c>
      <c r="F77" s="7">
        <v>35</v>
      </c>
      <c r="G77" s="7">
        <v>36</v>
      </c>
      <c r="H77" s="7">
        <v>37</v>
      </c>
      <c r="I77" s="7">
        <v>38</v>
      </c>
      <c r="J77" s="7">
        <v>39</v>
      </c>
      <c r="K77" s="7">
        <v>40</v>
      </c>
      <c r="L77" s="7">
        <v>41</v>
      </c>
      <c r="M77" s="7">
        <v>42</v>
      </c>
      <c r="N77" s="7">
        <v>43</v>
      </c>
      <c r="O77" s="7">
        <v>44</v>
      </c>
      <c r="P77" s="7">
        <v>45</v>
      </c>
      <c r="Q77" s="7">
        <v>46</v>
      </c>
      <c r="R77" s="7">
        <v>47</v>
      </c>
      <c r="S77" s="7">
        <v>48</v>
      </c>
      <c r="T77" s="7">
        <v>49</v>
      </c>
      <c r="U77" s="7">
        <v>50</v>
      </c>
      <c r="V77" s="7">
        <v>51</v>
      </c>
      <c r="W77" s="7">
        <v>52</v>
      </c>
      <c r="X77" s="7">
        <v>53</v>
      </c>
      <c r="Y77" s="7">
        <v>54</v>
      </c>
      <c r="Z77" s="7">
        <v>55</v>
      </c>
      <c r="AA77" s="7">
        <v>56</v>
      </c>
      <c r="AB77" s="7">
        <v>57</v>
      </c>
      <c r="AC77" s="7">
        <v>58</v>
      </c>
      <c r="AD77" s="7">
        <v>59</v>
      </c>
      <c r="AE77" s="7">
        <v>60</v>
      </c>
      <c r="AF77" s="7">
        <v>61</v>
      </c>
      <c r="AG77" s="7">
        <v>62</v>
      </c>
      <c r="AH77" s="7">
        <v>63</v>
      </c>
      <c r="AI77" s="6"/>
    </row>
    <row r="78" spans="1:35" ht="15.75" thickBot="1" x14ac:dyDescent="0.3">
      <c r="A78" s="3"/>
      <c r="B78" s="5"/>
      <c r="C78" s="147" t="s">
        <v>13</v>
      </c>
      <c r="D78" s="148" t="s">
        <v>14</v>
      </c>
      <c r="E78" s="148" t="s">
        <v>15</v>
      </c>
      <c r="F78" s="148" t="s">
        <v>16</v>
      </c>
      <c r="G78" s="148" t="s">
        <v>17</v>
      </c>
      <c r="H78" s="148" t="s">
        <v>18</v>
      </c>
      <c r="I78" s="148" t="s">
        <v>19</v>
      </c>
      <c r="J78" s="148" t="s">
        <v>20</v>
      </c>
      <c r="K78" s="148" t="s">
        <v>21</v>
      </c>
      <c r="L78" s="148" t="s">
        <v>22</v>
      </c>
      <c r="M78" s="148" t="s">
        <v>23</v>
      </c>
      <c r="N78" s="148" t="s">
        <v>24</v>
      </c>
      <c r="O78" s="148" t="s">
        <v>25</v>
      </c>
      <c r="P78" s="148" t="s">
        <v>26</v>
      </c>
      <c r="Q78" s="148" t="s">
        <v>27</v>
      </c>
      <c r="R78" s="362" t="s">
        <v>30</v>
      </c>
      <c r="S78" s="362"/>
      <c r="T78" s="362"/>
      <c r="U78" s="362"/>
      <c r="V78" s="362"/>
      <c r="W78" s="362"/>
      <c r="X78" s="362"/>
      <c r="Y78" s="362"/>
      <c r="Z78" s="362"/>
      <c r="AA78" s="362"/>
      <c r="AB78" s="362"/>
      <c r="AC78" s="362"/>
      <c r="AD78" s="362"/>
      <c r="AE78" s="362"/>
      <c r="AF78" s="362"/>
      <c r="AG78" s="67" t="s">
        <v>28</v>
      </c>
      <c r="AH78" s="149" t="s">
        <v>29</v>
      </c>
      <c r="AI78" s="6"/>
    </row>
    <row r="79" spans="1:35" ht="15.75" thickBot="1" x14ac:dyDescent="0.3">
      <c r="A79" s="3"/>
      <c r="B79" s="5"/>
      <c r="C79" s="150">
        <v>0</v>
      </c>
      <c r="D79" s="151">
        <v>0</v>
      </c>
      <c r="E79" s="151">
        <v>0</v>
      </c>
      <c r="F79" s="151">
        <v>0</v>
      </c>
      <c r="G79" s="151">
        <v>0</v>
      </c>
      <c r="H79" s="151">
        <v>0</v>
      </c>
      <c r="I79" s="151">
        <v>0</v>
      </c>
      <c r="J79" s="151">
        <v>0</v>
      </c>
      <c r="K79" s="151">
        <v>0</v>
      </c>
      <c r="L79" s="151">
        <v>0</v>
      </c>
      <c r="M79" s="151">
        <v>0</v>
      </c>
      <c r="N79" s="151">
        <v>1</v>
      </c>
      <c r="O79" s="151">
        <v>0</v>
      </c>
      <c r="P79" s="151">
        <v>0</v>
      </c>
      <c r="Q79" s="151">
        <v>0</v>
      </c>
      <c r="R79" s="151">
        <v>0</v>
      </c>
      <c r="S79" s="151">
        <v>0</v>
      </c>
      <c r="T79" s="151">
        <v>0</v>
      </c>
      <c r="U79" s="151">
        <v>0</v>
      </c>
      <c r="V79" s="151">
        <v>0</v>
      </c>
      <c r="W79" s="151">
        <v>0</v>
      </c>
      <c r="X79" s="151">
        <v>0</v>
      </c>
      <c r="Y79" s="151">
        <v>0</v>
      </c>
      <c r="Z79" s="151">
        <v>1</v>
      </c>
      <c r="AA79" s="151">
        <v>0</v>
      </c>
      <c r="AB79" s="151">
        <v>0</v>
      </c>
      <c r="AC79" s="151">
        <v>0</v>
      </c>
      <c r="AD79" s="151">
        <v>0</v>
      </c>
      <c r="AE79" s="151">
        <v>0</v>
      </c>
      <c r="AF79" s="151">
        <v>0</v>
      </c>
      <c r="AG79" s="151">
        <v>0</v>
      </c>
      <c r="AH79" s="152">
        <v>0</v>
      </c>
      <c r="AI79" s="6"/>
    </row>
    <row r="80" spans="1:35" x14ac:dyDescent="0.25">
      <c r="A80" s="3"/>
      <c r="B80" s="4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6"/>
    </row>
    <row r="81" spans="1:35" x14ac:dyDescent="0.25">
      <c r="A81" s="3"/>
      <c r="B81" s="8" t="s">
        <v>43</v>
      </c>
      <c r="C81" s="9"/>
      <c r="D81" s="9"/>
      <c r="E81" s="9"/>
      <c r="F81" s="363" t="s">
        <v>44</v>
      </c>
      <c r="G81" s="363"/>
      <c r="H81" s="363"/>
      <c r="I81" s="9"/>
      <c r="J81" s="364" t="s">
        <v>45</v>
      </c>
      <c r="K81" s="364"/>
      <c r="L81" s="364"/>
      <c r="M81" s="364"/>
      <c r="N81" s="9"/>
      <c r="O81" s="365" t="s">
        <v>46</v>
      </c>
      <c r="P81" s="365"/>
      <c r="Q81" s="365"/>
      <c r="R81" s="365"/>
      <c r="S81" s="9"/>
      <c r="T81" s="1" t="s">
        <v>49</v>
      </c>
      <c r="U81" s="10" t="s">
        <v>48</v>
      </c>
      <c r="V81" s="5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6"/>
    </row>
    <row r="82" spans="1:35" x14ac:dyDescent="0.25">
      <c r="A82" s="3"/>
      <c r="B82" s="317" t="str">
        <f>"0x"&amp;DEC2HEX(Sheet3!$I$4,8)</f>
        <v>0x00400320</v>
      </c>
      <c r="C82" s="317"/>
      <c r="D82" s="317"/>
      <c r="E82" s="12"/>
      <c r="F82" s="319" t="str">
        <f>"0x"&amp;BIN2HEX(CONCATENATE(C75,D75,E75,F75,G75,H75,I75,J75),2)&amp;BIN2HEX(CONCATENATE(K75,L75,M75,N75,O75,P75,Q75,R75),2)&amp;BIN2HEX(CONCATENATE(S75,T75,U75,V75,W75,X75,Y75,Z75),2)&amp;BIN2HEX(CONCATENATE(AA75,AB75,AC75,AD75,AE75,AF75,AG75,AH75),2)</f>
        <v>0xFFFFFFFF</v>
      </c>
      <c r="G82" s="319"/>
      <c r="H82" s="319"/>
      <c r="I82" s="12"/>
      <c r="J82" s="319" t="str">
        <f>"0b"&amp;C79&amp;D79&amp;E79&amp;F79&amp;G79&amp;H79&amp;I79&amp;J79&amp;K79&amp;L79&amp;M79&amp;N79&amp;O79&amp;P79&amp;Q79</f>
        <v>0b000000000001000</v>
      </c>
      <c r="K82" s="319"/>
      <c r="L82" s="319"/>
      <c r="M82" s="319"/>
      <c r="N82" s="12"/>
      <c r="O82" s="319" t="str">
        <f>"0b"&amp;DEC2BIN(((AF79+AE79*2+AD79*4+AC79*8+AB79*16+AA79*32+Z79*64+Y79*128+X79*256+W79*512+V79*1024+U79*2048+T79*4096+S79*2^13+R79*2^14)/512),6)&amp;DEC2BIN(MOD((AF79+AE79*2+AD79*4+AC79*8+AB79*16+AA79*32+Z79*64+Y79*128+X79*256+W79*512+V79*1024+U79*2048+T79*4096+S79*2^13+R79*2^14),512),9)</f>
        <v>0b000000001000000</v>
      </c>
      <c r="P82" s="319"/>
      <c r="Q82" s="319"/>
      <c r="R82" s="319"/>
      <c r="S82" s="12"/>
      <c r="T82" s="196">
        <v>0</v>
      </c>
      <c r="U82" s="196">
        <f>AH79</f>
        <v>0</v>
      </c>
      <c r="V82" s="5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6"/>
    </row>
    <row r="83" spans="1:35" x14ac:dyDescent="0.25">
      <c r="A83" s="3"/>
      <c r="B83" s="317"/>
      <c r="C83" s="317"/>
      <c r="D83" s="317"/>
      <c r="E83" s="15"/>
      <c r="F83" s="319"/>
      <c r="G83" s="319"/>
      <c r="H83" s="319"/>
      <c r="I83" s="15"/>
      <c r="J83" s="317"/>
      <c r="K83" s="317"/>
      <c r="L83" s="317"/>
      <c r="M83" s="317"/>
      <c r="N83" s="15"/>
      <c r="O83" s="317"/>
      <c r="P83" s="317"/>
      <c r="Q83" s="317"/>
      <c r="R83" s="317"/>
      <c r="S83" s="15"/>
      <c r="T83" s="196"/>
      <c r="U83" s="15"/>
      <c r="V83" s="5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6"/>
    </row>
    <row r="84" spans="1:35" x14ac:dyDescent="0.25">
      <c r="A84" s="3"/>
      <c r="B84" s="317"/>
      <c r="C84" s="317"/>
      <c r="D84" s="317"/>
      <c r="E84" s="15"/>
      <c r="F84" s="319"/>
      <c r="G84" s="319"/>
      <c r="H84" s="319"/>
      <c r="I84" s="15"/>
      <c r="J84" s="317"/>
      <c r="K84" s="317"/>
      <c r="L84" s="317"/>
      <c r="M84" s="317"/>
      <c r="N84" s="15"/>
      <c r="O84" s="317"/>
      <c r="P84" s="317"/>
      <c r="Q84" s="317"/>
      <c r="R84" s="317"/>
      <c r="S84" s="15"/>
      <c r="T84" s="196"/>
      <c r="U84" s="15"/>
      <c r="V84" s="5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6"/>
    </row>
    <row r="85" spans="1:35" x14ac:dyDescent="0.25">
      <c r="A85" s="3"/>
      <c r="B85" s="5"/>
      <c r="C85" s="5"/>
      <c r="D85" s="5"/>
      <c r="E85" s="5"/>
      <c r="F85" s="17"/>
      <c r="G85" s="17"/>
      <c r="H85" s="17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6"/>
    </row>
    <row r="86" spans="1:35" x14ac:dyDescent="0.25">
      <c r="A86" s="3"/>
      <c r="B86" s="5" t="s">
        <v>47</v>
      </c>
      <c r="C86" s="18"/>
      <c r="D86" s="18"/>
      <c r="E86" s="18"/>
      <c r="F86" s="5"/>
      <c r="G86" s="5"/>
      <c r="H86" s="5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6"/>
    </row>
    <row r="87" spans="1:35" x14ac:dyDescent="0.25">
      <c r="A87" s="3"/>
      <c r="B87" s="317" t="str">
        <f>"0x"&amp;DEC2HEX(Sheet3!$I$4,8)</f>
        <v>0x00400320</v>
      </c>
      <c r="C87" s="317"/>
      <c r="D87" s="317"/>
      <c r="E87" s="16"/>
      <c r="F87" s="322" t="str">
        <f>F82&amp;BIN2HEX(MID(J82,3,8),2)&amp;BIN2HEX(RIGHT(J82,7)&amp;MID(O82,3,1),2)&amp;BIN2HEX(MID(O82,4,8),2)&amp;BIN2HEX(RIGHT(O82,6)&amp;T82&amp;U82,2)</f>
        <v>0xFFFFFFFF00100100</v>
      </c>
      <c r="G87" s="322"/>
      <c r="H87" s="322"/>
      <c r="I87" s="322"/>
      <c r="J87" s="5"/>
      <c r="K87" s="5"/>
      <c r="L87" s="5"/>
      <c r="M87" s="5"/>
      <c r="N87" s="5"/>
      <c r="O87" s="5"/>
      <c r="P87" s="16"/>
      <c r="Q87" s="16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5"/>
      <c r="AH87" s="5"/>
      <c r="AI87" s="6"/>
    </row>
    <row r="88" spans="1:35" x14ac:dyDescent="0.25">
      <c r="A88" s="3"/>
      <c r="B88" s="317"/>
      <c r="C88" s="317"/>
      <c r="D88" s="317"/>
      <c r="E88" s="5"/>
      <c r="F88" s="322"/>
      <c r="G88" s="322"/>
      <c r="H88" s="322"/>
      <c r="I88" s="322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6"/>
    </row>
    <row r="89" spans="1:35" x14ac:dyDescent="0.25">
      <c r="A89" s="3"/>
      <c r="B89" s="317"/>
      <c r="C89" s="317"/>
      <c r="D89" s="317"/>
      <c r="E89" s="5"/>
      <c r="F89" s="322"/>
      <c r="G89" s="322"/>
      <c r="H89" s="322"/>
      <c r="I89" s="322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6"/>
    </row>
    <row r="90" spans="1:35" x14ac:dyDescent="0.25">
      <c r="A90" s="20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2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3"/>
    </row>
    <row r="91" spans="1:35" x14ac:dyDescent="0.25">
      <c r="A91" s="24"/>
      <c r="B91" s="28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6"/>
    </row>
    <row r="92" spans="1:35" x14ac:dyDescent="0.25">
      <c r="A92" s="3"/>
      <c r="B92" s="4" t="s">
        <v>284</v>
      </c>
      <c r="C92" s="5"/>
      <c r="D92" s="5"/>
      <c r="E92" s="5"/>
      <c r="F92" s="5"/>
      <c r="G92" s="5"/>
      <c r="H92" s="5"/>
      <c r="I92" s="5" t="str">
        <f>"0x"&amp;BIN2HEX(CONCATENATE(C97,D97,E97,F97,G97,H97,I97,J97),2)&amp;BIN2HEX(CONCATENATE(K97,L97,M97,N97,O97,P97,Q97,R97),2)&amp;BIN2HEX(CONCATENATE(S97,T97,U97,V97,W97,X97,Y97,Z97),2)&amp;BIN2HEX(CONCATENATE(AA97,AB97,AC97,AD97,AE97,AF97,AG97,AH97),2)&amp;"_"&amp;BIN2HEX(CONCATENATE(C101,D101,E101,F101,G101,H101,I101,J101),2)&amp;BIN2HEX(CONCATENATE(K101,L101,M101,N101,O101,P101,Q101,R101),2)&amp;BIN2HEX(CONCATENATE(S101,T101,U101,V101,W101,X101,Y101,Z101),2)&amp;BIN2HEX(CONCATENATE(AA101,AB101,AC101,AD101,AE101,AF101,AG101,AH101),2)</f>
        <v>0x0000FFFF_00100104</v>
      </c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6"/>
    </row>
    <row r="93" spans="1:35" ht="15.75" thickBot="1" x14ac:dyDescent="0.3">
      <c r="A93" s="3"/>
      <c r="B93" s="5"/>
      <c r="C93" s="7">
        <v>0</v>
      </c>
      <c r="D93" s="7">
        <v>1</v>
      </c>
      <c r="E93" s="7">
        <v>2</v>
      </c>
      <c r="F93" s="7">
        <v>3</v>
      </c>
      <c r="G93" s="7">
        <v>4</v>
      </c>
      <c r="H93" s="7">
        <v>5</v>
      </c>
      <c r="I93" s="7">
        <v>6</v>
      </c>
      <c r="J93" s="7">
        <v>7</v>
      </c>
      <c r="K93" s="7">
        <v>8</v>
      </c>
      <c r="L93" s="7">
        <v>9</v>
      </c>
      <c r="M93" s="7">
        <v>10</v>
      </c>
      <c r="N93" s="7">
        <v>11</v>
      </c>
      <c r="O93" s="7">
        <v>12</v>
      </c>
      <c r="P93" s="7">
        <v>13</v>
      </c>
      <c r="Q93" s="7">
        <v>14</v>
      </c>
      <c r="R93" s="7">
        <v>15</v>
      </c>
      <c r="S93" s="7">
        <v>16</v>
      </c>
      <c r="T93" s="7">
        <v>17</v>
      </c>
      <c r="U93" s="7">
        <v>18</v>
      </c>
      <c r="V93" s="7">
        <v>19</v>
      </c>
      <c r="W93" s="7">
        <v>20</v>
      </c>
      <c r="X93" s="7">
        <v>21</v>
      </c>
      <c r="Y93" s="7">
        <v>22</v>
      </c>
      <c r="Z93" s="7">
        <v>23</v>
      </c>
      <c r="AA93" s="7">
        <v>24</v>
      </c>
      <c r="AB93" s="7">
        <v>25</v>
      </c>
      <c r="AC93" s="7">
        <v>26</v>
      </c>
      <c r="AD93" s="7">
        <v>27</v>
      </c>
      <c r="AE93" s="7">
        <v>28</v>
      </c>
      <c r="AF93" s="7">
        <v>29</v>
      </c>
      <c r="AG93" s="7">
        <v>30</v>
      </c>
      <c r="AH93" s="7">
        <v>31</v>
      </c>
      <c r="AI93" s="6"/>
    </row>
    <row r="94" spans="1:35" ht="15" customHeight="1" x14ac:dyDescent="0.25">
      <c r="A94" s="3"/>
      <c r="B94" s="5" t="s">
        <v>31</v>
      </c>
      <c r="C94" s="349">
        <v>0</v>
      </c>
      <c r="D94" s="337"/>
      <c r="E94" s="337"/>
      <c r="F94" s="337"/>
      <c r="G94" s="337"/>
      <c r="H94" s="337"/>
      <c r="I94" s="337"/>
      <c r="J94" s="337"/>
      <c r="K94" s="337"/>
      <c r="L94" s="337"/>
      <c r="M94" s="337"/>
      <c r="N94" s="337"/>
      <c r="O94" s="337"/>
      <c r="P94" s="337"/>
      <c r="Q94" s="337"/>
      <c r="R94" s="350"/>
      <c r="S94" s="330" t="s">
        <v>300</v>
      </c>
      <c r="T94" s="331"/>
      <c r="U94" s="331"/>
      <c r="V94" s="331"/>
      <c r="W94" s="331"/>
      <c r="X94" s="331"/>
      <c r="Y94" s="331"/>
      <c r="Z94" s="331"/>
      <c r="AA94" s="331"/>
      <c r="AB94" s="331"/>
      <c r="AC94" s="331"/>
      <c r="AD94" s="331"/>
      <c r="AE94" s="331"/>
      <c r="AF94" s="331"/>
      <c r="AG94" s="331"/>
      <c r="AH94" s="355"/>
      <c r="AI94" s="6"/>
    </row>
    <row r="95" spans="1:35" x14ac:dyDescent="0.25">
      <c r="A95" s="3"/>
      <c r="B95" s="5" t="s">
        <v>32</v>
      </c>
      <c r="C95" s="375"/>
      <c r="D95" s="373"/>
      <c r="E95" s="373"/>
      <c r="F95" s="373"/>
      <c r="G95" s="373"/>
      <c r="H95" s="373"/>
      <c r="I95" s="373"/>
      <c r="J95" s="373"/>
      <c r="K95" s="373"/>
      <c r="L95" s="373"/>
      <c r="M95" s="373"/>
      <c r="N95" s="373"/>
      <c r="O95" s="373"/>
      <c r="P95" s="373"/>
      <c r="Q95" s="373"/>
      <c r="R95" s="374"/>
      <c r="S95" s="333"/>
      <c r="T95" s="334"/>
      <c r="U95" s="334"/>
      <c r="V95" s="334"/>
      <c r="W95" s="334"/>
      <c r="X95" s="334"/>
      <c r="Y95" s="334"/>
      <c r="Z95" s="334"/>
      <c r="AA95" s="334"/>
      <c r="AB95" s="334"/>
      <c r="AC95" s="334"/>
      <c r="AD95" s="334"/>
      <c r="AE95" s="334"/>
      <c r="AF95" s="334"/>
      <c r="AG95" s="334"/>
      <c r="AH95" s="357"/>
      <c r="AI95" s="6"/>
    </row>
    <row r="96" spans="1:35" x14ac:dyDescent="0.25">
      <c r="A96" s="3"/>
      <c r="B96" s="5" t="s">
        <v>11</v>
      </c>
      <c r="C96" s="56">
        <v>0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v>0</v>
      </c>
      <c r="Q96" s="57">
        <v>0</v>
      </c>
      <c r="R96" s="57">
        <v>0</v>
      </c>
      <c r="S96" s="57">
        <v>1</v>
      </c>
      <c r="T96" s="57">
        <v>1</v>
      </c>
      <c r="U96" s="57">
        <v>1</v>
      </c>
      <c r="V96" s="57">
        <v>1</v>
      </c>
      <c r="W96" s="57">
        <v>1</v>
      </c>
      <c r="X96" s="57">
        <v>1</v>
      </c>
      <c r="Y96" s="57">
        <v>1</v>
      </c>
      <c r="Z96" s="57">
        <v>1</v>
      </c>
      <c r="AA96" s="57">
        <v>1</v>
      </c>
      <c r="AB96" s="57">
        <v>1</v>
      </c>
      <c r="AC96" s="57">
        <v>1</v>
      </c>
      <c r="AD96" s="57">
        <v>1</v>
      </c>
      <c r="AE96" s="57">
        <v>1</v>
      </c>
      <c r="AF96" s="57">
        <v>1</v>
      </c>
      <c r="AG96" s="57">
        <v>1</v>
      </c>
      <c r="AH96" s="58">
        <v>1</v>
      </c>
      <c r="AI96" s="6"/>
    </row>
    <row r="97" spans="1:35" ht="15.75" thickBot="1" x14ac:dyDescent="0.3">
      <c r="A97" s="3"/>
      <c r="B97" s="5" t="s">
        <v>12</v>
      </c>
      <c r="C97" s="197">
        <v>0</v>
      </c>
      <c r="D97" s="161">
        <v>0</v>
      </c>
      <c r="E97" s="161">
        <v>0</v>
      </c>
      <c r="F97" s="161">
        <v>0</v>
      </c>
      <c r="G97" s="161">
        <v>0</v>
      </c>
      <c r="H97" s="161">
        <v>0</v>
      </c>
      <c r="I97" s="161">
        <v>0</v>
      </c>
      <c r="J97" s="161">
        <v>0</v>
      </c>
      <c r="K97" s="161">
        <v>0</v>
      </c>
      <c r="L97" s="161">
        <v>0</v>
      </c>
      <c r="M97" s="161">
        <v>0</v>
      </c>
      <c r="N97" s="161">
        <v>0</v>
      </c>
      <c r="O97" s="161">
        <v>0</v>
      </c>
      <c r="P97" s="161">
        <v>0</v>
      </c>
      <c r="Q97" s="161">
        <v>0</v>
      </c>
      <c r="R97" s="161">
        <v>0</v>
      </c>
      <c r="S97" s="88">
        <v>1</v>
      </c>
      <c r="T97" s="88">
        <v>1</v>
      </c>
      <c r="U97" s="88">
        <v>1</v>
      </c>
      <c r="V97" s="88">
        <v>1</v>
      </c>
      <c r="W97" s="88">
        <v>1</v>
      </c>
      <c r="X97" s="88">
        <v>1</v>
      </c>
      <c r="Y97" s="88">
        <v>1</v>
      </c>
      <c r="Z97" s="88">
        <v>1</v>
      </c>
      <c r="AA97" s="88">
        <v>1</v>
      </c>
      <c r="AB97" s="88">
        <v>1</v>
      </c>
      <c r="AC97" s="88">
        <v>1</v>
      </c>
      <c r="AD97" s="88">
        <v>1</v>
      </c>
      <c r="AE97" s="88">
        <v>1</v>
      </c>
      <c r="AF97" s="88">
        <v>1</v>
      </c>
      <c r="AG97" s="88">
        <v>1</v>
      </c>
      <c r="AH97" s="89">
        <v>1</v>
      </c>
      <c r="AI97" s="6"/>
    </row>
    <row r="98" spans="1:35" x14ac:dyDescent="0.25">
      <c r="A98" s="3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6"/>
    </row>
    <row r="99" spans="1:35" ht="15.75" thickBot="1" x14ac:dyDescent="0.3">
      <c r="A99" s="3"/>
      <c r="B99" s="5"/>
      <c r="C99" s="7">
        <v>32</v>
      </c>
      <c r="D99" s="7">
        <v>33</v>
      </c>
      <c r="E99" s="7">
        <v>34</v>
      </c>
      <c r="F99" s="7">
        <v>35</v>
      </c>
      <c r="G99" s="7">
        <v>36</v>
      </c>
      <c r="H99" s="7">
        <v>37</v>
      </c>
      <c r="I99" s="7">
        <v>38</v>
      </c>
      <c r="J99" s="7">
        <v>39</v>
      </c>
      <c r="K99" s="7">
        <v>40</v>
      </c>
      <c r="L99" s="7">
        <v>41</v>
      </c>
      <c r="M99" s="7">
        <v>42</v>
      </c>
      <c r="N99" s="7">
        <v>43</v>
      </c>
      <c r="O99" s="7">
        <v>44</v>
      </c>
      <c r="P99" s="7">
        <v>45</v>
      </c>
      <c r="Q99" s="7">
        <v>46</v>
      </c>
      <c r="R99" s="7">
        <v>47</v>
      </c>
      <c r="S99" s="7">
        <v>48</v>
      </c>
      <c r="T99" s="7">
        <v>49</v>
      </c>
      <c r="U99" s="7">
        <v>50</v>
      </c>
      <c r="V99" s="7">
        <v>51</v>
      </c>
      <c r="W99" s="7">
        <v>52</v>
      </c>
      <c r="X99" s="7">
        <v>53</v>
      </c>
      <c r="Y99" s="7">
        <v>54</v>
      </c>
      <c r="Z99" s="7">
        <v>55</v>
      </c>
      <c r="AA99" s="7">
        <v>56</v>
      </c>
      <c r="AB99" s="7">
        <v>57</v>
      </c>
      <c r="AC99" s="7">
        <v>58</v>
      </c>
      <c r="AD99" s="7">
        <v>59</v>
      </c>
      <c r="AE99" s="7">
        <v>60</v>
      </c>
      <c r="AF99" s="7">
        <v>61</v>
      </c>
      <c r="AG99" s="7">
        <v>62</v>
      </c>
      <c r="AH99" s="7">
        <v>63</v>
      </c>
      <c r="AI99" s="6"/>
    </row>
    <row r="100" spans="1:35" ht="15.75" thickBot="1" x14ac:dyDescent="0.3">
      <c r="A100" s="3"/>
      <c r="B100" s="5"/>
      <c r="C100" s="147" t="s">
        <v>13</v>
      </c>
      <c r="D100" s="148" t="s">
        <v>14</v>
      </c>
      <c r="E100" s="148" t="s">
        <v>15</v>
      </c>
      <c r="F100" s="148" t="s">
        <v>16</v>
      </c>
      <c r="G100" s="148" t="s">
        <v>17</v>
      </c>
      <c r="H100" s="148" t="s">
        <v>18</v>
      </c>
      <c r="I100" s="148" t="s">
        <v>19</v>
      </c>
      <c r="J100" s="148" t="s">
        <v>20</v>
      </c>
      <c r="K100" s="148" t="s">
        <v>21</v>
      </c>
      <c r="L100" s="148" t="s">
        <v>22</v>
      </c>
      <c r="M100" s="148" t="s">
        <v>23</v>
      </c>
      <c r="N100" s="148" t="s">
        <v>24</v>
      </c>
      <c r="O100" s="148" t="s">
        <v>25</v>
      </c>
      <c r="P100" s="148" t="s">
        <v>26</v>
      </c>
      <c r="Q100" s="148" t="s">
        <v>27</v>
      </c>
      <c r="R100" s="362" t="s">
        <v>30</v>
      </c>
      <c r="S100" s="362"/>
      <c r="T100" s="362"/>
      <c r="U100" s="362"/>
      <c r="V100" s="362"/>
      <c r="W100" s="362"/>
      <c r="X100" s="362"/>
      <c r="Y100" s="362"/>
      <c r="Z100" s="362"/>
      <c r="AA100" s="362"/>
      <c r="AB100" s="362"/>
      <c r="AC100" s="362"/>
      <c r="AD100" s="362"/>
      <c r="AE100" s="362"/>
      <c r="AF100" s="362"/>
      <c r="AG100" s="67" t="s">
        <v>28</v>
      </c>
      <c r="AH100" s="149" t="s">
        <v>29</v>
      </c>
      <c r="AI100" s="6"/>
    </row>
    <row r="101" spans="1:35" ht="15.75" thickBot="1" x14ac:dyDescent="0.3">
      <c r="A101" s="3"/>
      <c r="B101" s="5"/>
      <c r="C101" s="150">
        <v>0</v>
      </c>
      <c r="D101" s="151">
        <v>0</v>
      </c>
      <c r="E101" s="151">
        <v>0</v>
      </c>
      <c r="F101" s="151">
        <v>0</v>
      </c>
      <c r="G101" s="151">
        <v>0</v>
      </c>
      <c r="H101" s="151">
        <v>0</v>
      </c>
      <c r="I101" s="151">
        <v>0</v>
      </c>
      <c r="J101" s="151">
        <v>0</v>
      </c>
      <c r="K101" s="151">
        <v>0</v>
      </c>
      <c r="L101" s="151">
        <v>0</v>
      </c>
      <c r="M101" s="151">
        <v>0</v>
      </c>
      <c r="N101" s="151">
        <v>1</v>
      </c>
      <c r="O101" s="151">
        <v>0</v>
      </c>
      <c r="P101" s="151">
        <v>0</v>
      </c>
      <c r="Q101" s="151">
        <v>0</v>
      </c>
      <c r="R101" s="151">
        <v>0</v>
      </c>
      <c r="S101" s="151">
        <v>0</v>
      </c>
      <c r="T101" s="151">
        <v>0</v>
      </c>
      <c r="U101" s="151">
        <v>0</v>
      </c>
      <c r="V101" s="151">
        <v>0</v>
      </c>
      <c r="W101" s="151">
        <v>0</v>
      </c>
      <c r="X101" s="151">
        <v>0</v>
      </c>
      <c r="Y101" s="151">
        <v>0</v>
      </c>
      <c r="Z101" s="151">
        <v>1</v>
      </c>
      <c r="AA101" s="151">
        <v>0</v>
      </c>
      <c r="AB101" s="151">
        <v>0</v>
      </c>
      <c r="AC101" s="151">
        <v>0</v>
      </c>
      <c r="AD101" s="151">
        <v>0</v>
      </c>
      <c r="AE101" s="151">
        <v>0</v>
      </c>
      <c r="AF101" s="151">
        <v>1</v>
      </c>
      <c r="AG101" s="151">
        <v>0</v>
      </c>
      <c r="AH101" s="152">
        <v>0</v>
      </c>
      <c r="AI101" s="6"/>
    </row>
    <row r="102" spans="1:35" x14ac:dyDescent="0.25">
      <c r="A102" s="3"/>
      <c r="B102" s="4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6"/>
    </row>
    <row r="103" spans="1:35" x14ac:dyDescent="0.25">
      <c r="A103" s="3"/>
      <c r="B103" s="8" t="s">
        <v>43</v>
      </c>
      <c r="C103" s="9"/>
      <c r="D103" s="9"/>
      <c r="E103" s="9"/>
      <c r="F103" s="363" t="s">
        <v>44</v>
      </c>
      <c r="G103" s="363"/>
      <c r="H103" s="363"/>
      <c r="I103" s="9"/>
      <c r="J103" s="364" t="s">
        <v>45</v>
      </c>
      <c r="K103" s="364"/>
      <c r="L103" s="364"/>
      <c r="M103" s="364"/>
      <c r="N103" s="9"/>
      <c r="O103" s="365" t="s">
        <v>46</v>
      </c>
      <c r="P103" s="365"/>
      <c r="Q103" s="365"/>
      <c r="R103" s="365"/>
      <c r="S103" s="9"/>
      <c r="T103" s="1" t="s">
        <v>49</v>
      </c>
      <c r="U103" s="10" t="s">
        <v>48</v>
      </c>
      <c r="V103" s="5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6"/>
    </row>
    <row r="104" spans="1:35" x14ac:dyDescent="0.25">
      <c r="A104" s="3"/>
      <c r="B104" s="317" t="str">
        <f>"0x"&amp;DEC2HEX(Sheet3!$I$4,8)</f>
        <v>0x00400320</v>
      </c>
      <c r="C104" s="317"/>
      <c r="D104" s="317"/>
      <c r="E104" s="12"/>
      <c r="F104" s="319" t="str">
        <f>"0x"&amp;BIN2HEX(CONCATENATE(C97,D97,E97,F97,G97,H97,I97,J97),2)&amp;BIN2HEX(CONCATENATE(K97,L97,M97,N97,O97,P97,Q97,R97),2)&amp;BIN2HEX(CONCATENATE(S97,T97,U97,V97,W97,X97,Y97,Z97),2)&amp;BIN2HEX(CONCATENATE(AA97,AB97,AC97,AD97,AE97,AF97,AG97,AH97),2)</f>
        <v>0x0000FFFF</v>
      </c>
      <c r="G104" s="319"/>
      <c r="H104" s="319"/>
      <c r="I104" s="12"/>
      <c r="J104" s="319" t="str">
        <f>"0b"&amp;C101&amp;D101&amp;E101&amp;F101&amp;G101&amp;H101&amp;I101&amp;J101&amp;K101&amp;L101&amp;M101&amp;N101&amp;O101&amp;P101&amp;Q101</f>
        <v>0b000000000001000</v>
      </c>
      <c r="K104" s="319"/>
      <c r="L104" s="319"/>
      <c r="M104" s="319"/>
      <c r="N104" s="12"/>
      <c r="O104" s="319" t="str">
        <f>"0b"&amp;DEC2BIN(((AF101+AE101*2+AD101*4+AC101*8+AB101*16+AA101*32+Z101*64+Y101*128+X101*256+W101*512+V101*1024+U101*2048+T101*4096+S101*2^13+R101*2^14)/512),6)&amp;DEC2BIN(MOD((AF101+AE101*2+AD101*4+AC101*8+AB101*16+AA101*32+Z101*64+Y101*128+X101*256+W101*512+V101*1024+U101*2048+T101*4096+S101*2^13+R101*2^14),512),9)</f>
        <v>0b000000001000001</v>
      </c>
      <c r="P104" s="319"/>
      <c r="Q104" s="319"/>
      <c r="R104" s="319"/>
      <c r="S104" s="12"/>
      <c r="T104" s="196">
        <v>0</v>
      </c>
      <c r="U104" s="196">
        <f>AH101</f>
        <v>0</v>
      </c>
      <c r="V104" s="5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6"/>
    </row>
    <row r="105" spans="1:35" x14ac:dyDescent="0.25">
      <c r="A105" s="3"/>
      <c r="B105" s="317"/>
      <c r="C105" s="317"/>
      <c r="D105" s="317"/>
      <c r="E105" s="15"/>
      <c r="F105" s="319"/>
      <c r="G105" s="319"/>
      <c r="H105" s="319"/>
      <c r="I105" s="15"/>
      <c r="J105" s="317"/>
      <c r="K105" s="317"/>
      <c r="L105" s="317"/>
      <c r="M105" s="317"/>
      <c r="N105" s="15"/>
      <c r="O105" s="317"/>
      <c r="P105" s="317"/>
      <c r="Q105" s="317"/>
      <c r="R105" s="317"/>
      <c r="S105" s="15"/>
      <c r="T105" s="196"/>
      <c r="U105" s="15"/>
      <c r="V105" s="5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6"/>
    </row>
    <row r="106" spans="1:35" x14ac:dyDescent="0.25">
      <c r="A106" s="3"/>
      <c r="B106" s="317"/>
      <c r="C106" s="317"/>
      <c r="D106" s="317"/>
      <c r="E106" s="15"/>
      <c r="F106" s="319"/>
      <c r="G106" s="319"/>
      <c r="H106" s="319"/>
      <c r="I106" s="15"/>
      <c r="J106" s="317"/>
      <c r="K106" s="317"/>
      <c r="L106" s="317"/>
      <c r="M106" s="317"/>
      <c r="N106" s="15"/>
      <c r="O106" s="317"/>
      <c r="P106" s="317"/>
      <c r="Q106" s="317"/>
      <c r="R106" s="317"/>
      <c r="S106" s="15"/>
      <c r="T106" s="196"/>
      <c r="U106" s="15"/>
      <c r="V106" s="5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6"/>
    </row>
    <row r="107" spans="1:35" x14ac:dyDescent="0.25">
      <c r="A107" s="3"/>
      <c r="B107" s="5"/>
      <c r="C107" s="5"/>
      <c r="D107" s="5"/>
      <c r="E107" s="5"/>
      <c r="F107" s="17"/>
      <c r="G107" s="17"/>
      <c r="H107" s="17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6"/>
    </row>
    <row r="108" spans="1:35" x14ac:dyDescent="0.25">
      <c r="A108" s="3"/>
      <c r="B108" s="5" t="s">
        <v>47</v>
      </c>
      <c r="C108" s="18"/>
      <c r="D108" s="18"/>
      <c r="E108" s="18"/>
      <c r="F108" s="5"/>
      <c r="G108" s="5"/>
      <c r="H108" s="5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6"/>
    </row>
    <row r="109" spans="1:35" x14ac:dyDescent="0.25">
      <c r="A109" s="3"/>
      <c r="B109" s="317" t="str">
        <f>"0x"&amp;DEC2HEX(Sheet3!$I$4,8)</f>
        <v>0x00400320</v>
      </c>
      <c r="C109" s="317"/>
      <c r="D109" s="317"/>
      <c r="E109" s="16"/>
      <c r="F109" s="322" t="str">
        <f>F104&amp;BIN2HEX(MID(J104,3,8),2)&amp;BIN2HEX(RIGHT(J104,7)&amp;MID(O104,3,1),2)&amp;BIN2HEX(MID(O104,4,8),2)&amp;BIN2HEX(RIGHT(O104,6)&amp;T104&amp;U104,2)</f>
        <v>0x0000FFFF00100104</v>
      </c>
      <c r="G109" s="322"/>
      <c r="H109" s="322"/>
      <c r="I109" s="322"/>
      <c r="J109" s="5"/>
      <c r="K109" s="5"/>
      <c r="L109" s="5"/>
      <c r="M109" s="5"/>
      <c r="N109" s="5"/>
      <c r="O109" s="5"/>
      <c r="P109" s="16"/>
      <c r="Q109" s="16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5"/>
      <c r="AH109" s="5"/>
      <c r="AI109" s="6"/>
    </row>
    <row r="110" spans="1:35" x14ac:dyDescent="0.25">
      <c r="A110" s="3"/>
      <c r="B110" s="317"/>
      <c r="C110" s="317"/>
      <c r="D110" s="317"/>
      <c r="E110" s="5"/>
      <c r="F110" s="322"/>
      <c r="G110" s="322"/>
      <c r="H110" s="322"/>
      <c r="I110" s="322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6"/>
    </row>
    <row r="111" spans="1:35" x14ac:dyDescent="0.25">
      <c r="A111" s="3"/>
      <c r="B111" s="317"/>
      <c r="C111" s="317"/>
      <c r="D111" s="317"/>
      <c r="E111" s="5"/>
      <c r="F111" s="322"/>
      <c r="G111" s="322"/>
      <c r="H111" s="322"/>
      <c r="I111" s="322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6"/>
    </row>
    <row r="112" spans="1:35" x14ac:dyDescent="0.25">
      <c r="A112" s="20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2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3"/>
    </row>
    <row r="113" spans="1:35" x14ac:dyDescent="0.25">
      <c r="A113" s="24"/>
      <c r="B113" s="28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6"/>
    </row>
    <row r="114" spans="1:35" x14ac:dyDescent="0.25">
      <c r="A114" s="3"/>
      <c r="B114" s="4" t="s">
        <v>285</v>
      </c>
      <c r="C114" s="5"/>
      <c r="D114" s="5"/>
      <c r="E114" s="5"/>
      <c r="F114" s="5"/>
      <c r="G114" s="5"/>
      <c r="H114" s="5"/>
      <c r="I114" s="5" t="str">
        <f>"0x"&amp;BIN2HEX(CONCATENATE(C119,D119,E119,F119,G119,H119,I119,J119),2)&amp;BIN2HEX(CONCATENATE(K119,L119,M119,N119,O119,P119,Q119,R119),2)&amp;BIN2HEX(CONCATENATE(S119,T119,U119,V119,W119,X119,Y119,Z119),2)&amp;BIN2HEX(CONCATENATE(AA119,AB119,AC119,AD119,AE119,AF119,AG119,AH119),2)&amp;"_"&amp;BIN2HEX(CONCATENATE(C123,D123,E123,F123,G123,H123,I123,J123),2)&amp;BIN2HEX(CONCATENATE(K123,L123,M123,N123,O123,P123,Q123,R123),2)&amp;BIN2HEX(CONCATENATE(S123,T123,U123,V123,W123,X123,Y123,Z123),2)&amp;BIN2HEX(CONCATENATE(AA123,AB123,AC123,AD123,AE123,AF123,AG123,AH123),2)</f>
        <v>0xFFFFFFFF_00100108</v>
      </c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6"/>
    </row>
    <row r="115" spans="1:35" ht="15.75" thickBot="1" x14ac:dyDescent="0.3">
      <c r="A115" s="3"/>
      <c r="B115" s="5"/>
      <c r="C115" s="7">
        <v>0</v>
      </c>
      <c r="D115" s="7">
        <v>1</v>
      </c>
      <c r="E115" s="7">
        <v>2</v>
      </c>
      <c r="F115" s="7">
        <v>3</v>
      </c>
      <c r="G115" s="7">
        <v>4</v>
      </c>
      <c r="H115" s="7">
        <v>5</v>
      </c>
      <c r="I115" s="7">
        <v>6</v>
      </c>
      <c r="J115" s="7">
        <v>7</v>
      </c>
      <c r="K115" s="7">
        <v>8</v>
      </c>
      <c r="L115" s="7">
        <v>9</v>
      </c>
      <c r="M115" s="7">
        <v>10</v>
      </c>
      <c r="N115" s="7">
        <v>11</v>
      </c>
      <c r="O115" s="7">
        <v>12</v>
      </c>
      <c r="P115" s="7">
        <v>13</v>
      </c>
      <c r="Q115" s="7">
        <v>14</v>
      </c>
      <c r="R115" s="7">
        <v>15</v>
      </c>
      <c r="S115" s="7">
        <v>16</v>
      </c>
      <c r="T115" s="7">
        <v>17</v>
      </c>
      <c r="U115" s="7">
        <v>18</v>
      </c>
      <c r="V115" s="7">
        <v>19</v>
      </c>
      <c r="W115" s="7">
        <v>20</v>
      </c>
      <c r="X115" s="7">
        <v>21</v>
      </c>
      <c r="Y115" s="7">
        <v>22</v>
      </c>
      <c r="Z115" s="7">
        <v>23</v>
      </c>
      <c r="AA115" s="7">
        <v>24</v>
      </c>
      <c r="AB115" s="7">
        <v>25</v>
      </c>
      <c r="AC115" s="7">
        <v>26</v>
      </c>
      <c r="AD115" s="7">
        <v>27</v>
      </c>
      <c r="AE115" s="7">
        <v>28</v>
      </c>
      <c r="AF115" s="7">
        <v>29</v>
      </c>
      <c r="AG115" s="7">
        <v>30</v>
      </c>
      <c r="AH115" s="7">
        <v>31</v>
      </c>
      <c r="AI115" s="6"/>
    </row>
    <row r="116" spans="1:35" ht="15" customHeight="1" x14ac:dyDescent="0.25">
      <c r="A116" s="3"/>
      <c r="B116" s="5" t="s">
        <v>31</v>
      </c>
      <c r="C116" s="354" t="s">
        <v>301</v>
      </c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S116" s="331"/>
      <c r="T116" s="331"/>
      <c r="U116" s="331"/>
      <c r="V116" s="331"/>
      <c r="W116" s="331"/>
      <c r="X116" s="331"/>
      <c r="Y116" s="331"/>
      <c r="Z116" s="331"/>
      <c r="AA116" s="331"/>
      <c r="AB116" s="331"/>
      <c r="AC116" s="331"/>
      <c r="AD116" s="331"/>
      <c r="AE116" s="331"/>
      <c r="AF116" s="331"/>
      <c r="AG116" s="331"/>
      <c r="AH116" s="355"/>
      <c r="AI116" s="6"/>
    </row>
    <row r="117" spans="1:35" x14ac:dyDescent="0.25">
      <c r="A117" s="3"/>
      <c r="B117" s="5" t="s">
        <v>32</v>
      </c>
      <c r="C117" s="356"/>
      <c r="D117" s="334"/>
      <c r="E117" s="334"/>
      <c r="F117" s="334"/>
      <c r="G117" s="334"/>
      <c r="H117" s="334"/>
      <c r="I117" s="334"/>
      <c r="J117" s="334"/>
      <c r="K117" s="334"/>
      <c r="L117" s="334"/>
      <c r="M117" s="334"/>
      <c r="N117" s="334"/>
      <c r="O117" s="334"/>
      <c r="P117" s="334"/>
      <c r="Q117" s="334"/>
      <c r="R117" s="334"/>
      <c r="S117" s="334"/>
      <c r="T117" s="334"/>
      <c r="U117" s="334"/>
      <c r="V117" s="334"/>
      <c r="W117" s="334"/>
      <c r="X117" s="334"/>
      <c r="Y117" s="334"/>
      <c r="Z117" s="334"/>
      <c r="AA117" s="334"/>
      <c r="AB117" s="334"/>
      <c r="AC117" s="334"/>
      <c r="AD117" s="334"/>
      <c r="AE117" s="334"/>
      <c r="AF117" s="334"/>
      <c r="AG117" s="334"/>
      <c r="AH117" s="357"/>
      <c r="AI117" s="6"/>
    </row>
    <row r="118" spans="1:35" x14ac:dyDescent="0.25">
      <c r="A118" s="3"/>
      <c r="B118" s="5" t="s">
        <v>11</v>
      </c>
      <c r="C118" s="56">
        <v>1</v>
      </c>
      <c r="D118" s="57">
        <v>1</v>
      </c>
      <c r="E118" s="57">
        <v>1</v>
      </c>
      <c r="F118" s="57">
        <v>1</v>
      </c>
      <c r="G118" s="57">
        <v>1</v>
      </c>
      <c r="H118" s="57">
        <v>1</v>
      </c>
      <c r="I118" s="57">
        <v>1</v>
      </c>
      <c r="J118" s="57">
        <v>1</v>
      </c>
      <c r="K118" s="57">
        <v>1</v>
      </c>
      <c r="L118" s="57">
        <v>1</v>
      </c>
      <c r="M118" s="57">
        <v>1</v>
      </c>
      <c r="N118" s="57">
        <v>1</v>
      </c>
      <c r="O118" s="57">
        <v>1</v>
      </c>
      <c r="P118" s="57">
        <v>1</v>
      </c>
      <c r="Q118" s="57">
        <v>1</v>
      </c>
      <c r="R118" s="57">
        <v>1</v>
      </c>
      <c r="S118" s="57">
        <v>1</v>
      </c>
      <c r="T118" s="57">
        <v>1</v>
      </c>
      <c r="U118" s="57">
        <v>1</v>
      </c>
      <c r="V118" s="57">
        <v>1</v>
      </c>
      <c r="W118" s="57">
        <v>1</v>
      </c>
      <c r="X118" s="57">
        <v>1</v>
      </c>
      <c r="Y118" s="57">
        <v>1</v>
      </c>
      <c r="Z118" s="57">
        <v>1</v>
      </c>
      <c r="AA118" s="57">
        <v>1</v>
      </c>
      <c r="AB118" s="57">
        <v>1</v>
      </c>
      <c r="AC118" s="57">
        <v>1</v>
      </c>
      <c r="AD118" s="57">
        <v>1</v>
      </c>
      <c r="AE118" s="57">
        <v>1</v>
      </c>
      <c r="AF118" s="57">
        <v>1</v>
      </c>
      <c r="AG118" s="57">
        <v>1</v>
      </c>
      <c r="AH118" s="58">
        <v>1</v>
      </c>
      <c r="AI118" s="6"/>
    </row>
    <row r="119" spans="1:35" ht="15.75" thickBot="1" x14ac:dyDescent="0.3">
      <c r="A119" s="3"/>
      <c r="B119" s="5" t="s">
        <v>12</v>
      </c>
      <c r="C119" s="145">
        <v>1</v>
      </c>
      <c r="D119" s="88">
        <v>1</v>
      </c>
      <c r="E119" s="88">
        <v>1</v>
      </c>
      <c r="F119" s="88">
        <v>1</v>
      </c>
      <c r="G119" s="88">
        <v>1</v>
      </c>
      <c r="H119" s="88">
        <v>1</v>
      </c>
      <c r="I119" s="88">
        <v>1</v>
      </c>
      <c r="J119" s="88">
        <v>1</v>
      </c>
      <c r="K119" s="88">
        <v>1</v>
      </c>
      <c r="L119" s="88">
        <v>1</v>
      </c>
      <c r="M119" s="88">
        <v>1</v>
      </c>
      <c r="N119" s="88">
        <v>1</v>
      </c>
      <c r="O119" s="88">
        <v>1</v>
      </c>
      <c r="P119" s="88">
        <v>1</v>
      </c>
      <c r="Q119" s="88">
        <v>1</v>
      </c>
      <c r="R119" s="88">
        <v>1</v>
      </c>
      <c r="S119" s="88">
        <v>1</v>
      </c>
      <c r="T119" s="88">
        <v>1</v>
      </c>
      <c r="U119" s="88">
        <v>1</v>
      </c>
      <c r="V119" s="88">
        <v>1</v>
      </c>
      <c r="W119" s="88">
        <v>1</v>
      </c>
      <c r="X119" s="88">
        <v>1</v>
      </c>
      <c r="Y119" s="88">
        <v>1</v>
      </c>
      <c r="Z119" s="88">
        <v>1</v>
      </c>
      <c r="AA119" s="88">
        <v>1</v>
      </c>
      <c r="AB119" s="88">
        <v>1</v>
      </c>
      <c r="AC119" s="88">
        <v>1</v>
      </c>
      <c r="AD119" s="88">
        <v>1</v>
      </c>
      <c r="AE119" s="88">
        <v>1</v>
      </c>
      <c r="AF119" s="88">
        <v>1</v>
      </c>
      <c r="AG119" s="88">
        <v>1</v>
      </c>
      <c r="AH119" s="89">
        <v>1</v>
      </c>
      <c r="AI119" s="6"/>
    </row>
    <row r="120" spans="1:35" x14ac:dyDescent="0.25">
      <c r="A120" s="3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6"/>
    </row>
    <row r="121" spans="1:35" ht="15.75" thickBot="1" x14ac:dyDescent="0.3">
      <c r="A121" s="3"/>
      <c r="B121" s="5"/>
      <c r="C121" s="7">
        <v>32</v>
      </c>
      <c r="D121" s="7">
        <v>33</v>
      </c>
      <c r="E121" s="7">
        <v>34</v>
      </c>
      <c r="F121" s="7">
        <v>35</v>
      </c>
      <c r="G121" s="7">
        <v>36</v>
      </c>
      <c r="H121" s="7">
        <v>37</v>
      </c>
      <c r="I121" s="7">
        <v>38</v>
      </c>
      <c r="J121" s="7">
        <v>39</v>
      </c>
      <c r="K121" s="7">
        <v>40</v>
      </c>
      <c r="L121" s="7">
        <v>41</v>
      </c>
      <c r="M121" s="7">
        <v>42</v>
      </c>
      <c r="N121" s="7">
        <v>43</v>
      </c>
      <c r="O121" s="7">
        <v>44</v>
      </c>
      <c r="P121" s="7">
        <v>45</v>
      </c>
      <c r="Q121" s="7">
        <v>46</v>
      </c>
      <c r="R121" s="7">
        <v>47</v>
      </c>
      <c r="S121" s="7">
        <v>48</v>
      </c>
      <c r="T121" s="7">
        <v>49</v>
      </c>
      <c r="U121" s="7">
        <v>50</v>
      </c>
      <c r="V121" s="7">
        <v>51</v>
      </c>
      <c r="W121" s="7">
        <v>52</v>
      </c>
      <c r="X121" s="7">
        <v>53</v>
      </c>
      <c r="Y121" s="7">
        <v>54</v>
      </c>
      <c r="Z121" s="7">
        <v>55</v>
      </c>
      <c r="AA121" s="7">
        <v>56</v>
      </c>
      <c r="AB121" s="7">
        <v>57</v>
      </c>
      <c r="AC121" s="7">
        <v>58</v>
      </c>
      <c r="AD121" s="7">
        <v>59</v>
      </c>
      <c r="AE121" s="7">
        <v>60</v>
      </c>
      <c r="AF121" s="7">
        <v>61</v>
      </c>
      <c r="AG121" s="7">
        <v>62</v>
      </c>
      <c r="AH121" s="7">
        <v>63</v>
      </c>
      <c r="AI121" s="6"/>
    </row>
    <row r="122" spans="1:35" ht="15.75" thickBot="1" x14ac:dyDescent="0.3">
      <c r="A122" s="3"/>
      <c r="B122" s="5"/>
      <c r="C122" s="147" t="s">
        <v>13</v>
      </c>
      <c r="D122" s="148" t="s">
        <v>14</v>
      </c>
      <c r="E122" s="148" t="s">
        <v>15</v>
      </c>
      <c r="F122" s="148" t="s">
        <v>16</v>
      </c>
      <c r="G122" s="148" t="s">
        <v>17</v>
      </c>
      <c r="H122" s="148" t="s">
        <v>18</v>
      </c>
      <c r="I122" s="148" t="s">
        <v>19</v>
      </c>
      <c r="J122" s="148" t="s">
        <v>20</v>
      </c>
      <c r="K122" s="148" t="s">
        <v>21</v>
      </c>
      <c r="L122" s="148" t="s">
        <v>22</v>
      </c>
      <c r="M122" s="148" t="s">
        <v>23</v>
      </c>
      <c r="N122" s="148" t="s">
        <v>24</v>
      </c>
      <c r="O122" s="148" t="s">
        <v>25</v>
      </c>
      <c r="P122" s="148" t="s">
        <v>26</v>
      </c>
      <c r="Q122" s="148" t="s">
        <v>27</v>
      </c>
      <c r="R122" s="362" t="s">
        <v>30</v>
      </c>
      <c r="S122" s="362"/>
      <c r="T122" s="362"/>
      <c r="U122" s="362"/>
      <c r="V122" s="362"/>
      <c r="W122" s="362"/>
      <c r="X122" s="362"/>
      <c r="Y122" s="362"/>
      <c r="Z122" s="362"/>
      <c r="AA122" s="362"/>
      <c r="AB122" s="362"/>
      <c r="AC122" s="362"/>
      <c r="AD122" s="362"/>
      <c r="AE122" s="362"/>
      <c r="AF122" s="362"/>
      <c r="AG122" s="67" t="s">
        <v>28</v>
      </c>
      <c r="AH122" s="149" t="s">
        <v>29</v>
      </c>
      <c r="AI122" s="6"/>
    </row>
    <row r="123" spans="1:35" ht="15.75" thickBot="1" x14ac:dyDescent="0.3">
      <c r="A123" s="3"/>
      <c r="B123" s="5"/>
      <c r="C123" s="150">
        <v>0</v>
      </c>
      <c r="D123" s="151">
        <v>0</v>
      </c>
      <c r="E123" s="151">
        <v>0</v>
      </c>
      <c r="F123" s="151">
        <v>0</v>
      </c>
      <c r="G123" s="151">
        <v>0</v>
      </c>
      <c r="H123" s="151">
        <v>0</v>
      </c>
      <c r="I123" s="151">
        <v>0</v>
      </c>
      <c r="J123" s="151">
        <v>0</v>
      </c>
      <c r="K123" s="151">
        <v>0</v>
      </c>
      <c r="L123" s="151">
        <v>0</v>
      </c>
      <c r="M123" s="151">
        <v>0</v>
      </c>
      <c r="N123" s="151">
        <v>1</v>
      </c>
      <c r="O123" s="151">
        <v>0</v>
      </c>
      <c r="P123" s="151">
        <v>0</v>
      </c>
      <c r="Q123" s="151">
        <v>0</v>
      </c>
      <c r="R123" s="151">
        <v>0</v>
      </c>
      <c r="S123" s="151">
        <v>0</v>
      </c>
      <c r="T123" s="151">
        <v>0</v>
      </c>
      <c r="U123" s="151">
        <v>0</v>
      </c>
      <c r="V123" s="151">
        <v>0</v>
      </c>
      <c r="W123" s="151">
        <v>0</v>
      </c>
      <c r="X123" s="151">
        <v>0</v>
      </c>
      <c r="Y123" s="151">
        <v>0</v>
      </c>
      <c r="Z123" s="151">
        <v>1</v>
      </c>
      <c r="AA123" s="151">
        <v>0</v>
      </c>
      <c r="AB123" s="151">
        <v>0</v>
      </c>
      <c r="AC123" s="151">
        <v>0</v>
      </c>
      <c r="AD123" s="151">
        <v>0</v>
      </c>
      <c r="AE123" s="151">
        <v>1</v>
      </c>
      <c r="AF123" s="151">
        <v>0</v>
      </c>
      <c r="AG123" s="151">
        <v>0</v>
      </c>
      <c r="AH123" s="152">
        <v>0</v>
      </c>
      <c r="AI123" s="6"/>
    </row>
    <row r="124" spans="1:35" x14ac:dyDescent="0.25">
      <c r="A124" s="3"/>
      <c r="B124" s="4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6"/>
    </row>
    <row r="125" spans="1:35" x14ac:dyDescent="0.25">
      <c r="A125" s="3"/>
      <c r="B125" s="8" t="s">
        <v>43</v>
      </c>
      <c r="C125" s="9"/>
      <c r="D125" s="9"/>
      <c r="E125" s="9"/>
      <c r="F125" s="363" t="s">
        <v>44</v>
      </c>
      <c r="G125" s="363"/>
      <c r="H125" s="363"/>
      <c r="I125" s="9"/>
      <c r="J125" s="364" t="s">
        <v>45</v>
      </c>
      <c r="K125" s="364"/>
      <c r="L125" s="364"/>
      <c r="M125" s="364"/>
      <c r="N125" s="9"/>
      <c r="O125" s="365" t="s">
        <v>46</v>
      </c>
      <c r="P125" s="365"/>
      <c r="Q125" s="365"/>
      <c r="R125" s="365"/>
      <c r="S125" s="9"/>
      <c r="T125" s="1" t="s">
        <v>49</v>
      </c>
      <c r="U125" s="10" t="s">
        <v>48</v>
      </c>
      <c r="V125" s="5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6"/>
    </row>
    <row r="126" spans="1:35" x14ac:dyDescent="0.25">
      <c r="A126" s="3"/>
      <c r="B126" s="317" t="str">
        <f>"0x"&amp;DEC2HEX(Sheet3!$I$4,8)</f>
        <v>0x00400320</v>
      </c>
      <c r="C126" s="317"/>
      <c r="D126" s="317"/>
      <c r="E126" s="12"/>
      <c r="F126" s="319" t="str">
        <f>"0x"&amp;BIN2HEX(CONCATENATE(C119,D119,E119,F119,G119,H119,I119,J119),2)&amp;BIN2HEX(CONCATENATE(K119,L119,M119,N119,O119,P119,Q119,R119),2)&amp;BIN2HEX(CONCATENATE(S119,T119,U119,V119,W119,X119,Y119,Z119),2)&amp;BIN2HEX(CONCATENATE(AA119,AB119,AC119,AD119,AE119,AF119,AG119,AH119),2)</f>
        <v>0xFFFFFFFF</v>
      </c>
      <c r="G126" s="319"/>
      <c r="H126" s="319"/>
      <c r="I126" s="12"/>
      <c r="J126" s="319" t="str">
        <f>"0b"&amp;C123&amp;D123&amp;E123&amp;F123&amp;G123&amp;H123&amp;I123&amp;J123&amp;K123&amp;L123&amp;M123&amp;N123&amp;O123&amp;P123&amp;Q123</f>
        <v>0b000000000001000</v>
      </c>
      <c r="K126" s="319"/>
      <c r="L126" s="319"/>
      <c r="M126" s="319"/>
      <c r="N126" s="12"/>
      <c r="O126" s="319" t="str">
        <f>"0b"&amp;DEC2BIN(((AF123+AE123*2+AD123*4+AC123*8+AB123*16+AA123*32+Z123*64+Y123*128+X123*256+W123*512+V123*1024+U123*2048+T123*4096+S123*2^13+R123*2^14)/512),6)&amp;DEC2BIN(MOD((AF123+AE123*2+AD123*4+AC123*8+AB123*16+AA123*32+Z123*64+Y123*128+X123*256+W123*512+V123*1024+U123*2048+T123*4096+S123*2^13+R123*2^14),512),9)</f>
        <v>0b000000001000010</v>
      </c>
      <c r="P126" s="319"/>
      <c r="Q126" s="319"/>
      <c r="R126" s="319"/>
      <c r="S126" s="12"/>
      <c r="T126" s="196">
        <v>0</v>
      </c>
      <c r="U126" s="196">
        <f>AH123</f>
        <v>0</v>
      </c>
      <c r="V126" s="5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6"/>
    </row>
    <row r="127" spans="1:35" x14ac:dyDescent="0.25">
      <c r="A127" s="3"/>
      <c r="B127" s="317"/>
      <c r="C127" s="317"/>
      <c r="D127" s="317"/>
      <c r="E127" s="15"/>
      <c r="F127" s="319"/>
      <c r="G127" s="319"/>
      <c r="H127" s="319"/>
      <c r="I127" s="15"/>
      <c r="J127" s="317"/>
      <c r="K127" s="317"/>
      <c r="L127" s="317"/>
      <c r="M127" s="317"/>
      <c r="N127" s="15"/>
      <c r="O127" s="317"/>
      <c r="P127" s="317"/>
      <c r="Q127" s="317"/>
      <c r="R127" s="317"/>
      <c r="S127" s="15"/>
      <c r="T127" s="196"/>
      <c r="U127" s="15"/>
      <c r="V127" s="5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6"/>
    </row>
    <row r="128" spans="1:35" x14ac:dyDescent="0.25">
      <c r="A128" s="3"/>
      <c r="B128" s="317"/>
      <c r="C128" s="317"/>
      <c r="D128" s="317"/>
      <c r="E128" s="15"/>
      <c r="F128" s="319"/>
      <c r="G128" s="319"/>
      <c r="H128" s="319"/>
      <c r="I128" s="15"/>
      <c r="J128" s="317"/>
      <c r="K128" s="317"/>
      <c r="L128" s="317"/>
      <c r="M128" s="317"/>
      <c r="N128" s="15"/>
      <c r="O128" s="317"/>
      <c r="P128" s="317"/>
      <c r="Q128" s="317"/>
      <c r="R128" s="317"/>
      <c r="S128" s="15"/>
      <c r="T128" s="196"/>
      <c r="U128" s="15"/>
      <c r="V128" s="5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6"/>
    </row>
    <row r="129" spans="1:35" x14ac:dyDescent="0.25">
      <c r="A129" s="3"/>
      <c r="B129" s="5"/>
      <c r="C129" s="5"/>
      <c r="D129" s="5"/>
      <c r="E129" s="5"/>
      <c r="F129" s="17"/>
      <c r="G129" s="17"/>
      <c r="H129" s="17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6"/>
    </row>
    <row r="130" spans="1:35" x14ac:dyDescent="0.25">
      <c r="A130" s="3"/>
      <c r="B130" s="5" t="s">
        <v>47</v>
      </c>
      <c r="C130" s="18"/>
      <c r="D130" s="18"/>
      <c r="E130" s="18"/>
      <c r="F130" s="5"/>
      <c r="G130" s="5"/>
      <c r="H130" s="5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6"/>
    </row>
    <row r="131" spans="1:35" x14ac:dyDescent="0.25">
      <c r="A131" s="3"/>
      <c r="B131" s="317" t="str">
        <f>"0x"&amp;DEC2HEX(Sheet3!$I$4,8)</f>
        <v>0x00400320</v>
      </c>
      <c r="C131" s="317"/>
      <c r="D131" s="317"/>
      <c r="E131" s="16"/>
      <c r="F131" s="322" t="str">
        <f>F126&amp;BIN2HEX(MID(J126,3,8),2)&amp;BIN2HEX(RIGHT(J126,7)&amp;MID(O126,3,1),2)&amp;BIN2HEX(MID(O126,4,8),2)&amp;BIN2HEX(RIGHT(O126,6)&amp;T126&amp;U126,2)</f>
        <v>0xFFFFFFFF00100108</v>
      </c>
      <c r="G131" s="322"/>
      <c r="H131" s="322"/>
      <c r="I131" s="322"/>
      <c r="J131" s="5"/>
      <c r="K131" s="5"/>
      <c r="L131" s="5"/>
      <c r="M131" s="5"/>
      <c r="N131" s="5"/>
      <c r="O131" s="5"/>
      <c r="P131" s="16"/>
      <c r="Q131" s="16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5"/>
      <c r="AH131" s="5"/>
      <c r="AI131" s="6"/>
    </row>
    <row r="132" spans="1:35" x14ac:dyDescent="0.25">
      <c r="A132" s="3"/>
      <c r="B132" s="317"/>
      <c r="C132" s="317"/>
      <c r="D132" s="317"/>
      <c r="E132" s="5"/>
      <c r="F132" s="322"/>
      <c r="G132" s="322"/>
      <c r="H132" s="322"/>
      <c r="I132" s="322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6"/>
    </row>
    <row r="133" spans="1:35" x14ac:dyDescent="0.25">
      <c r="A133" s="3"/>
      <c r="B133" s="317"/>
      <c r="C133" s="317"/>
      <c r="D133" s="317"/>
      <c r="E133" s="5"/>
      <c r="F133" s="322"/>
      <c r="G133" s="322"/>
      <c r="H133" s="322"/>
      <c r="I133" s="322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6"/>
    </row>
    <row r="134" spans="1:35" x14ac:dyDescent="0.25">
      <c r="A134" s="20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3"/>
    </row>
    <row r="135" spans="1:35" x14ac:dyDescent="0.25">
      <c r="A135" s="24"/>
      <c r="B135" s="28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6"/>
    </row>
    <row r="136" spans="1:35" x14ac:dyDescent="0.25">
      <c r="A136" s="3"/>
      <c r="B136" s="4" t="s">
        <v>286</v>
      </c>
      <c r="C136" s="5"/>
      <c r="D136" s="5"/>
      <c r="E136" s="5"/>
      <c r="F136" s="5"/>
      <c r="G136" s="5"/>
      <c r="H136" s="5"/>
      <c r="I136" s="5" t="str">
        <f>"0x"&amp;BIN2HEX(CONCATENATE(C141,D141,E141,F141,G141,H141,I141,J141),2)&amp;BIN2HEX(CONCATENATE(K141,L141,M141,N141,O141,P141,Q141,R141),2)&amp;BIN2HEX(CONCATENATE(S141,T141,U141,V141,W141,X141,Y141,Z141),2)&amp;BIN2HEX(CONCATENATE(AA141,AB141,AC141,AD141,AE141,AF141,AG141,AH141),2)&amp;"_"&amp;BIN2HEX(CONCATENATE(C145,D145,E145,F145,G145,H145,I145,J145),2)&amp;BIN2HEX(CONCATENATE(K145,L145,M145,N145,O145,P145,Q145,R145),2)&amp;BIN2HEX(CONCATENATE(S145,T145,U145,V145,W145,X145,Y145,Z145),2)&amp;BIN2HEX(CONCATENATE(AA145,AB145,AC145,AD145,AE145,AF145,AG145,AH145),2)</f>
        <v>0xEF1FFFFF_0010010C</v>
      </c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6"/>
    </row>
    <row r="137" spans="1:35" ht="15.75" thickBot="1" x14ac:dyDescent="0.3">
      <c r="A137" s="3"/>
      <c r="B137" s="5"/>
      <c r="C137" s="7">
        <v>0</v>
      </c>
      <c r="D137" s="7">
        <v>1</v>
      </c>
      <c r="E137" s="7">
        <v>2</v>
      </c>
      <c r="F137" s="7">
        <v>3</v>
      </c>
      <c r="G137" s="7">
        <v>4</v>
      </c>
      <c r="H137" s="7">
        <v>5</v>
      </c>
      <c r="I137" s="7">
        <v>6</v>
      </c>
      <c r="J137" s="7">
        <v>7</v>
      </c>
      <c r="K137" s="7">
        <v>8</v>
      </c>
      <c r="L137" s="7">
        <v>9</v>
      </c>
      <c r="M137" s="7">
        <v>10</v>
      </c>
      <c r="N137" s="7">
        <v>11</v>
      </c>
      <c r="O137" s="7">
        <v>12</v>
      </c>
      <c r="P137" s="7">
        <v>13</v>
      </c>
      <c r="Q137" s="7">
        <v>14</v>
      </c>
      <c r="R137" s="7">
        <v>15</v>
      </c>
      <c r="S137" s="7">
        <v>16</v>
      </c>
      <c r="T137" s="7">
        <v>17</v>
      </c>
      <c r="U137" s="7">
        <v>18</v>
      </c>
      <c r="V137" s="7">
        <v>19</v>
      </c>
      <c r="W137" s="7">
        <v>20</v>
      </c>
      <c r="X137" s="7">
        <v>21</v>
      </c>
      <c r="Y137" s="7">
        <v>22</v>
      </c>
      <c r="Z137" s="7">
        <v>23</v>
      </c>
      <c r="AA137" s="7">
        <v>24</v>
      </c>
      <c r="AB137" s="7">
        <v>25</v>
      </c>
      <c r="AC137" s="7">
        <v>26</v>
      </c>
      <c r="AD137" s="7">
        <v>27</v>
      </c>
      <c r="AE137" s="7">
        <v>28</v>
      </c>
      <c r="AF137" s="7">
        <v>29</v>
      </c>
      <c r="AG137" s="7">
        <v>30</v>
      </c>
      <c r="AH137" s="7">
        <v>31</v>
      </c>
      <c r="AI137" s="6"/>
    </row>
    <row r="138" spans="1:35" ht="15" customHeight="1" x14ac:dyDescent="0.25">
      <c r="A138" s="3"/>
      <c r="B138" s="5" t="s">
        <v>31</v>
      </c>
      <c r="C138" s="328" t="s">
        <v>302</v>
      </c>
      <c r="D138" s="345" t="s">
        <v>303</v>
      </c>
      <c r="E138" s="345" t="s">
        <v>304</v>
      </c>
      <c r="F138" s="154">
        <v>0</v>
      </c>
      <c r="G138" s="336" t="s">
        <v>305</v>
      </c>
      <c r="H138" s="337"/>
      <c r="I138" s="337"/>
      <c r="J138" s="350"/>
      <c r="K138" s="336">
        <v>0</v>
      </c>
      <c r="L138" s="337"/>
      <c r="M138" s="350"/>
      <c r="N138" s="345" t="s">
        <v>401</v>
      </c>
      <c r="O138" s="345" t="s">
        <v>402</v>
      </c>
      <c r="P138" s="345" t="s">
        <v>306</v>
      </c>
      <c r="Q138" s="345" t="s">
        <v>307</v>
      </c>
      <c r="R138" s="345" t="s">
        <v>308</v>
      </c>
      <c r="S138" s="330" t="s">
        <v>309</v>
      </c>
      <c r="T138" s="331"/>
      <c r="U138" s="331"/>
      <c r="V138" s="331"/>
      <c r="W138" s="331"/>
      <c r="X138" s="331"/>
      <c r="Y138" s="331"/>
      <c r="Z138" s="331"/>
      <c r="AA138" s="331"/>
      <c r="AB138" s="331"/>
      <c r="AC138" s="331"/>
      <c r="AD138" s="331"/>
      <c r="AE138" s="331"/>
      <c r="AF138" s="331"/>
      <c r="AG138" s="331"/>
      <c r="AH138" s="355"/>
      <c r="AI138" s="6"/>
    </row>
    <row r="139" spans="1:35" x14ac:dyDescent="0.25">
      <c r="A139" s="3"/>
      <c r="B139" s="5" t="s">
        <v>32</v>
      </c>
      <c r="C139" s="329"/>
      <c r="D139" s="346"/>
      <c r="E139" s="346"/>
      <c r="F139" s="198"/>
      <c r="G139" s="372"/>
      <c r="H139" s="373"/>
      <c r="I139" s="373"/>
      <c r="J139" s="374"/>
      <c r="K139" s="372"/>
      <c r="L139" s="373"/>
      <c r="M139" s="374"/>
      <c r="N139" s="346"/>
      <c r="O139" s="346"/>
      <c r="P139" s="346"/>
      <c r="Q139" s="346"/>
      <c r="R139" s="346"/>
      <c r="S139" s="333"/>
      <c r="T139" s="334"/>
      <c r="U139" s="334"/>
      <c r="V139" s="334"/>
      <c r="W139" s="334"/>
      <c r="X139" s="334"/>
      <c r="Y139" s="334"/>
      <c r="Z139" s="334"/>
      <c r="AA139" s="334"/>
      <c r="AB139" s="334"/>
      <c r="AC139" s="334"/>
      <c r="AD139" s="334"/>
      <c r="AE139" s="334"/>
      <c r="AF139" s="334"/>
      <c r="AG139" s="334"/>
      <c r="AH139" s="357"/>
      <c r="AI139" s="6"/>
    </row>
    <row r="140" spans="1:35" x14ac:dyDescent="0.25">
      <c r="A140" s="3"/>
      <c r="B140" s="5" t="s">
        <v>11</v>
      </c>
      <c r="C140" s="56">
        <v>1</v>
      </c>
      <c r="D140" s="57">
        <v>1</v>
      </c>
      <c r="E140" s="57">
        <v>1</v>
      </c>
      <c r="F140" s="57">
        <v>0</v>
      </c>
      <c r="G140" s="57">
        <v>1</v>
      </c>
      <c r="H140" s="57">
        <v>1</v>
      </c>
      <c r="I140" s="57">
        <v>1</v>
      </c>
      <c r="J140" s="57">
        <v>1</v>
      </c>
      <c r="K140" s="57">
        <v>0</v>
      </c>
      <c r="L140" s="57">
        <v>0</v>
      </c>
      <c r="M140" s="57">
        <v>0</v>
      </c>
      <c r="N140" s="57">
        <v>1</v>
      </c>
      <c r="O140" s="57">
        <v>1</v>
      </c>
      <c r="P140" s="57">
        <v>1</v>
      </c>
      <c r="Q140" s="57">
        <v>1</v>
      </c>
      <c r="R140" s="57">
        <v>1</v>
      </c>
      <c r="S140" s="57">
        <v>1</v>
      </c>
      <c r="T140" s="57">
        <v>1</v>
      </c>
      <c r="U140" s="57">
        <v>1</v>
      </c>
      <c r="V140" s="57">
        <v>1</v>
      </c>
      <c r="W140" s="57">
        <v>1</v>
      </c>
      <c r="X140" s="57">
        <v>1</v>
      </c>
      <c r="Y140" s="57">
        <v>1</v>
      </c>
      <c r="Z140" s="57">
        <v>1</v>
      </c>
      <c r="AA140" s="57">
        <v>1</v>
      </c>
      <c r="AB140" s="57">
        <v>1</v>
      </c>
      <c r="AC140" s="57">
        <v>1</v>
      </c>
      <c r="AD140" s="57">
        <v>1</v>
      </c>
      <c r="AE140" s="57">
        <v>1</v>
      </c>
      <c r="AF140" s="57">
        <v>1</v>
      </c>
      <c r="AG140" s="57">
        <v>1</v>
      </c>
      <c r="AH140" s="58">
        <v>1</v>
      </c>
      <c r="AI140" s="6"/>
    </row>
    <row r="141" spans="1:35" ht="15.75" thickBot="1" x14ac:dyDescent="0.3">
      <c r="A141" s="3"/>
      <c r="B141" s="5" t="s">
        <v>12</v>
      </c>
      <c r="C141" s="145">
        <v>1</v>
      </c>
      <c r="D141" s="88">
        <v>1</v>
      </c>
      <c r="E141" s="88">
        <v>1</v>
      </c>
      <c r="F141" s="161">
        <v>0</v>
      </c>
      <c r="G141" s="161">
        <v>1</v>
      </c>
      <c r="H141" s="161">
        <v>1</v>
      </c>
      <c r="I141" s="161">
        <v>1</v>
      </c>
      <c r="J141" s="161">
        <v>1</v>
      </c>
      <c r="K141" s="161">
        <v>0</v>
      </c>
      <c r="L141" s="161">
        <v>0</v>
      </c>
      <c r="M141" s="161">
        <v>0</v>
      </c>
      <c r="N141" s="88">
        <v>1</v>
      </c>
      <c r="O141" s="88">
        <v>1</v>
      </c>
      <c r="P141" s="88">
        <v>1</v>
      </c>
      <c r="Q141" s="88">
        <v>1</v>
      </c>
      <c r="R141" s="88">
        <v>1</v>
      </c>
      <c r="S141" s="88">
        <v>1</v>
      </c>
      <c r="T141" s="88">
        <v>1</v>
      </c>
      <c r="U141" s="88">
        <v>1</v>
      </c>
      <c r="V141" s="88">
        <v>1</v>
      </c>
      <c r="W141" s="88">
        <v>1</v>
      </c>
      <c r="X141" s="88">
        <v>1</v>
      </c>
      <c r="Y141" s="88">
        <v>1</v>
      </c>
      <c r="Z141" s="88">
        <v>1</v>
      </c>
      <c r="AA141" s="88">
        <v>1</v>
      </c>
      <c r="AB141" s="88">
        <v>1</v>
      </c>
      <c r="AC141" s="88">
        <v>1</v>
      </c>
      <c r="AD141" s="88">
        <v>1</v>
      </c>
      <c r="AE141" s="88">
        <v>1</v>
      </c>
      <c r="AF141" s="88">
        <v>1</v>
      </c>
      <c r="AG141" s="88">
        <v>1</v>
      </c>
      <c r="AH141" s="89">
        <v>1</v>
      </c>
      <c r="AI141" s="6"/>
    </row>
    <row r="142" spans="1:35" x14ac:dyDescent="0.25">
      <c r="A142" s="3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6"/>
    </row>
    <row r="143" spans="1:35" ht="15.75" thickBot="1" x14ac:dyDescent="0.3">
      <c r="A143" s="3"/>
      <c r="B143" s="5"/>
      <c r="C143" s="7">
        <v>32</v>
      </c>
      <c r="D143" s="7">
        <v>33</v>
      </c>
      <c r="E143" s="7">
        <v>34</v>
      </c>
      <c r="F143" s="7">
        <v>35</v>
      </c>
      <c r="G143" s="7">
        <v>36</v>
      </c>
      <c r="H143" s="7">
        <v>37</v>
      </c>
      <c r="I143" s="7">
        <v>38</v>
      </c>
      <c r="J143" s="7">
        <v>39</v>
      </c>
      <c r="K143" s="7">
        <v>40</v>
      </c>
      <c r="L143" s="7">
        <v>41</v>
      </c>
      <c r="M143" s="7">
        <v>42</v>
      </c>
      <c r="N143" s="7">
        <v>43</v>
      </c>
      <c r="O143" s="7">
        <v>44</v>
      </c>
      <c r="P143" s="7">
        <v>45</v>
      </c>
      <c r="Q143" s="7">
        <v>46</v>
      </c>
      <c r="R143" s="7">
        <v>47</v>
      </c>
      <c r="S143" s="7">
        <v>48</v>
      </c>
      <c r="T143" s="7">
        <v>49</v>
      </c>
      <c r="U143" s="7">
        <v>50</v>
      </c>
      <c r="V143" s="7">
        <v>51</v>
      </c>
      <c r="W143" s="7">
        <v>52</v>
      </c>
      <c r="X143" s="7">
        <v>53</v>
      </c>
      <c r="Y143" s="7">
        <v>54</v>
      </c>
      <c r="Z143" s="7">
        <v>55</v>
      </c>
      <c r="AA143" s="7">
        <v>56</v>
      </c>
      <c r="AB143" s="7">
        <v>57</v>
      </c>
      <c r="AC143" s="7">
        <v>58</v>
      </c>
      <c r="AD143" s="7">
        <v>59</v>
      </c>
      <c r="AE143" s="7">
        <v>60</v>
      </c>
      <c r="AF143" s="7">
        <v>61</v>
      </c>
      <c r="AG143" s="7">
        <v>62</v>
      </c>
      <c r="AH143" s="7">
        <v>63</v>
      </c>
      <c r="AI143" s="6"/>
    </row>
    <row r="144" spans="1:35" ht="15.75" thickBot="1" x14ac:dyDescent="0.3">
      <c r="A144" s="3"/>
      <c r="B144" s="5"/>
      <c r="C144" s="147" t="s">
        <v>13</v>
      </c>
      <c r="D144" s="148" t="s">
        <v>14</v>
      </c>
      <c r="E144" s="148" t="s">
        <v>15</v>
      </c>
      <c r="F144" s="148" t="s">
        <v>16</v>
      </c>
      <c r="G144" s="148" t="s">
        <v>17</v>
      </c>
      <c r="H144" s="148" t="s">
        <v>18</v>
      </c>
      <c r="I144" s="148" t="s">
        <v>19</v>
      </c>
      <c r="J144" s="148" t="s">
        <v>20</v>
      </c>
      <c r="K144" s="148" t="s">
        <v>21</v>
      </c>
      <c r="L144" s="148" t="s">
        <v>22</v>
      </c>
      <c r="M144" s="148" t="s">
        <v>23</v>
      </c>
      <c r="N144" s="148" t="s">
        <v>24</v>
      </c>
      <c r="O144" s="148" t="s">
        <v>25</v>
      </c>
      <c r="P144" s="148" t="s">
        <v>26</v>
      </c>
      <c r="Q144" s="148" t="s">
        <v>27</v>
      </c>
      <c r="R144" s="362" t="s">
        <v>30</v>
      </c>
      <c r="S144" s="362"/>
      <c r="T144" s="362"/>
      <c r="U144" s="362"/>
      <c r="V144" s="362"/>
      <c r="W144" s="362"/>
      <c r="X144" s="362"/>
      <c r="Y144" s="362"/>
      <c r="Z144" s="362"/>
      <c r="AA144" s="362"/>
      <c r="AB144" s="362"/>
      <c r="AC144" s="362"/>
      <c r="AD144" s="362"/>
      <c r="AE144" s="362"/>
      <c r="AF144" s="362"/>
      <c r="AG144" s="67" t="s">
        <v>28</v>
      </c>
      <c r="AH144" s="149" t="s">
        <v>29</v>
      </c>
      <c r="AI144" s="6"/>
    </row>
    <row r="145" spans="1:35" ht="15.75" thickBot="1" x14ac:dyDescent="0.3">
      <c r="A145" s="3"/>
      <c r="B145" s="5"/>
      <c r="C145" s="150">
        <v>0</v>
      </c>
      <c r="D145" s="151">
        <v>0</v>
      </c>
      <c r="E145" s="151">
        <v>0</v>
      </c>
      <c r="F145" s="151">
        <v>0</v>
      </c>
      <c r="G145" s="151">
        <v>0</v>
      </c>
      <c r="H145" s="151">
        <v>0</v>
      </c>
      <c r="I145" s="151">
        <v>0</v>
      </c>
      <c r="J145" s="151">
        <v>0</v>
      </c>
      <c r="K145" s="151">
        <v>0</v>
      </c>
      <c r="L145" s="151">
        <v>0</v>
      </c>
      <c r="M145" s="151">
        <v>0</v>
      </c>
      <c r="N145" s="151">
        <v>1</v>
      </c>
      <c r="O145" s="151">
        <v>0</v>
      </c>
      <c r="P145" s="151">
        <v>0</v>
      </c>
      <c r="Q145" s="151">
        <v>0</v>
      </c>
      <c r="R145" s="151">
        <v>0</v>
      </c>
      <c r="S145" s="151">
        <v>0</v>
      </c>
      <c r="T145" s="151">
        <v>0</v>
      </c>
      <c r="U145" s="151">
        <v>0</v>
      </c>
      <c r="V145" s="151">
        <v>0</v>
      </c>
      <c r="W145" s="151">
        <v>0</v>
      </c>
      <c r="X145" s="151">
        <v>0</v>
      </c>
      <c r="Y145" s="151">
        <v>0</v>
      </c>
      <c r="Z145" s="151">
        <v>1</v>
      </c>
      <c r="AA145" s="151">
        <v>0</v>
      </c>
      <c r="AB145" s="151">
        <v>0</v>
      </c>
      <c r="AC145" s="151">
        <v>0</v>
      </c>
      <c r="AD145" s="151">
        <v>0</v>
      </c>
      <c r="AE145" s="151">
        <v>1</v>
      </c>
      <c r="AF145" s="151">
        <v>1</v>
      </c>
      <c r="AG145" s="151">
        <v>0</v>
      </c>
      <c r="AH145" s="152">
        <v>0</v>
      </c>
      <c r="AI145" s="6"/>
    </row>
    <row r="146" spans="1:35" x14ac:dyDescent="0.25">
      <c r="A146" s="3"/>
      <c r="B146" s="4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6"/>
    </row>
    <row r="147" spans="1:35" x14ac:dyDescent="0.25">
      <c r="A147" s="3"/>
      <c r="B147" s="8" t="s">
        <v>43</v>
      </c>
      <c r="C147" s="9"/>
      <c r="D147" s="9"/>
      <c r="E147" s="9"/>
      <c r="F147" s="363" t="s">
        <v>44</v>
      </c>
      <c r="G147" s="363"/>
      <c r="H147" s="363"/>
      <c r="I147" s="9"/>
      <c r="J147" s="364" t="s">
        <v>45</v>
      </c>
      <c r="K147" s="364"/>
      <c r="L147" s="364"/>
      <c r="M147" s="364"/>
      <c r="N147" s="9"/>
      <c r="O147" s="365" t="s">
        <v>46</v>
      </c>
      <c r="P147" s="365"/>
      <c r="Q147" s="365"/>
      <c r="R147" s="365"/>
      <c r="S147" s="9"/>
      <c r="T147" s="1" t="s">
        <v>49</v>
      </c>
      <c r="U147" s="10" t="s">
        <v>48</v>
      </c>
      <c r="V147" s="5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6"/>
    </row>
    <row r="148" spans="1:35" x14ac:dyDescent="0.25">
      <c r="A148" s="3"/>
      <c r="B148" s="317" t="str">
        <f>"0x"&amp;DEC2HEX(Sheet3!$I$4,8)</f>
        <v>0x00400320</v>
      </c>
      <c r="C148" s="317"/>
      <c r="D148" s="317"/>
      <c r="E148" s="12"/>
      <c r="F148" s="319" t="str">
        <f>"0x"&amp;BIN2HEX(CONCATENATE(C141,D141,E141,F141,G141,H141,I141,J141),2)&amp;BIN2HEX(CONCATENATE(K141,L141,M141,N141,O141,P141,Q141,R141),2)&amp;BIN2HEX(CONCATENATE(S141,T141,U141,V141,W141,X141,Y141,Z141),2)&amp;BIN2HEX(CONCATENATE(AA141,AB141,AC141,AD141,AE141,AF141,AG141,AH141),2)</f>
        <v>0xEF1FFFFF</v>
      </c>
      <c r="G148" s="319"/>
      <c r="H148" s="319"/>
      <c r="I148" s="12"/>
      <c r="J148" s="319" t="str">
        <f>"0b"&amp;C145&amp;D145&amp;E145&amp;F145&amp;G145&amp;H145&amp;I145&amp;J145&amp;K145&amp;L145&amp;M145&amp;N145&amp;O145&amp;P145&amp;Q145</f>
        <v>0b000000000001000</v>
      </c>
      <c r="K148" s="319"/>
      <c r="L148" s="319"/>
      <c r="M148" s="319"/>
      <c r="N148" s="12"/>
      <c r="O148" s="319" t="str">
        <f>"0b"&amp;DEC2BIN(((AF145+AE145*2+AD145*4+AC145*8+AB145*16+AA145*32+Z145*64+Y145*128+X145*256+W145*512+V145*1024+U145*2048+T145*4096+S145*2^13+R145*2^14)/512),6)&amp;DEC2BIN(MOD((AF145+AE145*2+AD145*4+AC145*8+AB145*16+AA145*32+Z145*64+Y145*128+X145*256+W145*512+V145*1024+U145*2048+T145*4096+S145*2^13+R145*2^14),512),9)</f>
        <v>0b000000001000011</v>
      </c>
      <c r="P148" s="319"/>
      <c r="Q148" s="319"/>
      <c r="R148" s="319"/>
      <c r="S148" s="12"/>
      <c r="T148" s="196">
        <v>0</v>
      </c>
      <c r="U148" s="196">
        <f>AH145</f>
        <v>0</v>
      </c>
      <c r="V148" s="5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6"/>
    </row>
    <row r="149" spans="1:35" x14ac:dyDescent="0.25">
      <c r="A149" s="3"/>
      <c r="B149" s="317"/>
      <c r="C149" s="317"/>
      <c r="D149" s="317"/>
      <c r="E149" s="15"/>
      <c r="F149" s="319"/>
      <c r="G149" s="319"/>
      <c r="H149" s="319"/>
      <c r="I149" s="15"/>
      <c r="J149" s="317"/>
      <c r="K149" s="317"/>
      <c r="L149" s="317"/>
      <c r="M149" s="317"/>
      <c r="N149" s="15"/>
      <c r="O149" s="317"/>
      <c r="P149" s="317"/>
      <c r="Q149" s="317"/>
      <c r="R149" s="317"/>
      <c r="S149" s="15"/>
      <c r="T149" s="196"/>
      <c r="U149" s="15"/>
      <c r="V149" s="5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6"/>
    </row>
    <row r="150" spans="1:35" x14ac:dyDescent="0.25">
      <c r="A150" s="3"/>
      <c r="B150" s="317"/>
      <c r="C150" s="317"/>
      <c r="D150" s="317"/>
      <c r="E150" s="15"/>
      <c r="F150" s="319"/>
      <c r="G150" s="319"/>
      <c r="H150" s="319"/>
      <c r="I150" s="15"/>
      <c r="J150" s="317"/>
      <c r="K150" s="317"/>
      <c r="L150" s="317"/>
      <c r="M150" s="317"/>
      <c r="N150" s="15"/>
      <c r="O150" s="317"/>
      <c r="P150" s="317"/>
      <c r="Q150" s="317"/>
      <c r="R150" s="317"/>
      <c r="S150" s="15"/>
      <c r="T150" s="196"/>
      <c r="U150" s="15"/>
      <c r="V150" s="5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6"/>
    </row>
    <row r="151" spans="1:35" x14ac:dyDescent="0.25">
      <c r="A151" s="3"/>
      <c r="B151" s="5"/>
      <c r="C151" s="5"/>
      <c r="D151" s="5"/>
      <c r="E151" s="5"/>
      <c r="F151" s="17"/>
      <c r="G151" s="17"/>
      <c r="H151" s="17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6"/>
    </row>
    <row r="152" spans="1:35" x14ac:dyDescent="0.25">
      <c r="A152" s="3"/>
      <c r="B152" s="5" t="s">
        <v>47</v>
      </c>
      <c r="C152" s="18"/>
      <c r="D152" s="18"/>
      <c r="E152" s="18"/>
      <c r="F152" s="5"/>
      <c r="G152" s="5"/>
      <c r="H152" s="5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6"/>
    </row>
    <row r="153" spans="1:35" x14ac:dyDescent="0.25">
      <c r="A153" s="3"/>
      <c r="B153" s="317" t="str">
        <f>"0x"&amp;DEC2HEX(Sheet3!$I$4,8)</f>
        <v>0x00400320</v>
      </c>
      <c r="C153" s="317"/>
      <c r="D153" s="317"/>
      <c r="E153" s="16"/>
      <c r="F153" s="322" t="str">
        <f>F148&amp;BIN2HEX(MID(J148,3,8),2)&amp;BIN2HEX(RIGHT(J148,7)&amp;MID(O148,3,1),2)&amp;BIN2HEX(MID(O148,4,8),2)&amp;BIN2HEX(RIGHT(O148,6)&amp;T148&amp;U148,2)</f>
        <v>0xEF1FFFFF0010010C</v>
      </c>
      <c r="G153" s="322"/>
      <c r="H153" s="322"/>
      <c r="I153" s="322"/>
      <c r="J153" s="5"/>
      <c r="K153" s="5"/>
      <c r="L153" s="5"/>
      <c r="M153" s="5"/>
      <c r="N153" s="5"/>
      <c r="O153" s="5"/>
      <c r="P153" s="16"/>
      <c r="Q153" s="16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5"/>
      <c r="AH153" s="5"/>
      <c r="AI153" s="6"/>
    </row>
    <row r="154" spans="1:35" x14ac:dyDescent="0.25">
      <c r="A154" s="3"/>
      <c r="B154" s="317"/>
      <c r="C154" s="317"/>
      <c r="D154" s="317"/>
      <c r="E154" s="5"/>
      <c r="F154" s="322"/>
      <c r="G154" s="322"/>
      <c r="H154" s="322"/>
      <c r="I154" s="322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6"/>
    </row>
    <row r="155" spans="1:35" x14ac:dyDescent="0.25">
      <c r="A155" s="3"/>
      <c r="B155" s="317"/>
      <c r="C155" s="317"/>
      <c r="D155" s="317"/>
      <c r="E155" s="5"/>
      <c r="F155" s="322"/>
      <c r="G155" s="322"/>
      <c r="H155" s="322"/>
      <c r="I155" s="322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6"/>
    </row>
    <row r="156" spans="1:35" x14ac:dyDescent="0.25">
      <c r="A156" s="20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3"/>
    </row>
    <row r="157" spans="1:35" x14ac:dyDescent="0.25">
      <c r="A157" s="24"/>
      <c r="B157" s="28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6"/>
    </row>
    <row r="158" spans="1:35" x14ac:dyDescent="0.25">
      <c r="A158" s="3"/>
      <c r="B158" s="4" t="s">
        <v>281</v>
      </c>
      <c r="C158" s="5"/>
      <c r="D158" s="5"/>
      <c r="E158" s="5"/>
      <c r="F158" s="5"/>
      <c r="G158" s="5"/>
      <c r="H158" s="5"/>
      <c r="I158" s="5" t="str">
        <f>"0x"&amp;BIN2HEX(CONCATENATE(C163,D163,E163,F163,G163,H163,I163,J163),2)&amp;BIN2HEX(CONCATENATE(K163,L163,M163,N163,O163,P163,Q163,R163),2)&amp;BIN2HEX(CONCATENATE(S163,T163,U163,V163,W163,X163,Y163,Z163),2)&amp;BIN2HEX(CONCATENATE(AA163,AB163,AC163,AD163,AE163,AF163,AG163,AH163),2)&amp;"_"&amp;BIN2HEX(CONCATENATE(C167,D167,E167,F167,G167,H167,I167,J167),2)&amp;BIN2HEX(CONCATENATE(K167,L167,M167,N167,O167,P167,Q167,R167),2)&amp;BIN2HEX(CONCATENATE(S167,T167,U167,V167,W167,X167,Y167,Z167),2)&amp;BIN2HEX(CONCATENATE(AA167,AB167,AC167,AD167,AE167,AF167,AG167,AH167),2)</f>
        <v>0xFFFFFFFF_00100110</v>
      </c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6"/>
    </row>
    <row r="159" spans="1:35" ht="15.75" thickBot="1" x14ac:dyDescent="0.3">
      <c r="A159" s="3"/>
      <c r="B159" s="5"/>
      <c r="C159" s="7">
        <v>0</v>
      </c>
      <c r="D159" s="7">
        <v>1</v>
      </c>
      <c r="E159" s="7">
        <v>2</v>
      </c>
      <c r="F159" s="7">
        <v>3</v>
      </c>
      <c r="G159" s="7">
        <v>4</v>
      </c>
      <c r="H159" s="7">
        <v>5</v>
      </c>
      <c r="I159" s="7">
        <v>6</v>
      </c>
      <c r="J159" s="7">
        <v>7</v>
      </c>
      <c r="K159" s="7">
        <v>8</v>
      </c>
      <c r="L159" s="7">
        <v>9</v>
      </c>
      <c r="M159" s="7">
        <v>10</v>
      </c>
      <c r="N159" s="7">
        <v>11</v>
      </c>
      <c r="O159" s="7">
        <v>12</v>
      </c>
      <c r="P159" s="7">
        <v>13</v>
      </c>
      <c r="Q159" s="7">
        <v>14</v>
      </c>
      <c r="R159" s="7">
        <v>15</v>
      </c>
      <c r="S159" s="7">
        <v>16</v>
      </c>
      <c r="T159" s="7">
        <v>17</v>
      </c>
      <c r="U159" s="7">
        <v>18</v>
      </c>
      <c r="V159" s="7">
        <v>19</v>
      </c>
      <c r="W159" s="7">
        <v>20</v>
      </c>
      <c r="X159" s="7">
        <v>21</v>
      </c>
      <c r="Y159" s="7">
        <v>22</v>
      </c>
      <c r="Z159" s="7">
        <v>23</v>
      </c>
      <c r="AA159" s="7">
        <v>24</v>
      </c>
      <c r="AB159" s="7">
        <v>25</v>
      </c>
      <c r="AC159" s="7">
        <v>26</v>
      </c>
      <c r="AD159" s="7">
        <v>27</v>
      </c>
      <c r="AE159" s="7">
        <v>28</v>
      </c>
      <c r="AF159" s="7">
        <v>29</v>
      </c>
      <c r="AG159" s="7">
        <v>30</v>
      </c>
      <c r="AH159" s="7">
        <v>31</v>
      </c>
      <c r="AI159" s="6"/>
    </row>
    <row r="160" spans="1:35" x14ac:dyDescent="0.25">
      <c r="A160" s="3"/>
      <c r="B160" s="5" t="s">
        <v>31</v>
      </c>
      <c r="C160" s="328" t="s">
        <v>296</v>
      </c>
      <c r="D160" s="345" t="s">
        <v>297</v>
      </c>
      <c r="E160" s="330" t="s">
        <v>298</v>
      </c>
      <c r="F160" s="331"/>
      <c r="G160" s="331"/>
      <c r="H160" s="331"/>
      <c r="I160" s="331"/>
      <c r="J160" s="331"/>
      <c r="K160" s="331"/>
      <c r="L160" s="331"/>
      <c r="M160" s="331"/>
      <c r="N160" s="331"/>
      <c r="O160" s="331"/>
      <c r="P160" s="331"/>
      <c r="Q160" s="331"/>
      <c r="R160" s="332"/>
      <c r="S160" s="330" t="s">
        <v>299</v>
      </c>
      <c r="T160" s="331"/>
      <c r="U160" s="331"/>
      <c r="V160" s="331"/>
      <c r="W160" s="331"/>
      <c r="X160" s="331"/>
      <c r="Y160" s="331"/>
      <c r="Z160" s="331"/>
      <c r="AA160" s="331"/>
      <c r="AB160" s="331"/>
      <c r="AC160" s="331"/>
      <c r="AD160" s="331"/>
      <c r="AE160" s="331"/>
      <c r="AF160" s="331"/>
      <c r="AG160" s="331"/>
      <c r="AH160" s="355"/>
      <c r="AI160" s="6"/>
    </row>
    <row r="161" spans="1:35" x14ac:dyDescent="0.25">
      <c r="A161" s="3"/>
      <c r="B161" s="5" t="s">
        <v>32</v>
      </c>
      <c r="C161" s="329"/>
      <c r="D161" s="346"/>
      <c r="E161" s="333"/>
      <c r="F161" s="334"/>
      <c r="G161" s="334"/>
      <c r="H161" s="334"/>
      <c r="I161" s="334"/>
      <c r="J161" s="334"/>
      <c r="K161" s="334"/>
      <c r="L161" s="334"/>
      <c r="M161" s="334"/>
      <c r="N161" s="334"/>
      <c r="O161" s="334"/>
      <c r="P161" s="334"/>
      <c r="Q161" s="334"/>
      <c r="R161" s="335"/>
      <c r="S161" s="333"/>
      <c r="T161" s="334"/>
      <c r="U161" s="334"/>
      <c r="V161" s="334"/>
      <c r="W161" s="334"/>
      <c r="X161" s="334"/>
      <c r="Y161" s="334"/>
      <c r="Z161" s="334"/>
      <c r="AA161" s="334"/>
      <c r="AB161" s="334"/>
      <c r="AC161" s="334"/>
      <c r="AD161" s="334"/>
      <c r="AE161" s="334"/>
      <c r="AF161" s="334"/>
      <c r="AG161" s="334"/>
      <c r="AH161" s="357"/>
      <c r="AI161" s="6"/>
    </row>
    <row r="162" spans="1:35" x14ac:dyDescent="0.25">
      <c r="A162" s="3"/>
      <c r="B162" s="5" t="s">
        <v>11</v>
      </c>
      <c r="C162" s="56">
        <v>1</v>
      </c>
      <c r="D162" s="57">
        <v>1</v>
      </c>
      <c r="E162" s="57">
        <v>1</v>
      </c>
      <c r="F162" s="57">
        <v>1</v>
      </c>
      <c r="G162" s="57">
        <v>1</v>
      </c>
      <c r="H162" s="57">
        <v>1</v>
      </c>
      <c r="I162" s="57">
        <v>1</v>
      </c>
      <c r="J162" s="57">
        <v>1</v>
      </c>
      <c r="K162" s="57">
        <v>1</v>
      </c>
      <c r="L162" s="57">
        <v>1</v>
      </c>
      <c r="M162" s="57">
        <v>1</v>
      </c>
      <c r="N162" s="57">
        <v>1</v>
      </c>
      <c r="O162" s="57">
        <v>1</v>
      </c>
      <c r="P162" s="57">
        <v>1</v>
      </c>
      <c r="Q162" s="57">
        <v>1</v>
      </c>
      <c r="R162" s="57">
        <v>1</v>
      </c>
      <c r="S162" s="57">
        <v>1</v>
      </c>
      <c r="T162" s="57">
        <v>1</v>
      </c>
      <c r="U162" s="57">
        <v>1</v>
      </c>
      <c r="V162" s="57">
        <v>1</v>
      </c>
      <c r="W162" s="57">
        <v>1</v>
      </c>
      <c r="X162" s="57">
        <v>1</v>
      </c>
      <c r="Y162" s="57">
        <v>1</v>
      </c>
      <c r="Z162" s="57">
        <v>1</v>
      </c>
      <c r="AA162" s="57">
        <v>1</v>
      </c>
      <c r="AB162" s="57">
        <v>1</v>
      </c>
      <c r="AC162" s="57">
        <v>1</v>
      </c>
      <c r="AD162" s="57">
        <v>1</v>
      </c>
      <c r="AE162" s="57">
        <v>1</v>
      </c>
      <c r="AF162" s="57">
        <v>1</v>
      </c>
      <c r="AG162" s="57">
        <v>1</v>
      </c>
      <c r="AH162" s="58">
        <v>1</v>
      </c>
      <c r="AI162" s="6"/>
    </row>
    <row r="163" spans="1:35" ht="15.75" thickBot="1" x14ac:dyDescent="0.3">
      <c r="A163" s="3"/>
      <c r="B163" s="5" t="s">
        <v>12</v>
      </c>
      <c r="C163" s="145">
        <v>1</v>
      </c>
      <c r="D163" s="88">
        <v>1</v>
      </c>
      <c r="E163" s="88">
        <v>1</v>
      </c>
      <c r="F163" s="88">
        <v>1</v>
      </c>
      <c r="G163" s="88">
        <v>1</v>
      </c>
      <c r="H163" s="88">
        <v>1</v>
      </c>
      <c r="I163" s="88">
        <v>1</v>
      </c>
      <c r="J163" s="88">
        <v>1</v>
      </c>
      <c r="K163" s="88">
        <v>1</v>
      </c>
      <c r="L163" s="88">
        <v>1</v>
      </c>
      <c r="M163" s="88">
        <v>1</v>
      </c>
      <c r="N163" s="88">
        <v>1</v>
      </c>
      <c r="O163" s="88">
        <v>1</v>
      </c>
      <c r="P163" s="88">
        <v>1</v>
      </c>
      <c r="Q163" s="88">
        <v>1</v>
      </c>
      <c r="R163" s="88">
        <v>1</v>
      </c>
      <c r="S163" s="88">
        <v>1</v>
      </c>
      <c r="T163" s="88">
        <v>1</v>
      </c>
      <c r="U163" s="88">
        <v>1</v>
      </c>
      <c r="V163" s="88">
        <v>1</v>
      </c>
      <c r="W163" s="88">
        <v>1</v>
      </c>
      <c r="X163" s="88">
        <v>1</v>
      </c>
      <c r="Y163" s="88">
        <v>1</v>
      </c>
      <c r="Z163" s="88">
        <v>1</v>
      </c>
      <c r="AA163" s="88">
        <v>1</v>
      </c>
      <c r="AB163" s="88">
        <v>1</v>
      </c>
      <c r="AC163" s="88">
        <v>1</v>
      </c>
      <c r="AD163" s="88">
        <v>1</v>
      </c>
      <c r="AE163" s="88">
        <v>1</v>
      </c>
      <c r="AF163" s="88">
        <v>1</v>
      </c>
      <c r="AG163" s="88">
        <v>1</v>
      </c>
      <c r="AH163" s="89">
        <v>1</v>
      </c>
      <c r="AI163" s="6"/>
    </row>
    <row r="164" spans="1:35" x14ac:dyDescent="0.25">
      <c r="A164" s="3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6"/>
    </row>
    <row r="165" spans="1:35" ht="15.75" thickBot="1" x14ac:dyDescent="0.3">
      <c r="A165" s="3"/>
      <c r="B165" s="5"/>
      <c r="C165" s="7">
        <v>32</v>
      </c>
      <c r="D165" s="7">
        <v>33</v>
      </c>
      <c r="E165" s="7">
        <v>34</v>
      </c>
      <c r="F165" s="7">
        <v>35</v>
      </c>
      <c r="G165" s="7">
        <v>36</v>
      </c>
      <c r="H165" s="7">
        <v>37</v>
      </c>
      <c r="I165" s="7">
        <v>38</v>
      </c>
      <c r="J165" s="7">
        <v>39</v>
      </c>
      <c r="K165" s="7">
        <v>40</v>
      </c>
      <c r="L165" s="7">
        <v>41</v>
      </c>
      <c r="M165" s="7">
        <v>42</v>
      </c>
      <c r="N165" s="7">
        <v>43</v>
      </c>
      <c r="O165" s="7">
        <v>44</v>
      </c>
      <c r="P165" s="7">
        <v>45</v>
      </c>
      <c r="Q165" s="7">
        <v>46</v>
      </c>
      <c r="R165" s="7">
        <v>47</v>
      </c>
      <c r="S165" s="7">
        <v>48</v>
      </c>
      <c r="T165" s="7">
        <v>49</v>
      </c>
      <c r="U165" s="7">
        <v>50</v>
      </c>
      <c r="V165" s="7">
        <v>51</v>
      </c>
      <c r="W165" s="7">
        <v>52</v>
      </c>
      <c r="X165" s="7">
        <v>53</v>
      </c>
      <c r="Y165" s="7">
        <v>54</v>
      </c>
      <c r="Z165" s="7">
        <v>55</v>
      </c>
      <c r="AA165" s="7">
        <v>56</v>
      </c>
      <c r="AB165" s="7">
        <v>57</v>
      </c>
      <c r="AC165" s="7">
        <v>58</v>
      </c>
      <c r="AD165" s="7">
        <v>59</v>
      </c>
      <c r="AE165" s="7">
        <v>60</v>
      </c>
      <c r="AF165" s="7">
        <v>61</v>
      </c>
      <c r="AG165" s="7">
        <v>62</v>
      </c>
      <c r="AH165" s="7">
        <v>63</v>
      </c>
      <c r="AI165" s="6"/>
    </row>
    <row r="166" spans="1:35" ht="15.75" thickBot="1" x14ac:dyDescent="0.3">
      <c r="A166" s="3"/>
      <c r="B166" s="5"/>
      <c r="C166" s="147" t="s">
        <v>13</v>
      </c>
      <c r="D166" s="148" t="s">
        <v>14</v>
      </c>
      <c r="E166" s="148" t="s">
        <v>15</v>
      </c>
      <c r="F166" s="148" t="s">
        <v>16</v>
      </c>
      <c r="G166" s="148" t="s">
        <v>17</v>
      </c>
      <c r="H166" s="148" t="s">
        <v>18</v>
      </c>
      <c r="I166" s="148" t="s">
        <v>19</v>
      </c>
      <c r="J166" s="148" t="s">
        <v>20</v>
      </c>
      <c r="K166" s="148" t="s">
        <v>21</v>
      </c>
      <c r="L166" s="148" t="s">
        <v>22</v>
      </c>
      <c r="M166" s="148" t="s">
        <v>23</v>
      </c>
      <c r="N166" s="148" t="s">
        <v>24</v>
      </c>
      <c r="O166" s="148" t="s">
        <v>25</v>
      </c>
      <c r="P166" s="148" t="s">
        <v>26</v>
      </c>
      <c r="Q166" s="148" t="s">
        <v>27</v>
      </c>
      <c r="R166" s="362" t="s">
        <v>30</v>
      </c>
      <c r="S166" s="362"/>
      <c r="T166" s="362"/>
      <c r="U166" s="362"/>
      <c r="V166" s="362"/>
      <c r="W166" s="362"/>
      <c r="X166" s="362"/>
      <c r="Y166" s="362"/>
      <c r="Z166" s="362"/>
      <c r="AA166" s="362"/>
      <c r="AB166" s="362"/>
      <c r="AC166" s="362"/>
      <c r="AD166" s="362"/>
      <c r="AE166" s="362"/>
      <c r="AF166" s="362"/>
      <c r="AG166" s="67" t="s">
        <v>28</v>
      </c>
      <c r="AH166" s="149" t="s">
        <v>29</v>
      </c>
      <c r="AI166" s="6"/>
    </row>
    <row r="167" spans="1:35" ht="15.75" thickBot="1" x14ac:dyDescent="0.3">
      <c r="A167" s="3"/>
      <c r="B167" s="5"/>
      <c r="C167" s="150">
        <v>0</v>
      </c>
      <c r="D167" s="151">
        <v>0</v>
      </c>
      <c r="E167" s="151">
        <v>0</v>
      </c>
      <c r="F167" s="151">
        <v>0</v>
      </c>
      <c r="G167" s="151">
        <v>0</v>
      </c>
      <c r="H167" s="151">
        <v>0</v>
      </c>
      <c r="I167" s="151">
        <v>0</v>
      </c>
      <c r="J167" s="151">
        <v>0</v>
      </c>
      <c r="K167" s="151">
        <v>0</v>
      </c>
      <c r="L167" s="151">
        <v>0</v>
      </c>
      <c r="M167" s="151">
        <v>0</v>
      </c>
      <c r="N167" s="151">
        <v>1</v>
      </c>
      <c r="O167" s="151">
        <v>0</v>
      </c>
      <c r="P167" s="151">
        <v>0</v>
      </c>
      <c r="Q167" s="151">
        <v>0</v>
      </c>
      <c r="R167" s="151">
        <v>0</v>
      </c>
      <c r="S167" s="151">
        <v>0</v>
      </c>
      <c r="T167" s="151">
        <v>0</v>
      </c>
      <c r="U167" s="151">
        <v>0</v>
      </c>
      <c r="V167" s="151">
        <v>0</v>
      </c>
      <c r="W167" s="151">
        <v>0</v>
      </c>
      <c r="X167" s="151">
        <v>0</v>
      </c>
      <c r="Y167" s="151">
        <v>0</v>
      </c>
      <c r="Z167" s="151">
        <v>1</v>
      </c>
      <c r="AA167" s="151">
        <v>0</v>
      </c>
      <c r="AB167" s="151">
        <v>0</v>
      </c>
      <c r="AC167" s="151">
        <v>0</v>
      </c>
      <c r="AD167" s="151">
        <v>1</v>
      </c>
      <c r="AE167" s="151">
        <v>0</v>
      </c>
      <c r="AF167" s="151">
        <v>0</v>
      </c>
      <c r="AG167" s="151">
        <v>0</v>
      </c>
      <c r="AH167" s="152">
        <v>0</v>
      </c>
      <c r="AI167" s="6"/>
    </row>
    <row r="168" spans="1:35" x14ac:dyDescent="0.25">
      <c r="A168" s="3"/>
      <c r="B168" s="4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6"/>
    </row>
    <row r="169" spans="1:35" x14ac:dyDescent="0.25">
      <c r="A169" s="3"/>
      <c r="B169" s="8" t="s">
        <v>43</v>
      </c>
      <c r="C169" s="9"/>
      <c r="D169" s="9"/>
      <c r="E169" s="9"/>
      <c r="F169" s="363" t="s">
        <v>44</v>
      </c>
      <c r="G169" s="363"/>
      <c r="H169" s="363"/>
      <c r="I169" s="9"/>
      <c r="J169" s="364" t="s">
        <v>45</v>
      </c>
      <c r="K169" s="364"/>
      <c r="L169" s="364"/>
      <c r="M169" s="364"/>
      <c r="N169" s="9"/>
      <c r="O169" s="365" t="s">
        <v>46</v>
      </c>
      <c r="P169" s="365"/>
      <c r="Q169" s="365"/>
      <c r="R169" s="365"/>
      <c r="S169" s="9"/>
      <c r="T169" s="1" t="s">
        <v>49</v>
      </c>
      <c r="U169" s="10" t="s">
        <v>48</v>
      </c>
      <c r="V169" s="5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6"/>
    </row>
    <row r="170" spans="1:35" x14ac:dyDescent="0.25">
      <c r="A170" s="3"/>
      <c r="B170" s="317" t="str">
        <f>"0x"&amp;DEC2HEX(Sheet3!$I$4,8)</f>
        <v>0x00400320</v>
      </c>
      <c r="C170" s="317"/>
      <c r="D170" s="317"/>
      <c r="E170" s="12"/>
      <c r="F170" s="319" t="str">
        <f>"0x"&amp;BIN2HEX(CONCATENATE(C163,D163,E163,F163,G163,H163,I163,J163),2)&amp;BIN2HEX(CONCATENATE(K163,L163,M163,N163,O163,P163,Q163,R163),2)&amp;BIN2HEX(CONCATENATE(S163,T163,U163,V163,W163,X163,Y163,Z163),2)&amp;BIN2HEX(CONCATENATE(AA163,AB163,AC163,AD163,AE163,AF163,AG163,AH163),2)</f>
        <v>0xFFFFFFFF</v>
      </c>
      <c r="G170" s="319"/>
      <c r="H170" s="319"/>
      <c r="I170" s="12"/>
      <c r="J170" s="319" t="str">
        <f>"0b"&amp;C167&amp;D167&amp;E167&amp;F167&amp;G167&amp;H167&amp;I167&amp;J167&amp;K167&amp;L167&amp;M167&amp;N167&amp;O167&amp;P167&amp;Q167</f>
        <v>0b000000000001000</v>
      </c>
      <c r="K170" s="319"/>
      <c r="L170" s="319"/>
      <c r="M170" s="319"/>
      <c r="N170" s="12"/>
      <c r="O170" s="319" t="str">
        <f>"0b"&amp;DEC2BIN(((AF167+AE167*2+AD167*4+AC167*8+AB167*16+AA167*32+Z167*64+Y167*128+X167*256+W167*512+V167*1024+U167*2048+T167*4096+S167*2^13+R167*2^14)/512),6)&amp;DEC2BIN(MOD((AF167+AE167*2+AD167*4+AC167*8+AB167*16+AA167*32+Z167*64+Y167*128+X167*256+W167*512+V167*1024+U167*2048+T167*4096+S167*2^13+R167*2^14),512),9)</f>
        <v>0b000000001000100</v>
      </c>
      <c r="P170" s="319"/>
      <c r="Q170" s="319"/>
      <c r="R170" s="319"/>
      <c r="S170" s="12"/>
      <c r="T170" s="196">
        <v>0</v>
      </c>
      <c r="U170" s="196">
        <f>AH167</f>
        <v>0</v>
      </c>
      <c r="V170" s="5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6"/>
    </row>
    <row r="171" spans="1:35" x14ac:dyDescent="0.25">
      <c r="A171" s="3"/>
      <c r="B171" s="317"/>
      <c r="C171" s="317"/>
      <c r="D171" s="317"/>
      <c r="E171" s="15"/>
      <c r="F171" s="319"/>
      <c r="G171" s="319"/>
      <c r="H171" s="319"/>
      <c r="I171" s="15"/>
      <c r="J171" s="317"/>
      <c r="K171" s="317"/>
      <c r="L171" s="317"/>
      <c r="M171" s="317"/>
      <c r="N171" s="15"/>
      <c r="O171" s="317"/>
      <c r="P171" s="317"/>
      <c r="Q171" s="317"/>
      <c r="R171" s="317"/>
      <c r="S171" s="15"/>
      <c r="T171" s="196"/>
      <c r="U171" s="15"/>
      <c r="V171" s="5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6"/>
    </row>
    <row r="172" spans="1:35" x14ac:dyDescent="0.25">
      <c r="A172" s="3"/>
      <c r="B172" s="317"/>
      <c r="C172" s="317"/>
      <c r="D172" s="317"/>
      <c r="E172" s="15"/>
      <c r="F172" s="319"/>
      <c r="G172" s="319"/>
      <c r="H172" s="319"/>
      <c r="I172" s="15"/>
      <c r="J172" s="317"/>
      <c r="K172" s="317"/>
      <c r="L172" s="317"/>
      <c r="M172" s="317"/>
      <c r="N172" s="15"/>
      <c r="O172" s="317"/>
      <c r="P172" s="317"/>
      <c r="Q172" s="317"/>
      <c r="R172" s="317"/>
      <c r="S172" s="15"/>
      <c r="T172" s="196"/>
      <c r="U172" s="15"/>
      <c r="V172" s="5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6"/>
    </row>
    <row r="173" spans="1:35" x14ac:dyDescent="0.25">
      <c r="A173" s="3"/>
      <c r="B173" s="5"/>
      <c r="C173" s="5"/>
      <c r="D173" s="5"/>
      <c r="E173" s="5"/>
      <c r="F173" s="17"/>
      <c r="G173" s="17"/>
      <c r="H173" s="17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6"/>
    </row>
    <row r="174" spans="1:35" x14ac:dyDescent="0.25">
      <c r="A174" s="3"/>
      <c r="B174" s="5" t="s">
        <v>47</v>
      </c>
      <c r="C174" s="18"/>
      <c r="D174" s="18"/>
      <c r="E174" s="18"/>
      <c r="F174" s="5"/>
      <c r="G174" s="5"/>
      <c r="H174" s="5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6"/>
    </row>
    <row r="175" spans="1:35" x14ac:dyDescent="0.25">
      <c r="A175" s="3"/>
      <c r="B175" s="317" t="str">
        <f>"0x"&amp;DEC2HEX(Sheet3!$I$4,8)</f>
        <v>0x00400320</v>
      </c>
      <c r="C175" s="317"/>
      <c r="D175" s="317"/>
      <c r="E175" s="16"/>
      <c r="F175" s="322" t="str">
        <f>F170&amp;BIN2HEX(MID(J170,3,8),2)&amp;BIN2HEX(RIGHT(J170,7)&amp;MID(O170,3,1),2)&amp;BIN2HEX(MID(O170,4,8),2)&amp;BIN2HEX(RIGHT(O170,6)&amp;T170&amp;U170,2)</f>
        <v>0xFFFFFFFF00100110</v>
      </c>
      <c r="G175" s="322"/>
      <c r="H175" s="322"/>
      <c r="I175" s="322"/>
      <c r="J175" s="5"/>
      <c r="K175" s="5"/>
      <c r="L175" s="5"/>
      <c r="M175" s="5"/>
      <c r="N175" s="5"/>
      <c r="O175" s="5"/>
      <c r="P175" s="16"/>
      <c r="Q175" s="16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5"/>
      <c r="AH175" s="5"/>
      <c r="AI175" s="6"/>
    </row>
    <row r="176" spans="1:35" x14ac:dyDescent="0.25">
      <c r="A176" s="3"/>
      <c r="B176" s="317"/>
      <c r="C176" s="317"/>
      <c r="D176" s="317"/>
      <c r="E176" s="5"/>
      <c r="F176" s="322"/>
      <c r="G176" s="322"/>
      <c r="H176" s="322"/>
      <c r="I176" s="322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6"/>
    </row>
    <row r="177" spans="1:35" x14ac:dyDescent="0.25">
      <c r="A177" s="3"/>
      <c r="B177" s="317"/>
      <c r="C177" s="317"/>
      <c r="D177" s="317"/>
      <c r="E177" s="5"/>
      <c r="F177" s="322"/>
      <c r="G177" s="322"/>
      <c r="H177" s="322"/>
      <c r="I177" s="322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6"/>
    </row>
    <row r="178" spans="1:35" x14ac:dyDescent="0.25">
      <c r="A178" s="20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2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3"/>
    </row>
    <row r="179" spans="1:35" x14ac:dyDescent="0.25">
      <c r="A179" s="24"/>
      <c r="B179" s="28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6"/>
    </row>
    <row r="180" spans="1:35" x14ac:dyDescent="0.25">
      <c r="A180" s="3"/>
      <c r="B180" s="4" t="s">
        <v>287</v>
      </c>
      <c r="C180" s="5"/>
      <c r="D180" s="5"/>
      <c r="E180" s="5"/>
      <c r="F180" s="5"/>
      <c r="G180" s="5"/>
      <c r="H180" s="5"/>
      <c r="I180" s="5" t="str">
        <f>"0x"&amp;BIN2HEX(CONCATENATE(C185,D185,E185,F185,G185,H185,I185,J185),2)&amp;BIN2HEX(CONCATENATE(K185,L185,M185,N185,O185,P185,Q185,R185),2)&amp;BIN2HEX(CONCATENATE(S185,T185,U185,V185,W185,X185,Y185,Z185),2)&amp;BIN2HEX(CONCATENATE(AA185,AB185,AC185,AD185,AE185,AF185,AG185,AH185),2)&amp;"_"&amp;BIN2HEX(CONCATENATE(C189,D189,E189,F189,G189,H189,I189,J189),2)&amp;BIN2HEX(CONCATENATE(K189,L189,M189,N189,O189,P189,Q189,R189),2)&amp;BIN2HEX(CONCATENATE(S189,T189,U189,V189,W189,X189,Y189,Z189),2)&amp;BIN2HEX(CONCATENATE(AA189,AB189,AC189,AD189,AE189,AF189,AG189,AH189),2)</f>
        <v>0x0000FFFF_00100114</v>
      </c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6"/>
    </row>
    <row r="181" spans="1:35" ht="15.75" thickBot="1" x14ac:dyDescent="0.3">
      <c r="A181" s="3"/>
      <c r="B181" s="5"/>
      <c r="C181" s="7">
        <v>0</v>
      </c>
      <c r="D181" s="7">
        <v>1</v>
      </c>
      <c r="E181" s="7">
        <v>2</v>
      </c>
      <c r="F181" s="7">
        <v>3</v>
      </c>
      <c r="G181" s="7">
        <v>4</v>
      </c>
      <c r="H181" s="7">
        <v>5</v>
      </c>
      <c r="I181" s="7">
        <v>6</v>
      </c>
      <c r="J181" s="7">
        <v>7</v>
      </c>
      <c r="K181" s="7">
        <v>8</v>
      </c>
      <c r="L181" s="7">
        <v>9</v>
      </c>
      <c r="M181" s="7">
        <v>10</v>
      </c>
      <c r="N181" s="7">
        <v>11</v>
      </c>
      <c r="O181" s="7">
        <v>12</v>
      </c>
      <c r="P181" s="7">
        <v>13</v>
      </c>
      <c r="Q181" s="7">
        <v>14</v>
      </c>
      <c r="R181" s="7">
        <v>15</v>
      </c>
      <c r="S181" s="7">
        <v>16</v>
      </c>
      <c r="T181" s="7">
        <v>17</v>
      </c>
      <c r="U181" s="7">
        <v>18</v>
      </c>
      <c r="V181" s="7">
        <v>19</v>
      </c>
      <c r="W181" s="7">
        <v>20</v>
      </c>
      <c r="X181" s="7">
        <v>21</v>
      </c>
      <c r="Y181" s="7">
        <v>22</v>
      </c>
      <c r="Z181" s="7">
        <v>23</v>
      </c>
      <c r="AA181" s="7">
        <v>24</v>
      </c>
      <c r="AB181" s="7">
        <v>25</v>
      </c>
      <c r="AC181" s="7">
        <v>26</v>
      </c>
      <c r="AD181" s="7">
        <v>27</v>
      </c>
      <c r="AE181" s="7">
        <v>28</v>
      </c>
      <c r="AF181" s="7">
        <v>29</v>
      </c>
      <c r="AG181" s="7">
        <v>30</v>
      </c>
      <c r="AH181" s="7">
        <v>31</v>
      </c>
      <c r="AI181" s="6"/>
    </row>
    <row r="182" spans="1:35" x14ac:dyDescent="0.25">
      <c r="A182" s="3"/>
      <c r="B182" s="5" t="s">
        <v>31</v>
      </c>
      <c r="C182" s="349">
        <v>0</v>
      </c>
      <c r="D182" s="337"/>
      <c r="E182" s="337"/>
      <c r="F182" s="337"/>
      <c r="G182" s="337"/>
      <c r="H182" s="337"/>
      <c r="I182" s="337"/>
      <c r="J182" s="337"/>
      <c r="K182" s="337"/>
      <c r="L182" s="337"/>
      <c r="M182" s="337"/>
      <c r="N182" s="337"/>
      <c r="O182" s="337"/>
      <c r="P182" s="337"/>
      <c r="Q182" s="337"/>
      <c r="R182" s="350"/>
      <c r="S182" s="330" t="s">
        <v>300</v>
      </c>
      <c r="T182" s="331"/>
      <c r="U182" s="331"/>
      <c r="V182" s="331"/>
      <c r="W182" s="331"/>
      <c r="X182" s="331"/>
      <c r="Y182" s="331"/>
      <c r="Z182" s="331"/>
      <c r="AA182" s="331"/>
      <c r="AB182" s="331"/>
      <c r="AC182" s="331"/>
      <c r="AD182" s="331"/>
      <c r="AE182" s="331"/>
      <c r="AF182" s="331"/>
      <c r="AG182" s="331"/>
      <c r="AH182" s="355"/>
      <c r="AI182" s="6"/>
    </row>
    <row r="183" spans="1:35" x14ac:dyDescent="0.25">
      <c r="A183" s="3"/>
      <c r="B183" s="5" t="s">
        <v>32</v>
      </c>
      <c r="C183" s="375"/>
      <c r="D183" s="373"/>
      <c r="E183" s="373"/>
      <c r="F183" s="373"/>
      <c r="G183" s="373"/>
      <c r="H183" s="373"/>
      <c r="I183" s="373"/>
      <c r="J183" s="373"/>
      <c r="K183" s="373"/>
      <c r="L183" s="373"/>
      <c r="M183" s="373"/>
      <c r="N183" s="373"/>
      <c r="O183" s="373"/>
      <c r="P183" s="373"/>
      <c r="Q183" s="373"/>
      <c r="R183" s="374"/>
      <c r="S183" s="333"/>
      <c r="T183" s="334"/>
      <c r="U183" s="334"/>
      <c r="V183" s="334"/>
      <c r="W183" s="334"/>
      <c r="X183" s="334"/>
      <c r="Y183" s="334"/>
      <c r="Z183" s="334"/>
      <c r="AA183" s="334"/>
      <c r="AB183" s="334"/>
      <c r="AC183" s="334"/>
      <c r="AD183" s="334"/>
      <c r="AE183" s="334"/>
      <c r="AF183" s="334"/>
      <c r="AG183" s="334"/>
      <c r="AH183" s="357"/>
      <c r="AI183" s="6"/>
    </row>
    <row r="184" spans="1:35" x14ac:dyDescent="0.25">
      <c r="A184" s="3"/>
      <c r="B184" s="5" t="s">
        <v>11</v>
      </c>
      <c r="C184" s="56">
        <v>0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v>0</v>
      </c>
      <c r="Q184" s="57">
        <v>0</v>
      </c>
      <c r="R184" s="57">
        <v>0</v>
      </c>
      <c r="S184" s="57">
        <v>1</v>
      </c>
      <c r="T184" s="57">
        <v>1</v>
      </c>
      <c r="U184" s="57">
        <v>1</v>
      </c>
      <c r="V184" s="57">
        <v>1</v>
      </c>
      <c r="W184" s="57">
        <v>1</v>
      </c>
      <c r="X184" s="57">
        <v>1</v>
      </c>
      <c r="Y184" s="57">
        <v>1</v>
      </c>
      <c r="Z184" s="57">
        <v>1</v>
      </c>
      <c r="AA184" s="57">
        <v>1</v>
      </c>
      <c r="AB184" s="57">
        <v>1</v>
      </c>
      <c r="AC184" s="57">
        <v>1</v>
      </c>
      <c r="AD184" s="57">
        <v>1</v>
      </c>
      <c r="AE184" s="57">
        <v>1</v>
      </c>
      <c r="AF184" s="57">
        <v>1</v>
      </c>
      <c r="AG184" s="57">
        <v>1</v>
      </c>
      <c r="AH184" s="58">
        <v>1</v>
      </c>
      <c r="AI184" s="6"/>
    </row>
    <row r="185" spans="1:35" ht="15.75" thickBot="1" x14ac:dyDescent="0.3">
      <c r="A185" s="3"/>
      <c r="B185" s="5" t="s">
        <v>12</v>
      </c>
      <c r="C185" s="197">
        <v>0</v>
      </c>
      <c r="D185" s="161">
        <v>0</v>
      </c>
      <c r="E185" s="161">
        <v>0</v>
      </c>
      <c r="F185" s="161">
        <v>0</v>
      </c>
      <c r="G185" s="161">
        <v>0</v>
      </c>
      <c r="H185" s="161">
        <v>0</v>
      </c>
      <c r="I185" s="161">
        <v>0</v>
      </c>
      <c r="J185" s="161">
        <v>0</v>
      </c>
      <c r="K185" s="161">
        <v>0</v>
      </c>
      <c r="L185" s="161">
        <v>0</v>
      </c>
      <c r="M185" s="161">
        <v>0</v>
      </c>
      <c r="N185" s="161">
        <v>0</v>
      </c>
      <c r="O185" s="161">
        <v>0</v>
      </c>
      <c r="P185" s="161">
        <v>0</v>
      </c>
      <c r="Q185" s="161">
        <v>0</v>
      </c>
      <c r="R185" s="161">
        <v>0</v>
      </c>
      <c r="S185" s="88">
        <v>1</v>
      </c>
      <c r="T185" s="88">
        <v>1</v>
      </c>
      <c r="U185" s="88">
        <v>1</v>
      </c>
      <c r="V185" s="88">
        <v>1</v>
      </c>
      <c r="W185" s="88">
        <v>1</v>
      </c>
      <c r="X185" s="88">
        <v>1</v>
      </c>
      <c r="Y185" s="88">
        <v>1</v>
      </c>
      <c r="Z185" s="88">
        <v>1</v>
      </c>
      <c r="AA185" s="88">
        <v>1</v>
      </c>
      <c r="AB185" s="88">
        <v>1</v>
      </c>
      <c r="AC185" s="88">
        <v>1</v>
      </c>
      <c r="AD185" s="88">
        <v>1</v>
      </c>
      <c r="AE185" s="88">
        <v>1</v>
      </c>
      <c r="AF185" s="88">
        <v>1</v>
      </c>
      <c r="AG185" s="88">
        <v>1</v>
      </c>
      <c r="AH185" s="89">
        <v>1</v>
      </c>
      <c r="AI185" s="6"/>
    </row>
    <row r="186" spans="1:35" x14ac:dyDescent="0.25">
      <c r="A186" s="3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6"/>
    </row>
    <row r="187" spans="1:35" ht="15.75" thickBot="1" x14ac:dyDescent="0.3">
      <c r="A187" s="3"/>
      <c r="B187" s="5"/>
      <c r="C187" s="7">
        <v>32</v>
      </c>
      <c r="D187" s="7">
        <v>33</v>
      </c>
      <c r="E187" s="7">
        <v>34</v>
      </c>
      <c r="F187" s="7">
        <v>35</v>
      </c>
      <c r="G187" s="7">
        <v>36</v>
      </c>
      <c r="H187" s="7">
        <v>37</v>
      </c>
      <c r="I187" s="7">
        <v>38</v>
      </c>
      <c r="J187" s="7">
        <v>39</v>
      </c>
      <c r="K187" s="7">
        <v>40</v>
      </c>
      <c r="L187" s="7">
        <v>41</v>
      </c>
      <c r="M187" s="7">
        <v>42</v>
      </c>
      <c r="N187" s="7">
        <v>43</v>
      </c>
      <c r="O187" s="7">
        <v>44</v>
      </c>
      <c r="P187" s="7">
        <v>45</v>
      </c>
      <c r="Q187" s="7">
        <v>46</v>
      </c>
      <c r="R187" s="7">
        <v>47</v>
      </c>
      <c r="S187" s="7">
        <v>48</v>
      </c>
      <c r="T187" s="7">
        <v>49</v>
      </c>
      <c r="U187" s="7">
        <v>50</v>
      </c>
      <c r="V187" s="7">
        <v>51</v>
      </c>
      <c r="W187" s="7">
        <v>52</v>
      </c>
      <c r="X187" s="7">
        <v>53</v>
      </c>
      <c r="Y187" s="7">
        <v>54</v>
      </c>
      <c r="Z187" s="7">
        <v>55</v>
      </c>
      <c r="AA187" s="7">
        <v>56</v>
      </c>
      <c r="AB187" s="7">
        <v>57</v>
      </c>
      <c r="AC187" s="7">
        <v>58</v>
      </c>
      <c r="AD187" s="7">
        <v>59</v>
      </c>
      <c r="AE187" s="7">
        <v>60</v>
      </c>
      <c r="AF187" s="7">
        <v>61</v>
      </c>
      <c r="AG187" s="7">
        <v>62</v>
      </c>
      <c r="AH187" s="7">
        <v>63</v>
      </c>
      <c r="AI187" s="6"/>
    </row>
    <row r="188" spans="1:35" ht="15.75" thickBot="1" x14ac:dyDescent="0.3">
      <c r="A188" s="3"/>
      <c r="B188" s="5"/>
      <c r="C188" s="147" t="s">
        <v>13</v>
      </c>
      <c r="D188" s="148" t="s">
        <v>14</v>
      </c>
      <c r="E188" s="148" t="s">
        <v>15</v>
      </c>
      <c r="F188" s="148" t="s">
        <v>16</v>
      </c>
      <c r="G188" s="148" t="s">
        <v>17</v>
      </c>
      <c r="H188" s="148" t="s">
        <v>18</v>
      </c>
      <c r="I188" s="148" t="s">
        <v>19</v>
      </c>
      <c r="J188" s="148" t="s">
        <v>20</v>
      </c>
      <c r="K188" s="148" t="s">
        <v>21</v>
      </c>
      <c r="L188" s="148" t="s">
        <v>22</v>
      </c>
      <c r="M188" s="148" t="s">
        <v>23</v>
      </c>
      <c r="N188" s="148" t="s">
        <v>24</v>
      </c>
      <c r="O188" s="148" t="s">
        <v>25</v>
      </c>
      <c r="P188" s="148" t="s">
        <v>26</v>
      </c>
      <c r="Q188" s="148" t="s">
        <v>27</v>
      </c>
      <c r="R188" s="362" t="s">
        <v>30</v>
      </c>
      <c r="S188" s="362"/>
      <c r="T188" s="362"/>
      <c r="U188" s="362"/>
      <c r="V188" s="362"/>
      <c r="W188" s="362"/>
      <c r="X188" s="362"/>
      <c r="Y188" s="362"/>
      <c r="Z188" s="362"/>
      <c r="AA188" s="362"/>
      <c r="AB188" s="362"/>
      <c r="AC188" s="362"/>
      <c r="AD188" s="362"/>
      <c r="AE188" s="362"/>
      <c r="AF188" s="362"/>
      <c r="AG188" s="67" t="s">
        <v>28</v>
      </c>
      <c r="AH188" s="149" t="s">
        <v>29</v>
      </c>
      <c r="AI188" s="6"/>
    </row>
    <row r="189" spans="1:35" ht="15.75" thickBot="1" x14ac:dyDescent="0.3">
      <c r="A189" s="3"/>
      <c r="B189" s="5"/>
      <c r="C189" s="150">
        <v>0</v>
      </c>
      <c r="D189" s="151">
        <v>0</v>
      </c>
      <c r="E189" s="151">
        <v>0</v>
      </c>
      <c r="F189" s="151">
        <v>0</v>
      </c>
      <c r="G189" s="151">
        <v>0</v>
      </c>
      <c r="H189" s="151">
        <v>0</v>
      </c>
      <c r="I189" s="151">
        <v>0</v>
      </c>
      <c r="J189" s="151">
        <v>0</v>
      </c>
      <c r="K189" s="151">
        <v>0</v>
      </c>
      <c r="L189" s="151">
        <v>0</v>
      </c>
      <c r="M189" s="151">
        <v>0</v>
      </c>
      <c r="N189" s="151">
        <v>1</v>
      </c>
      <c r="O189" s="151">
        <v>0</v>
      </c>
      <c r="P189" s="151">
        <v>0</v>
      </c>
      <c r="Q189" s="151">
        <v>0</v>
      </c>
      <c r="R189" s="151">
        <v>0</v>
      </c>
      <c r="S189" s="151">
        <v>0</v>
      </c>
      <c r="T189" s="151">
        <v>0</v>
      </c>
      <c r="U189" s="151">
        <v>0</v>
      </c>
      <c r="V189" s="151">
        <v>0</v>
      </c>
      <c r="W189" s="151">
        <v>0</v>
      </c>
      <c r="X189" s="151">
        <v>0</v>
      </c>
      <c r="Y189" s="151">
        <v>0</v>
      </c>
      <c r="Z189" s="151">
        <v>1</v>
      </c>
      <c r="AA189" s="151">
        <v>0</v>
      </c>
      <c r="AB189" s="151">
        <v>0</v>
      </c>
      <c r="AC189" s="151">
        <v>0</v>
      </c>
      <c r="AD189" s="151">
        <v>1</v>
      </c>
      <c r="AE189" s="151">
        <v>0</v>
      </c>
      <c r="AF189" s="151">
        <v>1</v>
      </c>
      <c r="AG189" s="151">
        <v>0</v>
      </c>
      <c r="AH189" s="152">
        <v>0</v>
      </c>
      <c r="AI189" s="6"/>
    </row>
    <row r="190" spans="1:35" x14ac:dyDescent="0.25">
      <c r="A190" s="3"/>
      <c r="B190" s="4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6"/>
    </row>
    <row r="191" spans="1:35" x14ac:dyDescent="0.25">
      <c r="A191" s="3"/>
      <c r="B191" s="8" t="s">
        <v>43</v>
      </c>
      <c r="C191" s="9"/>
      <c r="D191" s="9"/>
      <c r="E191" s="9"/>
      <c r="F191" s="363" t="s">
        <v>44</v>
      </c>
      <c r="G191" s="363"/>
      <c r="H191" s="363"/>
      <c r="I191" s="9"/>
      <c r="J191" s="364" t="s">
        <v>45</v>
      </c>
      <c r="K191" s="364"/>
      <c r="L191" s="364"/>
      <c r="M191" s="364"/>
      <c r="N191" s="9"/>
      <c r="O191" s="365" t="s">
        <v>46</v>
      </c>
      <c r="P191" s="365"/>
      <c r="Q191" s="365"/>
      <c r="R191" s="365"/>
      <c r="S191" s="9"/>
      <c r="T191" s="1" t="s">
        <v>49</v>
      </c>
      <c r="U191" s="10" t="s">
        <v>48</v>
      </c>
      <c r="V191" s="5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6"/>
    </row>
    <row r="192" spans="1:35" x14ac:dyDescent="0.25">
      <c r="A192" s="3"/>
      <c r="B192" s="317" t="str">
        <f>"0x"&amp;DEC2HEX(Sheet3!$I$4,8)</f>
        <v>0x00400320</v>
      </c>
      <c r="C192" s="317"/>
      <c r="D192" s="317"/>
      <c r="E192" s="12"/>
      <c r="F192" s="319" t="str">
        <f>"0x"&amp;BIN2HEX(CONCATENATE(C185,D185,E185,F185,G185,H185,I185,J185),2)&amp;BIN2HEX(CONCATENATE(K185,L185,M185,N185,O185,P185,Q185,R185),2)&amp;BIN2HEX(CONCATENATE(S185,T185,U185,V185,W185,X185,Y185,Z185),2)&amp;BIN2HEX(CONCATENATE(AA185,AB185,AC185,AD185,AE185,AF185,AG185,AH185),2)</f>
        <v>0x0000FFFF</v>
      </c>
      <c r="G192" s="319"/>
      <c r="H192" s="319"/>
      <c r="I192" s="12"/>
      <c r="J192" s="319" t="str">
        <f>"0b"&amp;C189&amp;D189&amp;E189&amp;F189&amp;G189&amp;H189&amp;I189&amp;J189&amp;K189&amp;L189&amp;M189&amp;N189&amp;O189&amp;P189&amp;Q189</f>
        <v>0b000000000001000</v>
      </c>
      <c r="K192" s="319"/>
      <c r="L192" s="319"/>
      <c r="M192" s="319"/>
      <c r="N192" s="12"/>
      <c r="O192" s="319" t="str">
        <f>"0b"&amp;DEC2BIN(((AF189+AE189*2+AD189*4+AC189*8+AB189*16+AA189*32+Z189*64+Y189*128+X189*256+W189*512+V189*1024+U189*2048+T189*4096+S189*2^13+R189*2^14)/512),6)&amp;DEC2BIN(MOD((AF189+AE189*2+AD189*4+AC189*8+AB189*16+AA189*32+Z189*64+Y189*128+X189*256+W189*512+V189*1024+U189*2048+T189*4096+S189*2^13+R189*2^14),512),9)</f>
        <v>0b000000001000101</v>
      </c>
      <c r="P192" s="319"/>
      <c r="Q192" s="319"/>
      <c r="R192" s="319"/>
      <c r="S192" s="12"/>
      <c r="T192" s="196">
        <v>0</v>
      </c>
      <c r="U192" s="196">
        <f>AH189</f>
        <v>0</v>
      </c>
      <c r="V192" s="5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6"/>
    </row>
    <row r="193" spans="1:35" x14ac:dyDescent="0.25">
      <c r="A193" s="3"/>
      <c r="B193" s="317"/>
      <c r="C193" s="317"/>
      <c r="D193" s="317"/>
      <c r="E193" s="15"/>
      <c r="F193" s="319"/>
      <c r="G193" s="319"/>
      <c r="H193" s="319"/>
      <c r="I193" s="15"/>
      <c r="J193" s="317"/>
      <c r="K193" s="317"/>
      <c r="L193" s="317"/>
      <c r="M193" s="317"/>
      <c r="N193" s="15"/>
      <c r="O193" s="317"/>
      <c r="P193" s="317"/>
      <c r="Q193" s="317"/>
      <c r="R193" s="317"/>
      <c r="S193" s="15"/>
      <c r="T193" s="196"/>
      <c r="U193" s="15"/>
      <c r="V193" s="5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6"/>
    </row>
    <row r="194" spans="1:35" x14ac:dyDescent="0.25">
      <c r="A194" s="3"/>
      <c r="B194" s="317"/>
      <c r="C194" s="317"/>
      <c r="D194" s="317"/>
      <c r="E194" s="15"/>
      <c r="F194" s="319"/>
      <c r="G194" s="319"/>
      <c r="H194" s="319"/>
      <c r="I194" s="15"/>
      <c r="J194" s="317"/>
      <c r="K194" s="317"/>
      <c r="L194" s="317"/>
      <c r="M194" s="317"/>
      <c r="N194" s="15"/>
      <c r="O194" s="317"/>
      <c r="P194" s="317"/>
      <c r="Q194" s="317"/>
      <c r="R194" s="317"/>
      <c r="S194" s="15"/>
      <c r="T194" s="196"/>
      <c r="U194" s="15"/>
      <c r="V194" s="5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6"/>
    </row>
    <row r="195" spans="1:35" x14ac:dyDescent="0.25">
      <c r="A195" s="3"/>
      <c r="B195" s="5"/>
      <c r="C195" s="5"/>
      <c r="D195" s="5"/>
      <c r="E195" s="5"/>
      <c r="F195" s="17"/>
      <c r="G195" s="17"/>
      <c r="H195" s="17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6"/>
    </row>
    <row r="196" spans="1:35" x14ac:dyDescent="0.25">
      <c r="A196" s="3"/>
      <c r="B196" s="5" t="s">
        <v>47</v>
      </c>
      <c r="C196" s="18"/>
      <c r="D196" s="18"/>
      <c r="E196" s="18"/>
      <c r="F196" s="5"/>
      <c r="G196" s="5"/>
      <c r="H196" s="5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6"/>
    </row>
    <row r="197" spans="1:35" x14ac:dyDescent="0.25">
      <c r="A197" s="3"/>
      <c r="B197" s="317" t="str">
        <f>"0x"&amp;DEC2HEX(Sheet3!$I$4,8)</f>
        <v>0x00400320</v>
      </c>
      <c r="C197" s="317"/>
      <c r="D197" s="317"/>
      <c r="E197" s="16"/>
      <c r="F197" s="322" t="str">
        <f>F192&amp;BIN2HEX(MID(J192,3,8),2)&amp;BIN2HEX(RIGHT(J192,7)&amp;MID(O192,3,1),2)&amp;BIN2HEX(MID(O192,4,8),2)&amp;BIN2HEX(RIGHT(O192,6)&amp;T192&amp;U192,2)</f>
        <v>0x0000FFFF00100114</v>
      </c>
      <c r="G197" s="322"/>
      <c r="H197" s="322"/>
      <c r="I197" s="322"/>
      <c r="J197" s="5"/>
      <c r="K197" s="5"/>
      <c r="L197" s="5"/>
      <c r="M197" s="5"/>
      <c r="N197" s="5"/>
      <c r="O197" s="5"/>
      <c r="P197" s="16"/>
      <c r="Q197" s="16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5"/>
      <c r="AH197" s="5"/>
      <c r="AI197" s="6"/>
    </row>
    <row r="198" spans="1:35" x14ac:dyDescent="0.25">
      <c r="A198" s="3"/>
      <c r="B198" s="317"/>
      <c r="C198" s="317"/>
      <c r="D198" s="317"/>
      <c r="E198" s="5"/>
      <c r="F198" s="322"/>
      <c r="G198" s="322"/>
      <c r="H198" s="322"/>
      <c r="I198" s="322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6"/>
    </row>
    <row r="199" spans="1:35" x14ac:dyDescent="0.25">
      <c r="A199" s="3"/>
      <c r="B199" s="317"/>
      <c r="C199" s="317"/>
      <c r="D199" s="317"/>
      <c r="E199" s="5"/>
      <c r="F199" s="322"/>
      <c r="G199" s="322"/>
      <c r="H199" s="322"/>
      <c r="I199" s="322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6"/>
    </row>
    <row r="200" spans="1:35" x14ac:dyDescent="0.25">
      <c r="A200" s="20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2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3"/>
    </row>
    <row r="201" spans="1:35" x14ac:dyDescent="0.25">
      <c r="A201" s="24"/>
      <c r="B201" s="28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6"/>
    </row>
    <row r="202" spans="1:35" x14ac:dyDescent="0.25">
      <c r="A202" s="3"/>
      <c r="B202" s="4" t="s">
        <v>288</v>
      </c>
      <c r="C202" s="5"/>
      <c r="D202" s="5"/>
      <c r="E202" s="5"/>
      <c r="F202" s="5"/>
      <c r="G202" s="5"/>
      <c r="H202" s="5"/>
      <c r="I202" s="5" t="str">
        <f>"0x"&amp;BIN2HEX(CONCATENATE(C207,D207,E207,F207,G207,H207,I207,J207),2)&amp;BIN2HEX(CONCATENATE(K207,L207,M207,N207,O207,P207,Q207,R207),2)&amp;BIN2HEX(CONCATENATE(S207,T207,U207,V207,W207,X207,Y207,Z207),2)&amp;BIN2HEX(CONCATENATE(AA207,AB207,AC207,AD207,AE207,AF207,AG207,AH207),2)&amp;"_"&amp;BIN2HEX(CONCATENATE(C211,D211,E211,F211,G211,H211,I211,J211),2)&amp;BIN2HEX(CONCATENATE(K211,L211,M211,N211,O211,P211,Q211,R211),2)&amp;BIN2HEX(CONCATENATE(S211,T211,U211,V211,W211,X211,Y211,Z211),2)&amp;BIN2HEX(CONCATENATE(AA211,AB211,AC211,AD211,AE211,AF211,AG211,AH211),2)</f>
        <v>0xFFFFFFFF_00100118</v>
      </c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6"/>
    </row>
    <row r="203" spans="1:35" ht="15.75" thickBot="1" x14ac:dyDescent="0.3">
      <c r="A203" s="3"/>
      <c r="B203" s="5"/>
      <c r="C203" s="7">
        <v>0</v>
      </c>
      <c r="D203" s="7">
        <v>1</v>
      </c>
      <c r="E203" s="7">
        <v>2</v>
      </c>
      <c r="F203" s="7">
        <v>3</v>
      </c>
      <c r="G203" s="7">
        <v>4</v>
      </c>
      <c r="H203" s="7">
        <v>5</v>
      </c>
      <c r="I203" s="7">
        <v>6</v>
      </c>
      <c r="J203" s="7">
        <v>7</v>
      </c>
      <c r="K203" s="7">
        <v>8</v>
      </c>
      <c r="L203" s="7">
        <v>9</v>
      </c>
      <c r="M203" s="7">
        <v>10</v>
      </c>
      <c r="N203" s="7">
        <v>11</v>
      </c>
      <c r="O203" s="7">
        <v>12</v>
      </c>
      <c r="P203" s="7">
        <v>13</v>
      </c>
      <c r="Q203" s="7">
        <v>14</v>
      </c>
      <c r="R203" s="7">
        <v>15</v>
      </c>
      <c r="S203" s="7">
        <v>16</v>
      </c>
      <c r="T203" s="7">
        <v>17</v>
      </c>
      <c r="U203" s="7">
        <v>18</v>
      </c>
      <c r="V203" s="7">
        <v>19</v>
      </c>
      <c r="W203" s="7">
        <v>20</v>
      </c>
      <c r="X203" s="7">
        <v>21</v>
      </c>
      <c r="Y203" s="7">
        <v>22</v>
      </c>
      <c r="Z203" s="7">
        <v>23</v>
      </c>
      <c r="AA203" s="7">
        <v>24</v>
      </c>
      <c r="AB203" s="7">
        <v>25</v>
      </c>
      <c r="AC203" s="7">
        <v>26</v>
      </c>
      <c r="AD203" s="7">
        <v>27</v>
      </c>
      <c r="AE203" s="7">
        <v>28</v>
      </c>
      <c r="AF203" s="7">
        <v>29</v>
      </c>
      <c r="AG203" s="7">
        <v>30</v>
      </c>
      <c r="AH203" s="7">
        <v>31</v>
      </c>
      <c r="AI203" s="6"/>
    </row>
    <row r="204" spans="1:35" x14ac:dyDescent="0.25">
      <c r="A204" s="3"/>
      <c r="B204" s="5" t="s">
        <v>31</v>
      </c>
      <c r="C204" s="354" t="s">
        <v>301</v>
      </c>
      <c r="D204" s="331"/>
      <c r="E204" s="331"/>
      <c r="F204" s="331"/>
      <c r="G204" s="331"/>
      <c r="H204" s="331"/>
      <c r="I204" s="331"/>
      <c r="J204" s="331"/>
      <c r="K204" s="331"/>
      <c r="L204" s="331"/>
      <c r="M204" s="331"/>
      <c r="N204" s="331"/>
      <c r="O204" s="331"/>
      <c r="P204" s="331"/>
      <c r="Q204" s="331"/>
      <c r="R204" s="331"/>
      <c r="S204" s="331"/>
      <c r="T204" s="331"/>
      <c r="U204" s="331"/>
      <c r="V204" s="331"/>
      <c r="W204" s="331"/>
      <c r="X204" s="331"/>
      <c r="Y204" s="331"/>
      <c r="Z204" s="331"/>
      <c r="AA204" s="331"/>
      <c r="AB204" s="331"/>
      <c r="AC204" s="331"/>
      <c r="AD204" s="331"/>
      <c r="AE204" s="331"/>
      <c r="AF204" s="331"/>
      <c r="AG204" s="331"/>
      <c r="AH204" s="355"/>
      <c r="AI204" s="6"/>
    </row>
    <row r="205" spans="1:35" x14ac:dyDescent="0.25">
      <c r="A205" s="3"/>
      <c r="B205" s="5" t="s">
        <v>32</v>
      </c>
      <c r="C205" s="356"/>
      <c r="D205" s="334"/>
      <c r="E205" s="334"/>
      <c r="F205" s="334"/>
      <c r="G205" s="334"/>
      <c r="H205" s="334"/>
      <c r="I205" s="334"/>
      <c r="J205" s="334"/>
      <c r="K205" s="334"/>
      <c r="L205" s="334"/>
      <c r="M205" s="334"/>
      <c r="N205" s="334"/>
      <c r="O205" s="334"/>
      <c r="P205" s="334"/>
      <c r="Q205" s="334"/>
      <c r="R205" s="334"/>
      <c r="S205" s="334"/>
      <c r="T205" s="334"/>
      <c r="U205" s="334"/>
      <c r="V205" s="334"/>
      <c r="W205" s="334"/>
      <c r="X205" s="334"/>
      <c r="Y205" s="334"/>
      <c r="Z205" s="334"/>
      <c r="AA205" s="334"/>
      <c r="AB205" s="334"/>
      <c r="AC205" s="334"/>
      <c r="AD205" s="334"/>
      <c r="AE205" s="334"/>
      <c r="AF205" s="334"/>
      <c r="AG205" s="334"/>
      <c r="AH205" s="357"/>
      <c r="AI205" s="6"/>
    </row>
    <row r="206" spans="1:35" x14ac:dyDescent="0.25">
      <c r="A206" s="3"/>
      <c r="B206" s="5" t="s">
        <v>11</v>
      </c>
      <c r="C206" s="56">
        <v>1</v>
      </c>
      <c r="D206" s="57">
        <v>1</v>
      </c>
      <c r="E206" s="57">
        <v>1</v>
      </c>
      <c r="F206" s="57">
        <v>1</v>
      </c>
      <c r="G206" s="57">
        <v>1</v>
      </c>
      <c r="H206" s="57">
        <v>1</v>
      </c>
      <c r="I206" s="57">
        <v>1</v>
      </c>
      <c r="J206" s="57">
        <v>1</v>
      </c>
      <c r="K206" s="57">
        <v>1</v>
      </c>
      <c r="L206" s="57">
        <v>1</v>
      </c>
      <c r="M206" s="57">
        <v>1</v>
      </c>
      <c r="N206" s="57">
        <v>1</v>
      </c>
      <c r="O206" s="57">
        <v>1</v>
      </c>
      <c r="P206" s="57">
        <v>1</v>
      </c>
      <c r="Q206" s="57">
        <v>1</v>
      </c>
      <c r="R206" s="57">
        <v>1</v>
      </c>
      <c r="S206" s="57">
        <v>1</v>
      </c>
      <c r="T206" s="57">
        <v>1</v>
      </c>
      <c r="U206" s="57">
        <v>1</v>
      </c>
      <c r="V206" s="57">
        <v>1</v>
      </c>
      <c r="W206" s="57">
        <v>1</v>
      </c>
      <c r="X206" s="57">
        <v>1</v>
      </c>
      <c r="Y206" s="57">
        <v>1</v>
      </c>
      <c r="Z206" s="57">
        <v>1</v>
      </c>
      <c r="AA206" s="57">
        <v>1</v>
      </c>
      <c r="AB206" s="57">
        <v>1</v>
      </c>
      <c r="AC206" s="57">
        <v>1</v>
      </c>
      <c r="AD206" s="57">
        <v>1</v>
      </c>
      <c r="AE206" s="57">
        <v>1</v>
      </c>
      <c r="AF206" s="57">
        <v>1</v>
      </c>
      <c r="AG206" s="57">
        <v>1</v>
      </c>
      <c r="AH206" s="58">
        <v>1</v>
      </c>
      <c r="AI206" s="6"/>
    </row>
    <row r="207" spans="1:35" ht="15.75" thickBot="1" x14ac:dyDescent="0.3">
      <c r="A207" s="3"/>
      <c r="B207" s="5" t="s">
        <v>12</v>
      </c>
      <c r="C207" s="145">
        <v>1</v>
      </c>
      <c r="D207" s="88">
        <v>1</v>
      </c>
      <c r="E207" s="88">
        <v>1</v>
      </c>
      <c r="F207" s="88">
        <v>1</v>
      </c>
      <c r="G207" s="88">
        <v>1</v>
      </c>
      <c r="H207" s="88">
        <v>1</v>
      </c>
      <c r="I207" s="88">
        <v>1</v>
      </c>
      <c r="J207" s="88">
        <v>1</v>
      </c>
      <c r="K207" s="88">
        <v>1</v>
      </c>
      <c r="L207" s="88">
        <v>1</v>
      </c>
      <c r="M207" s="88">
        <v>1</v>
      </c>
      <c r="N207" s="88">
        <v>1</v>
      </c>
      <c r="O207" s="88">
        <v>1</v>
      </c>
      <c r="P207" s="88">
        <v>1</v>
      </c>
      <c r="Q207" s="88">
        <v>1</v>
      </c>
      <c r="R207" s="88">
        <v>1</v>
      </c>
      <c r="S207" s="88">
        <v>1</v>
      </c>
      <c r="T207" s="88">
        <v>1</v>
      </c>
      <c r="U207" s="88">
        <v>1</v>
      </c>
      <c r="V207" s="88">
        <v>1</v>
      </c>
      <c r="W207" s="88">
        <v>1</v>
      </c>
      <c r="X207" s="88">
        <v>1</v>
      </c>
      <c r="Y207" s="88">
        <v>1</v>
      </c>
      <c r="Z207" s="88">
        <v>1</v>
      </c>
      <c r="AA207" s="88">
        <v>1</v>
      </c>
      <c r="AB207" s="88">
        <v>1</v>
      </c>
      <c r="AC207" s="88">
        <v>1</v>
      </c>
      <c r="AD207" s="88">
        <v>1</v>
      </c>
      <c r="AE207" s="88">
        <v>1</v>
      </c>
      <c r="AF207" s="88">
        <v>1</v>
      </c>
      <c r="AG207" s="88">
        <v>1</v>
      </c>
      <c r="AH207" s="89">
        <v>1</v>
      </c>
      <c r="AI207" s="6"/>
    </row>
    <row r="208" spans="1:35" x14ac:dyDescent="0.25">
      <c r="A208" s="3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6"/>
    </row>
    <row r="209" spans="1:35" ht="15.75" thickBot="1" x14ac:dyDescent="0.3">
      <c r="A209" s="3"/>
      <c r="B209" s="5"/>
      <c r="C209" s="7">
        <v>32</v>
      </c>
      <c r="D209" s="7">
        <v>33</v>
      </c>
      <c r="E209" s="7">
        <v>34</v>
      </c>
      <c r="F209" s="7">
        <v>35</v>
      </c>
      <c r="G209" s="7">
        <v>36</v>
      </c>
      <c r="H209" s="7">
        <v>37</v>
      </c>
      <c r="I209" s="7">
        <v>38</v>
      </c>
      <c r="J209" s="7">
        <v>39</v>
      </c>
      <c r="K209" s="7">
        <v>40</v>
      </c>
      <c r="L209" s="7">
        <v>41</v>
      </c>
      <c r="M209" s="7">
        <v>42</v>
      </c>
      <c r="N209" s="7">
        <v>43</v>
      </c>
      <c r="O209" s="7">
        <v>44</v>
      </c>
      <c r="P209" s="7">
        <v>45</v>
      </c>
      <c r="Q209" s="7">
        <v>46</v>
      </c>
      <c r="R209" s="7">
        <v>47</v>
      </c>
      <c r="S209" s="7">
        <v>48</v>
      </c>
      <c r="T209" s="7">
        <v>49</v>
      </c>
      <c r="U209" s="7">
        <v>50</v>
      </c>
      <c r="V209" s="7">
        <v>51</v>
      </c>
      <c r="W209" s="7">
        <v>52</v>
      </c>
      <c r="X209" s="7">
        <v>53</v>
      </c>
      <c r="Y209" s="7">
        <v>54</v>
      </c>
      <c r="Z209" s="7">
        <v>55</v>
      </c>
      <c r="AA209" s="7">
        <v>56</v>
      </c>
      <c r="AB209" s="7">
        <v>57</v>
      </c>
      <c r="AC209" s="7">
        <v>58</v>
      </c>
      <c r="AD209" s="7">
        <v>59</v>
      </c>
      <c r="AE209" s="7">
        <v>60</v>
      </c>
      <c r="AF209" s="7">
        <v>61</v>
      </c>
      <c r="AG209" s="7">
        <v>62</v>
      </c>
      <c r="AH209" s="7">
        <v>63</v>
      </c>
      <c r="AI209" s="6"/>
    </row>
    <row r="210" spans="1:35" ht="15.75" thickBot="1" x14ac:dyDescent="0.3">
      <c r="A210" s="3"/>
      <c r="B210" s="5"/>
      <c r="C210" s="147" t="s">
        <v>13</v>
      </c>
      <c r="D210" s="148" t="s">
        <v>14</v>
      </c>
      <c r="E210" s="148" t="s">
        <v>15</v>
      </c>
      <c r="F210" s="148" t="s">
        <v>16</v>
      </c>
      <c r="G210" s="148" t="s">
        <v>17</v>
      </c>
      <c r="H210" s="148" t="s">
        <v>18</v>
      </c>
      <c r="I210" s="148" t="s">
        <v>19</v>
      </c>
      <c r="J210" s="148" t="s">
        <v>20</v>
      </c>
      <c r="K210" s="148" t="s">
        <v>21</v>
      </c>
      <c r="L210" s="148" t="s">
        <v>22</v>
      </c>
      <c r="M210" s="148" t="s">
        <v>23</v>
      </c>
      <c r="N210" s="148" t="s">
        <v>24</v>
      </c>
      <c r="O210" s="148" t="s">
        <v>25</v>
      </c>
      <c r="P210" s="148" t="s">
        <v>26</v>
      </c>
      <c r="Q210" s="148" t="s">
        <v>27</v>
      </c>
      <c r="R210" s="362" t="s">
        <v>30</v>
      </c>
      <c r="S210" s="362"/>
      <c r="T210" s="362"/>
      <c r="U210" s="362"/>
      <c r="V210" s="362"/>
      <c r="W210" s="362"/>
      <c r="X210" s="362"/>
      <c r="Y210" s="362"/>
      <c r="Z210" s="362"/>
      <c r="AA210" s="362"/>
      <c r="AB210" s="362"/>
      <c r="AC210" s="362"/>
      <c r="AD210" s="362"/>
      <c r="AE210" s="362"/>
      <c r="AF210" s="362"/>
      <c r="AG210" s="67" t="s">
        <v>28</v>
      </c>
      <c r="AH210" s="149" t="s">
        <v>29</v>
      </c>
      <c r="AI210" s="6"/>
    </row>
    <row r="211" spans="1:35" ht="15.75" thickBot="1" x14ac:dyDescent="0.3">
      <c r="A211" s="3"/>
      <c r="B211" s="5"/>
      <c r="C211" s="150">
        <v>0</v>
      </c>
      <c r="D211" s="151">
        <v>0</v>
      </c>
      <c r="E211" s="151">
        <v>0</v>
      </c>
      <c r="F211" s="151">
        <v>0</v>
      </c>
      <c r="G211" s="151">
        <v>0</v>
      </c>
      <c r="H211" s="151">
        <v>0</v>
      </c>
      <c r="I211" s="151">
        <v>0</v>
      </c>
      <c r="J211" s="151">
        <v>0</v>
      </c>
      <c r="K211" s="151">
        <v>0</v>
      </c>
      <c r="L211" s="151">
        <v>0</v>
      </c>
      <c r="M211" s="151">
        <v>0</v>
      </c>
      <c r="N211" s="151">
        <v>1</v>
      </c>
      <c r="O211" s="151">
        <v>0</v>
      </c>
      <c r="P211" s="151">
        <v>0</v>
      </c>
      <c r="Q211" s="151">
        <v>0</v>
      </c>
      <c r="R211" s="151">
        <v>0</v>
      </c>
      <c r="S211" s="151">
        <v>0</v>
      </c>
      <c r="T211" s="151">
        <v>0</v>
      </c>
      <c r="U211" s="151">
        <v>0</v>
      </c>
      <c r="V211" s="151">
        <v>0</v>
      </c>
      <c r="W211" s="151">
        <v>0</v>
      </c>
      <c r="X211" s="151">
        <v>0</v>
      </c>
      <c r="Y211" s="151">
        <v>0</v>
      </c>
      <c r="Z211" s="151">
        <v>1</v>
      </c>
      <c r="AA211" s="151">
        <v>0</v>
      </c>
      <c r="AB211" s="151">
        <v>0</v>
      </c>
      <c r="AC211" s="151">
        <v>0</v>
      </c>
      <c r="AD211" s="151">
        <v>1</v>
      </c>
      <c r="AE211" s="151">
        <v>1</v>
      </c>
      <c r="AF211" s="151">
        <v>0</v>
      </c>
      <c r="AG211" s="151">
        <v>0</v>
      </c>
      <c r="AH211" s="152">
        <v>0</v>
      </c>
      <c r="AI211" s="6"/>
    </row>
    <row r="212" spans="1:35" x14ac:dyDescent="0.25">
      <c r="A212" s="3"/>
      <c r="B212" s="4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6"/>
    </row>
    <row r="213" spans="1:35" x14ac:dyDescent="0.25">
      <c r="A213" s="3"/>
      <c r="B213" s="8" t="s">
        <v>43</v>
      </c>
      <c r="C213" s="9"/>
      <c r="D213" s="9"/>
      <c r="E213" s="9"/>
      <c r="F213" s="363" t="s">
        <v>44</v>
      </c>
      <c r="G213" s="363"/>
      <c r="H213" s="363"/>
      <c r="I213" s="9"/>
      <c r="J213" s="364" t="s">
        <v>45</v>
      </c>
      <c r="K213" s="364"/>
      <c r="L213" s="364"/>
      <c r="M213" s="364"/>
      <c r="N213" s="9"/>
      <c r="O213" s="365" t="s">
        <v>46</v>
      </c>
      <c r="P213" s="365"/>
      <c r="Q213" s="365"/>
      <c r="R213" s="365"/>
      <c r="S213" s="9"/>
      <c r="T213" s="1" t="s">
        <v>49</v>
      </c>
      <c r="U213" s="10" t="s">
        <v>48</v>
      </c>
      <c r="V213" s="5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6"/>
    </row>
    <row r="214" spans="1:35" x14ac:dyDescent="0.25">
      <c r="A214" s="3"/>
      <c r="B214" s="317" t="str">
        <f>"0x"&amp;DEC2HEX(Sheet3!$I$4,8)</f>
        <v>0x00400320</v>
      </c>
      <c r="C214" s="317"/>
      <c r="D214" s="317"/>
      <c r="E214" s="12"/>
      <c r="F214" s="319" t="str">
        <f>"0x"&amp;BIN2HEX(CONCATENATE(C207,D207,E207,F207,G207,H207,I207,J207),2)&amp;BIN2HEX(CONCATENATE(K207,L207,M207,N207,O207,P207,Q207,R207),2)&amp;BIN2HEX(CONCATENATE(S207,T207,U207,V207,W207,X207,Y207,Z207),2)&amp;BIN2HEX(CONCATENATE(AA207,AB207,AC207,AD207,AE207,AF207,AG207,AH207),2)</f>
        <v>0xFFFFFFFF</v>
      </c>
      <c r="G214" s="319"/>
      <c r="H214" s="319"/>
      <c r="I214" s="12"/>
      <c r="J214" s="319" t="str">
        <f>"0b"&amp;C211&amp;D211&amp;E211&amp;F211&amp;G211&amp;H211&amp;I211&amp;J211&amp;K211&amp;L211&amp;M211&amp;N211&amp;O211&amp;P211&amp;Q211</f>
        <v>0b000000000001000</v>
      </c>
      <c r="K214" s="319"/>
      <c r="L214" s="319"/>
      <c r="M214" s="319"/>
      <c r="N214" s="12"/>
      <c r="O214" s="319" t="str">
        <f>"0b"&amp;DEC2BIN(((AF211+AE211*2+AD211*4+AC211*8+AB211*16+AA211*32+Z211*64+Y211*128+X211*256+W211*512+V211*1024+U211*2048+T211*4096+S211*2^13+R211*2^14)/512),6)&amp;DEC2BIN(MOD((AF211+AE211*2+AD211*4+AC211*8+AB211*16+AA211*32+Z211*64+Y211*128+X211*256+W211*512+V211*1024+U211*2048+T211*4096+S211*2^13+R211*2^14),512),9)</f>
        <v>0b000000001000110</v>
      </c>
      <c r="P214" s="319"/>
      <c r="Q214" s="319"/>
      <c r="R214" s="319"/>
      <c r="S214" s="12"/>
      <c r="T214" s="196">
        <v>0</v>
      </c>
      <c r="U214" s="196">
        <f>AH211</f>
        <v>0</v>
      </c>
      <c r="V214" s="5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6"/>
    </row>
    <row r="215" spans="1:35" x14ac:dyDescent="0.25">
      <c r="A215" s="3"/>
      <c r="B215" s="317"/>
      <c r="C215" s="317"/>
      <c r="D215" s="317"/>
      <c r="E215" s="15"/>
      <c r="F215" s="319"/>
      <c r="G215" s="319"/>
      <c r="H215" s="319"/>
      <c r="I215" s="15"/>
      <c r="J215" s="317"/>
      <c r="K215" s="317"/>
      <c r="L215" s="317"/>
      <c r="M215" s="317"/>
      <c r="N215" s="15"/>
      <c r="O215" s="317"/>
      <c r="P215" s="317"/>
      <c r="Q215" s="317"/>
      <c r="R215" s="317"/>
      <c r="S215" s="15"/>
      <c r="T215" s="196"/>
      <c r="U215" s="15"/>
      <c r="V215" s="5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6"/>
    </row>
    <row r="216" spans="1:35" x14ac:dyDescent="0.25">
      <c r="A216" s="3"/>
      <c r="B216" s="317"/>
      <c r="C216" s="317"/>
      <c r="D216" s="317"/>
      <c r="E216" s="15"/>
      <c r="F216" s="319"/>
      <c r="G216" s="319"/>
      <c r="H216" s="319"/>
      <c r="I216" s="15"/>
      <c r="J216" s="317"/>
      <c r="K216" s="317"/>
      <c r="L216" s="317"/>
      <c r="M216" s="317"/>
      <c r="N216" s="15"/>
      <c r="O216" s="317"/>
      <c r="P216" s="317"/>
      <c r="Q216" s="317"/>
      <c r="R216" s="317"/>
      <c r="S216" s="15"/>
      <c r="T216" s="196"/>
      <c r="U216" s="15"/>
      <c r="V216" s="5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6"/>
    </row>
    <row r="217" spans="1:35" x14ac:dyDescent="0.25">
      <c r="A217" s="3"/>
      <c r="B217" s="5"/>
      <c r="C217" s="5"/>
      <c r="D217" s="5"/>
      <c r="E217" s="5"/>
      <c r="F217" s="17"/>
      <c r="G217" s="17"/>
      <c r="H217" s="17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6"/>
    </row>
    <row r="218" spans="1:35" x14ac:dyDescent="0.25">
      <c r="A218" s="3"/>
      <c r="B218" s="5" t="s">
        <v>47</v>
      </c>
      <c r="C218" s="18"/>
      <c r="D218" s="18"/>
      <c r="E218" s="18"/>
      <c r="F218" s="5"/>
      <c r="G218" s="5"/>
      <c r="H218" s="5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6"/>
    </row>
    <row r="219" spans="1:35" x14ac:dyDescent="0.25">
      <c r="A219" s="3"/>
      <c r="B219" s="317" t="str">
        <f>"0x"&amp;DEC2HEX(Sheet3!$I$4,8)</f>
        <v>0x00400320</v>
      </c>
      <c r="C219" s="317"/>
      <c r="D219" s="317"/>
      <c r="E219" s="16"/>
      <c r="F219" s="322" t="str">
        <f>F214&amp;BIN2HEX(MID(J214,3,8),2)&amp;BIN2HEX(RIGHT(J214,7)&amp;MID(O214,3,1),2)&amp;BIN2HEX(MID(O214,4,8),2)&amp;BIN2HEX(RIGHT(O214,6)&amp;T214&amp;U214,2)</f>
        <v>0xFFFFFFFF00100118</v>
      </c>
      <c r="G219" s="322"/>
      <c r="H219" s="322"/>
      <c r="I219" s="322"/>
      <c r="J219" s="5"/>
      <c r="K219" s="5"/>
      <c r="L219" s="5"/>
      <c r="M219" s="5"/>
      <c r="N219" s="5"/>
      <c r="O219" s="5"/>
      <c r="P219" s="16"/>
      <c r="Q219" s="16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5"/>
      <c r="AH219" s="5"/>
      <c r="AI219" s="6"/>
    </row>
    <row r="220" spans="1:35" x14ac:dyDescent="0.25">
      <c r="A220" s="3"/>
      <c r="B220" s="317"/>
      <c r="C220" s="317"/>
      <c r="D220" s="317"/>
      <c r="E220" s="5"/>
      <c r="F220" s="322"/>
      <c r="G220" s="322"/>
      <c r="H220" s="322"/>
      <c r="I220" s="322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6"/>
    </row>
    <row r="221" spans="1:35" x14ac:dyDescent="0.25">
      <c r="A221" s="3"/>
      <c r="B221" s="317"/>
      <c r="C221" s="317"/>
      <c r="D221" s="317"/>
      <c r="E221" s="5"/>
      <c r="F221" s="322"/>
      <c r="G221" s="322"/>
      <c r="H221" s="322"/>
      <c r="I221" s="322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6"/>
    </row>
    <row r="222" spans="1:35" x14ac:dyDescent="0.25">
      <c r="A222" s="20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2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3"/>
    </row>
    <row r="223" spans="1:35" x14ac:dyDescent="0.25">
      <c r="A223" s="24"/>
      <c r="B223" s="28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6"/>
    </row>
    <row r="224" spans="1:35" x14ac:dyDescent="0.25">
      <c r="A224" s="3"/>
      <c r="B224" s="4" t="s">
        <v>289</v>
      </c>
      <c r="C224" s="5"/>
      <c r="D224" s="5"/>
      <c r="E224" s="5"/>
      <c r="F224" s="5"/>
      <c r="G224" s="5"/>
      <c r="H224" s="5"/>
      <c r="I224" s="5" t="str">
        <f>"0x"&amp;BIN2HEX(CONCATENATE(C229,D229,E229,F229,G229,H229,I229,J229),2)&amp;BIN2HEX(CONCATENATE(K229,L229,M229,N229,O229,P229,Q229,R229),2)&amp;BIN2HEX(CONCATENATE(S229,T229,U229,V229,W229,X229,Y229,Z229),2)&amp;BIN2HEX(CONCATENATE(AA229,AB229,AC229,AD229,AE229,AF229,AG229,AH229),2)&amp;"_"&amp;BIN2HEX(CONCATENATE(C233,D233,E233,F233,G233,H233,I233,J233),2)&amp;BIN2HEX(CONCATENATE(K233,L233,M233,N233,O233,P233,Q233,R233),2)&amp;BIN2HEX(CONCATENATE(S233,T233,U233,V233,W233,X233,Y233,Z233),2)&amp;BIN2HEX(CONCATENATE(AA233,AB233,AC233,AD233,AE233,AF233,AG233,AH233),2)</f>
        <v>0xEF1FFFFF_0010011C</v>
      </c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6"/>
    </row>
    <row r="225" spans="1:35" ht="15.75" thickBot="1" x14ac:dyDescent="0.3">
      <c r="A225" s="3"/>
      <c r="B225" s="5"/>
      <c r="C225" s="7">
        <v>0</v>
      </c>
      <c r="D225" s="7">
        <v>1</v>
      </c>
      <c r="E225" s="7">
        <v>2</v>
      </c>
      <c r="F225" s="7">
        <v>3</v>
      </c>
      <c r="G225" s="7">
        <v>4</v>
      </c>
      <c r="H225" s="7">
        <v>5</v>
      </c>
      <c r="I225" s="7">
        <v>6</v>
      </c>
      <c r="J225" s="7">
        <v>7</v>
      </c>
      <c r="K225" s="7">
        <v>8</v>
      </c>
      <c r="L225" s="7">
        <v>9</v>
      </c>
      <c r="M225" s="7">
        <v>10</v>
      </c>
      <c r="N225" s="7">
        <v>11</v>
      </c>
      <c r="O225" s="7">
        <v>12</v>
      </c>
      <c r="P225" s="7">
        <v>13</v>
      </c>
      <c r="Q225" s="7">
        <v>14</v>
      </c>
      <c r="R225" s="7">
        <v>15</v>
      </c>
      <c r="S225" s="7">
        <v>16</v>
      </c>
      <c r="T225" s="7">
        <v>17</v>
      </c>
      <c r="U225" s="7">
        <v>18</v>
      </c>
      <c r="V225" s="7">
        <v>19</v>
      </c>
      <c r="W225" s="7">
        <v>20</v>
      </c>
      <c r="X225" s="7">
        <v>21</v>
      </c>
      <c r="Y225" s="7">
        <v>22</v>
      </c>
      <c r="Z225" s="7">
        <v>23</v>
      </c>
      <c r="AA225" s="7">
        <v>24</v>
      </c>
      <c r="AB225" s="7">
        <v>25</v>
      </c>
      <c r="AC225" s="7">
        <v>26</v>
      </c>
      <c r="AD225" s="7">
        <v>27</v>
      </c>
      <c r="AE225" s="7">
        <v>28</v>
      </c>
      <c r="AF225" s="7">
        <v>29</v>
      </c>
      <c r="AG225" s="7">
        <v>30</v>
      </c>
      <c r="AH225" s="7">
        <v>31</v>
      </c>
      <c r="AI225" s="6"/>
    </row>
    <row r="226" spans="1:35" ht="15" customHeight="1" x14ac:dyDescent="0.25">
      <c r="A226" s="3"/>
      <c r="B226" s="5" t="s">
        <v>31</v>
      </c>
      <c r="C226" s="328" t="s">
        <v>302</v>
      </c>
      <c r="D226" s="345" t="s">
        <v>303</v>
      </c>
      <c r="E226" s="345" t="s">
        <v>304</v>
      </c>
      <c r="F226" s="154">
        <v>0</v>
      </c>
      <c r="G226" s="336" t="s">
        <v>305</v>
      </c>
      <c r="H226" s="337"/>
      <c r="I226" s="337"/>
      <c r="J226" s="350"/>
      <c r="K226" s="336">
        <v>0</v>
      </c>
      <c r="L226" s="337"/>
      <c r="M226" s="350"/>
      <c r="N226" s="345" t="s">
        <v>401</v>
      </c>
      <c r="O226" s="345" t="s">
        <v>402</v>
      </c>
      <c r="P226" s="345" t="s">
        <v>306</v>
      </c>
      <c r="Q226" s="345" t="s">
        <v>307</v>
      </c>
      <c r="R226" s="345" t="s">
        <v>308</v>
      </c>
      <c r="S226" s="330" t="s">
        <v>309</v>
      </c>
      <c r="T226" s="331"/>
      <c r="U226" s="331"/>
      <c r="V226" s="331"/>
      <c r="W226" s="331"/>
      <c r="X226" s="331"/>
      <c r="Y226" s="331"/>
      <c r="Z226" s="331"/>
      <c r="AA226" s="331"/>
      <c r="AB226" s="331"/>
      <c r="AC226" s="331"/>
      <c r="AD226" s="331"/>
      <c r="AE226" s="331"/>
      <c r="AF226" s="331"/>
      <c r="AG226" s="331"/>
      <c r="AH226" s="355"/>
      <c r="AI226" s="6"/>
    </row>
    <row r="227" spans="1:35" x14ac:dyDescent="0.25">
      <c r="A227" s="3"/>
      <c r="B227" s="5" t="s">
        <v>32</v>
      </c>
      <c r="C227" s="329"/>
      <c r="D227" s="346"/>
      <c r="E227" s="346"/>
      <c r="F227" s="198"/>
      <c r="G227" s="372"/>
      <c r="H227" s="373"/>
      <c r="I227" s="373"/>
      <c r="J227" s="374"/>
      <c r="K227" s="372"/>
      <c r="L227" s="373"/>
      <c r="M227" s="374"/>
      <c r="N227" s="346"/>
      <c r="O227" s="346"/>
      <c r="P227" s="346"/>
      <c r="Q227" s="346"/>
      <c r="R227" s="346"/>
      <c r="S227" s="333"/>
      <c r="T227" s="334"/>
      <c r="U227" s="334"/>
      <c r="V227" s="334"/>
      <c r="W227" s="334"/>
      <c r="X227" s="334"/>
      <c r="Y227" s="334"/>
      <c r="Z227" s="334"/>
      <c r="AA227" s="334"/>
      <c r="AB227" s="334"/>
      <c r="AC227" s="334"/>
      <c r="AD227" s="334"/>
      <c r="AE227" s="334"/>
      <c r="AF227" s="334"/>
      <c r="AG227" s="334"/>
      <c r="AH227" s="357"/>
      <c r="AI227" s="6"/>
    </row>
    <row r="228" spans="1:35" x14ac:dyDescent="0.25">
      <c r="A228" s="3"/>
      <c r="B228" s="5" t="s">
        <v>11</v>
      </c>
      <c r="C228" s="56">
        <v>1</v>
      </c>
      <c r="D228" s="57">
        <v>1</v>
      </c>
      <c r="E228" s="57">
        <v>1</v>
      </c>
      <c r="F228" s="57">
        <v>0</v>
      </c>
      <c r="G228" s="57">
        <v>1</v>
      </c>
      <c r="H228" s="57">
        <v>1</v>
      </c>
      <c r="I228" s="57">
        <v>1</v>
      </c>
      <c r="J228" s="57">
        <v>1</v>
      </c>
      <c r="K228" s="57">
        <v>0</v>
      </c>
      <c r="L228" s="57">
        <v>0</v>
      </c>
      <c r="M228" s="57">
        <v>0</v>
      </c>
      <c r="N228" s="57">
        <v>1</v>
      </c>
      <c r="O228" s="57">
        <v>1</v>
      </c>
      <c r="P228" s="57">
        <v>1</v>
      </c>
      <c r="Q228" s="57">
        <v>1</v>
      </c>
      <c r="R228" s="57">
        <v>1</v>
      </c>
      <c r="S228" s="57">
        <v>1</v>
      </c>
      <c r="T228" s="57">
        <v>1</v>
      </c>
      <c r="U228" s="57">
        <v>1</v>
      </c>
      <c r="V228" s="57">
        <v>1</v>
      </c>
      <c r="W228" s="57">
        <v>1</v>
      </c>
      <c r="X228" s="57">
        <v>1</v>
      </c>
      <c r="Y228" s="57">
        <v>1</v>
      </c>
      <c r="Z228" s="57">
        <v>1</v>
      </c>
      <c r="AA228" s="57">
        <v>1</v>
      </c>
      <c r="AB228" s="57">
        <v>1</v>
      </c>
      <c r="AC228" s="57">
        <v>1</v>
      </c>
      <c r="AD228" s="57">
        <v>1</v>
      </c>
      <c r="AE228" s="57">
        <v>1</v>
      </c>
      <c r="AF228" s="57">
        <v>1</v>
      </c>
      <c r="AG228" s="57">
        <v>1</v>
      </c>
      <c r="AH228" s="58">
        <v>1</v>
      </c>
      <c r="AI228" s="6"/>
    </row>
    <row r="229" spans="1:35" ht="15.75" thickBot="1" x14ac:dyDescent="0.3">
      <c r="A229" s="3"/>
      <c r="B229" s="5" t="s">
        <v>12</v>
      </c>
      <c r="C229" s="145">
        <v>1</v>
      </c>
      <c r="D229" s="88">
        <v>1</v>
      </c>
      <c r="E229" s="88">
        <v>1</v>
      </c>
      <c r="F229" s="161">
        <v>0</v>
      </c>
      <c r="G229" s="161">
        <v>1</v>
      </c>
      <c r="H229" s="161">
        <v>1</v>
      </c>
      <c r="I229" s="161">
        <v>1</v>
      </c>
      <c r="J229" s="161">
        <v>1</v>
      </c>
      <c r="K229" s="161">
        <v>0</v>
      </c>
      <c r="L229" s="161">
        <v>0</v>
      </c>
      <c r="M229" s="161">
        <v>0</v>
      </c>
      <c r="N229" s="88">
        <v>1</v>
      </c>
      <c r="O229" s="88">
        <v>1</v>
      </c>
      <c r="P229" s="88">
        <v>1</v>
      </c>
      <c r="Q229" s="88">
        <v>1</v>
      </c>
      <c r="R229" s="88">
        <v>1</v>
      </c>
      <c r="S229" s="88">
        <v>1</v>
      </c>
      <c r="T229" s="88">
        <v>1</v>
      </c>
      <c r="U229" s="88">
        <v>1</v>
      </c>
      <c r="V229" s="88">
        <v>1</v>
      </c>
      <c r="W229" s="88">
        <v>1</v>
      </c>
      <c r="X229" s="88">
        <v>1</v>
      </c>
      <c r="Y229" s="88">
        <v>1</v>
      </c>
      <c r="Z229" s="88">
        <v>1</v>
      </c>
      <c r="AA229" s="88">
        <v>1</v>
      </c>
      <c r="AB229" s="88">
        <v>1</v>
      </c>
      <c r="AC229" s="88">
        <v>1</v>
      </c>
      <c r="AD229" s="88">
        <v>1</v>
      </c>
      <c r="AE229" s="88">
        <v>1</v>
      </c>
      <c r="AF229" s="88">
        <v>1</v>
      </c>
      <c r="AG229" s="88">
        <v>1</v>
      </c>
      <c r="AH229" s="89">
        <v>1</v>
      </c>
      <c r="AI229" s="6"/>
    </row>
    <row r="230" spans="1:35" x14ac:dyDescent="0.25">
      <c r="A230" s="3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6"/>
    </row>
    <row r="231" spans="1:35" ht="15.75" thickBot="1" x14ac:dyDescent="0.3">
      <c r="A231" s="3"/>
      <c r="B231" s="5"/>
      <c r="C231" s="7">
        <v>32</v>
      </c>
      <c r="D231" s="7">
        <v>33</v>
      </c>
      <c r="E231" s="7">
        <v>34</v>
      </c>
      <c r="F231" s="7">
        <v>35</v>
      </c>
      <c r="G231" s="7">
        <v>36</v>
      </c>
      <c r="H231" s="7">
        <v>37</v>
      </c>
      <c r="I231" s="7">
        <v>38</v>
      </c>
      <c r="J231" s="7">
        <v>39</v>
      </c>
      <c r="K231" s="7">
        <v>40</v>
      </c>
      <c r="L231" s="7">
        <v>41</v>
      </c>
      <c r="M231" s="7">
        <v>42</v>
      </c>
      <c r="N231" s="7">
        <v>43</v>
      </c>
      <c r="O231" s="7">
        <v>44</v>
      </c>
      <c r="P231" s="7">
        <v>45</v>
      </c>
      <c r="Q231" s="7">
        <v>46</v>
      </c>
      <c r="R231" s="7">
        <v>47</v>
      </c>
      <c r="S231" s="7">
        <v>48</v>
      </c>
      <c r="T231" s="7">
        <v>49</v>
      </c>
      <c r="U231" s="7">
        <v>50</v>
      </c>
      <c r="V231" s="7">
        <v>51</v>
      </c>
      <c r="W231" s="7">
        <v>52</v>
      </c>
      <c r="X231" s="7">
        <v>53</v>
      </c>
      <c r="Y231" s="7">
        <v>54</v>
      </c>
      <c r="Z231" s="7">
        <v>55</v>
      </c>
      <c r="AA231" s="7">
        <v>56</v>
      </c>
      <c r="AB231" s="7">
        <v>57</v>
      </c>
      <c r="AC231" s="7">
        <v>58</v>
      </c>
      <c r="AD231" s="7">
        <v>59</v>
      </c>
      <c r="AE231" s="7">
        <v>60</v>
      </c>
      <c r="AF231" s="7">
        <v>61</v>
      </c>
      <c r="AG231" s="7">
        <v>62</v>
      </c>
      <c r="AH231" s="7">
        <v>63</v>
      </c>
      <c r="AI231" s="6"/>
    </row>
    <row r="232" spans="1:35" ht="15.75" thickBot="1" x14ac:dyDescent="0.3">
      <c r="A232" s="3"/>
      <c r="B232" s="5"/>
      <c r="C232" s="147" t="s">
        <v>13</v>
      </c>
      <c r="D232" s="148" t="s">
        <v>14</v>
      </c>
      <c r="E232" s="148" t="s">
        <v>15</v>
      </c>
      <c r="F232" s="148" t="s">
        <v>16</v>
      </c>
      <c r="G232" s="148" t="s">
        <v>17</v>
      </c>
      <c r="H232" s="148" t="s">
        <v>18</v>
      </c>
      <c r="I232" s="148" t="s">
        <v>19</v>
      </c>
      <c r="J232" s="148" t="s">
        <v>20</v>
      </c>
      <c r="K232" s="148" t="s">
        <v>21</v>
      </c>
      <c r="L232" s="148" t="s">
        <v>22</v>
      </c>
      <c r="M232" s="148" t="s">
        <v>23</v>
      </c>
      <c r="N232" s="148" t="s">
        <v>24</v>
      </c>
      <c r="O232" s="148" t="s">
        <v>25</v>
      </c>
      <c r="P232" s="148" t="s">
        <v>26</v>
      </c>
      <c r="Q232" s="148" t="s">
        <v>27</v>
      </c>
      <c r="R232" s="362" t="s">
        <v>30</v>
      </c>
      <c r="S232" s="362"/>
      <c r="T232" s="362"/>
      <c r="U232" s="362"/>
      <c r="V232" s="362"/>
      <c r="W232" s="362"/>
      <c r="X232" s="362"/>
      <c r="Y232" s="362"/>
      <c r="Z232" s="362"/>
      <c r="AA232" s="362"/>
      <c r="AB232" s="362"/>
      <c r="AC232" s="362"/>
      <c r="AD232" s="362"/>
      <c r="AE232" s="362"/>
      <c r="AF232" s="362"/>
      <c r="AG232" s="67" t="s">
        <v>28</v>
      </c>
      <c r="AH232" s="149" t="s">
        <v>29</v>
      </c>
      <c r="AI232" s="6"/>
    </row>
    <row r="233" spans="1:35" ht="15.75" thickBot="1" x14ac:dyDescent="0.3">
      <c r="A233" s="3"/>
      <c r="B233" s="5"/>
      <c r="C233" s="150">
        <v>0</v>
      </c>
      <c r="D233" s="151">
        <v>0</v>
      </c>
      <c r="E233" s="151">
        <v>0</v>
      </c>
      <c r="F233" s="151">
        <v>0</v>
      </c>
      <c r="G233" s="151">
        <v>0</v>
      </c>
      <c r="H233" s="151">
        <v>0</v>
      </c>
      <c r="I233" s="151">
        <v>0</v>
      </c>
      <c r="J233" s="151">
        <v>0</v>
      </c>
      <c r="K233" s="151">
        <v>0</v>
      </c>
      <c r="L233" s="151">
        <v>0</v>
      </c>
      <c r="M233" s="151">
        <v>0</v>
      </c>
      <c r="N233" s="151">
        <v>1</v>
      </c>
      <c r="O233" s="151">
        <v>0</v>
      </c>
      <c r="P233" s="151">
        <v>0</v>
      </c>
      <c r="Q233" s="151">
        <v>0</v>
      </c>
      <c r="R233" s="151">
        <v>0</v>
      </c>
      <c r="S233" s="151">
        <v>0</v>
      </c>
      <c r="T233" s="151">
        <v>0</v>
      </c>
      <c r="U233" s="151">
        <v>0</v>
      </c>
      <c r="V233" s="151">
        <v>0</v>
      </c>
      <c r="W233" s="151">
        <v>0</v>
      </c>
      <c r="X233" s="151">
        <v>0</v>
      </c>
      <c r="Y233" s="151">
        <v>0</v>
      </c>
      <c r="Z233" s="151">
        <v>1</v>
      </c>
      <c r="AA233" s="151">
        <v>0</v>
      </c>
      <c r="AB233" s="151">
        <v>0</v>
      </c>
      <c r="AC233" s="151">
        <v>0</v>
      </c>
      <c r="AD233" s="151">
        <v>1</v>
      </c>
      <c r="AE233" s="151">
        <v>1</v>
      </c>
      <c r="AF233" s="151">
        <v>1</v>
      </c>
      <c r="AG233" s="151">
        <v>0</v>
      </c>
      <c r="AH233" s="152">
        <v>0</v>
      </c>
      <c r="AI233" s="6"/>
    </row>
    <row r="234" spans="1:35" x14ac:dyDescent="0.25">
      <c r="A234" s="3"/>
      <c r="B234" s="4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6"/>
    </row>
    <row r="235" spans="1:35" x14ac:dyDescent="0.25">
      <c r="A235" s="3"/>
      <c r="B235" s="8" t="s">
        <v>43</v>
      </c>
      <c r="C235" s="9"/>
      <c r="D235" s="9"/>
      <c r="E235" s="9"/>
      <c r="F235" s="363" t="s">
        <v>44</v>
      </c>
      <c r="G235" s="363"/>
      <c r="H235" s="363"/>
      <c r="I235" s="9"/>
      <c r="J235" s="364" t="s">
        <v>45</v>
      </c>
      <c r="K235" s="364"/>
      <c r="L235" s="364"/>
      <c r="M235" s="364"/>
      <c r="N235" s="9"/>
      <c r="O235" s="365" t="s">
        <v>46</v>
      </c>
      <c r="P235" s="365"/>
      <c r="Q235" s="365"/>
      <c r="R235" s="365"/>
      <c r="S235" s="9"/>
      <c r="T235" s="1" t="s">
        <v>49</v>
      </c>
      <c r="U235" s="10" t="s">
        <v>48</v>
      </c>
      <c r="V235" s="5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6"/>
    </row>
    <row r="236" spans="1:35" x14ac:dyDescent="0.25">
      <c r="A236" s="3"/>
      <c r="B236" s="317" t="str">
        <f>"0x"&amp;DEC2HEX(Sheet3!$I$4,8)</f>
        <v>0x00400320</v>
      </c>
      <c r="C236" s="317"/>
      <c r="D236" s="317"/>
      <c r="E236" s="12"/>
      <c r="F236" s="319" t="str">
        <f>"0x"&amp;BIN2HEX(CONCATENATE(C229,D229,E229,F229,G229,H229,I229,J229),2)&amp;BIN2HEX(CONCATENATE(K229,L229,M229,N229,O229,P229,Q229,R229),2)&amp;BIN2HEX(CONCATENATE(S229,T229,U229,V229,W229,X229,Y229,Z229),2)&amp;BIN2HEX(CONCATENATE(AA229,AB229,AC229,AD229,AE229,AF229,AG229,AH229),2)</f>
        <v>0xEF1FFFFF</v>
      </c>
      <c r="G236" s="319"/>
      <c r="H236" s="319"/>
      <c r="I236" s="12"/>
      <c r="J236" s="319" t="str">
        <f>"0b"&amp;C233&amp;D233&amp;E233&amp;F233&amp;G233&amp;H233&amp;I233&amp;J233&amp;K233&amp;L233&amp;M233&amp;N233&amp;O233&amp;P233&amp;Q233</f>
        <v>0b000000000001000</v>
      </c>
      <c r="K236" s="319"/>
      <c r="L236" s="319"/>
      <c r="M236" s="319"/>
      <c r="N236" s="12"/>
      <c r="O236" s="319" t="str">
        <f>"0b"&amp;DEC2BIN(((AF233+AE233*2+AD233*4+AC233*8+AB233*16+AA233*32+Z233*64+Y233*128+X233*256+W233*512+V233*1024+U233*2048+T233*4096+S233*2^13+R233*2^14)/512),6)&amp;DEC2BIN(MOD((AF233+AE233*2+AD233*4+AC233*8+AB233*16+AA233*32+Z233*64+Y233*128+X233*256+W233*512+V233*1024+U233*2048+T233*4096+S233*2^13+R233*2^14),512),9)</f>
        <v>0b000000001000111</v>
      </c>
      <c r="P236" s="319"/>
      <c r="Q236" s="319"/>
      <c r="R236" s="319"/>
      <c r="S236" s="12"/>
      <c r="T236" s="196">
        <v>0</v>
      </c>
      <c r="U236" s="196">
        <f>AH233</f>
        <v>0</v>
      </c>
      <c r="V236" s="5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6"/>
    </row>
    <row r="237" spans="1:35" x14ac:dyDescent="0.25">
      <c r="A237" s="3"/>
      <c r="B237" s="317"/>
      <c r="C237" s="317"/>
      <c r="D237" s="317"/>
      <c r="E237" s="15"/>
      <c r="F237" s="319"/>
      <c r="G237" s="319"/>
      <c r="H237" s="319"/>
      <c r="I237" s="15"/>
      <c r="J237" s="317"/>
      <c r="K237" s="317"/>
      <c r="L237" s="317"/>
      <c r="M237" s="317"/>
      <c r="N237" s="15"/>
      <c r="O237" s="317"/>
      <c r="P237" s="317"/>
      <c r="Q237" s="317"/>
      <c r="R237" s="317"/>
      <c r="S237" s="15"/>
      <c r="T237" s="196"/>
      <c r="U237" s="15"/>
      <c r="V237" s="5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6"/>
    </row>
    <row r="238" spans="1:35" x14ac:dyDescent="0.25">
      <c r="A238" s="3"/>
      <c r="B238" s="317"/>
      <c r="C238" s="317"/>
      <c r="D238" s="317"/>
      <c r="E238" s="15"/>
      <c r="F238" s="319"/>
      <c r="G238" s="319"/>
      <c r="H238" s="319"/>
      <c r="I238" s="15"/>
      <c r="J238" s="317"/>
      <c r="K238" s="317"/>
      <c r="L238" s="317"/>
      <c r="M238" s="317"/>
      <c r="N238" s="15"/>
      <c r="O238" s="317"/>
      <c r="P238" s="317"/>
      <c r="Q238" s="317"/>
      <c r="R238" s="317"/>
      <c r="S238" s="15"/>
      <c r="T238" s="196"/>
      <c r="U238" s="15"/>
      <c r="V238" s="5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6"/>
    </row>
    <row r="239" spans="1:35" x14ac:dyDescent="0.25">
      <c r="A239" s="3"/>
      <c r="B239" s="5"/>
      <c r="C239" s="5"/>
      <c r="D239" s="5"/>
      <c r="E239" s="5"/>
      <c r="F239" s="17"/>
      <c r="G239" s="17"/>
      <c r="H239" s="17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6"/>
    </row>
    <row r="240" spans="1:35" x14ac:dyDescent="0.25">
      <c r="A240" s="3"/>
      <c r="B240" s="5" t="s">
        <v>47</v>
      </c>
      <c r="C240" s="18"/>
      <c r="D240" s="18"/>
      <c r="E240" s="18"/>
      <c r="F240" s="5"/>
      <c r="G240" s="5"/>
      <c r="H240" s="5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6"/>
    </row>
    <row r="241" spans="1:35" x14ac:dyDescent="0.25">
      <c r="A241" s="3"/>
      <c r="B241" s="317" t="str">
        <f>"0x"&amp;DEC2HEX(Sheet3!$I$4,8)</f>
        <v>0x00400320</v>
      </c>
      <c r="C241" s="317"/>
      <c r="D241" s="317"/>
      <c r="E241" s="16"/>
      <c r="F241" s="322" t="str">
        <f>F236&amp;BIN2HEX(MID(J236,3,8),2)&amp;BIN2HEX(RIGHT(J236,7)&amp;MID(O236,3,1),2)&amp;BIN2HEX(MID(O236,4,8),2)&amp;BIN2HEX(RIGHT(O236,6)&amp;T236&amp;U236,2)</f>
        <v>0xEF1FFFFF0010011C</v>
      </c>
      <c r="G241" s="322"/>
      <c r="H241" s="322"/>
      <c r="I241" s="322"/>
      <c r="J241" s="5"/>
      <c r="K241" s="5"/>
      <c r="L241" s="5"/>
      <c r="M241" s="5"/>
      <c r="N241" s="5"/>
      <c r="O241" s="5"/>
      <c r="P241" s="16"/>
      <c r="Q241" s="16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5"/>
      <c r="AH241" s="5"/>
      <c r="AI241" s="6"/>
    </row>
    <row r="242" spans="1:35" x14ac:dyDescent="0.25">
      <c r="A242" s="3"/>
      <c r="B242" s="317"/>
      <c r="C242" s="317"/>
      <c r="D242" s="317"/>
      <c r="E242" s="5"/>
      <c r="F242" s="322"/>
      <c r="G242" s="322"/>
      <c r="H242" s="322"/>
      <c r="I242" s="322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6"/>
    </row>
    <row r="243" spans="1:35" x14ac:dyDescent="0.25">
      <c r="A243" s="3"/>
      <c r="B243" s="317"/>
      <c r="C243" s="317"/>
      <c r="D243" s="317"/>
      <c r="E243" s="5"/>
      <c r="F243" s="322"/>
      <c r="G243" s="322"/>
      <c r="H243" s="322"/>
      <c r="I243" s="322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6"/>
    </row>
    <row r="244" spans="1:35" x14ac:dyDescent="0.25">
      <c r="A244" s="20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2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3"/>
    </row>
    <row r="245" spans="1:35" x14ac:dyDescent="0.25">
      <c r="A245" s="24"/>
      <c r="B245" s="28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6"/>
    </row>
    <row r="246" spans="1:35" x14ac:dyDescent="0.25">
      <c r="A246" s="3"/>
      <c r="B246" s="4" t="s">
        <v>282</v>
      </c>
      <c r="C246" s="5"/>
      <c r="D246" s="5"/>
      <c r="E246" s="5"/>
      <c r="F246" s="5"/>
      <c r="G246" s="5"/>
      <c r="H246" s="5"/>
      <c r="I246" s="5" t="str">
        <f>"0x"&amp;BIN2HEX(CONCATENATE(C251,D251,E251,F251,G251,H251,I251,J251),2)&amp;BIN2HEX(CONCATENATE(K251,L251,M251,N251,O251,P251,Q251,R251),2)&amp;BIN2HEX(CONCATENATE(S251,T251,U251,V251,W251,X251,Y251,Z251),2)&amp;BIN2HEX(CONCATENATE(AA251,AB251,AC251,AD251,AE251,AF251,AG251,AH251),2)&amp;"_"&amp;BIN2HEX(CONCATENATE(C255,D255,E255,F255,G255,H255,I255,J255),2)&amp;BIN2HEX(CONCATENATE(K255,L255,M255,N255,O255,P255,Q255,R255),2)&amp;BIN2HEX(CONCATENATE(S255,T255,U255,V255,W255,X255,Y255,Z255),2)&amp;BIN2HEX(CONCATENATE(AA255,AB255,AC255,AD255,AE255,AF255,AG255,AH255),2)</f>
        <v>0xFFFFFFFF_00100120</v>
      </c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6"/>
    </row>
    <row r="247" spans="1:35" ht="15.75" thickBot="1" x14ac:dyDescent="0.3">
      <c r="A247" s="3"/>
      <c r="B247" s="5"/>
      <c r="C247" s="7">
        <v>0</v>
      </c>
      <c r="D247" s="7">
        <v>1</v>
      </c>
      <c r="E247" s="7">
        <v>2</v>
      </c>
      <c r="F247" s="7">
        <v>3</v>
      </c>
      <c r="G247" s="7">
        <v>4</v>
      </c>
      <c r="H247" s="7">
        <v>5</v>
      </c>
      <c r="I247" s="7">
        <v>6</v>
      </c>
      <c r="J247" s="7">
        <v>7</v>
      </c>
      <c r="K247" s="7">
        <v>8</v>
      </c>
      <c r="L247" s="7">
        <v>9</v>
      </c>
      <c r="M247" s="7">
        <v>10</v>
      </c>
      <c r="N247" s="7">
        <v>11</v>
      </c>
      <c r="O247" s="7">
        <v>12</v>
      </c>
      <c r="P247" s="7">
        <v>13</v>
      </c>
      <c r="Q247" s="7">
        <v>14</v>
      </c>
      <c r="R247" s="7">
        <v>15</v>
      </c>
      <c r="S247" s="7">
        <v>16</v>
      </c>
      <c r="T247" s="7">
        <v>17</v>
      </c>
      <c r="U247" s="7">
        <v>18</v>
      </c>
      <c r="V247" s="7">
        <v>19</v>
      </c>
      <c r="W247" s="7">
        <v>20</v>
      </c>
      <c r="X247" s="7">
        <v>21</v>
      </c>
      <c r="Y247" s="7">
        <v>22</v>
      </c>
      <c r="Z247" s="7">
        <v>23</v>
      </c>
      <c r="AA247" s="7">
        <v>24</v>
      </c>
      <c r="AB247" s="7">
        <v>25</v>
      </c>
      <c r="AC247" s="7">
        <v>26</v>
      </c>
      <c r="AD247" s="7">
        <v>27</v>
      </c>
      <c r="AE247" s="7">
        <v>28</v>
      </c>
      <c r="AF247" s="7">
        <v>29</v>
      </c>
      <c r="AG247" s="7">
        <v>30</v>
      </c>
      <c r="AH247" s="7">
        <v>31</v>
      </c>
      <c r="AI247" s="6"/>
    </row>
    <row r="248" spans="1:35" x14ac:dyDescent="0.25">
      <c r="A248" s="3"/>
      <c r="B248" s="5" t="s">
        <v>31</v>
      </c>
      <c r="C248" s="328" t="s">
        <v>296</v>
      </c>
      <c r="D248" s="345" t="s">
        <v>297</v>
      </c>
      <c r="E248" s="330" t="s">
        <v>298</v>
      </c>
      <c r="F248" s="331"/>
      <c r="G248" s="331"/>
      <c r="H248" s="331"/>
      <c r="I248" s="331"/>
      <c r="J248" s="331"/>
      <c r="K248" s="331"/>
      <c r="L248" s="331"/>
      <c r="M248" s="331"/>
      <c r="N248" s="331"/>
      <c r="O248" s="331"/>
      <c r="P248" s="331"/>
      <c r="Q248" s="331"/>
      <c r="R248" s="332"/>
      <c r="S248" s="330" t="s">
        <v>299</v>
      </c>
      <c r="T248" s="331"/>
      <c r="U248" s="331"/>
      <c r="V248" s="331"/>
      <c r="W248" s="331"/>
      <c r="X248" s="331"/>
      <c r="Y248" s="331"/>
      <c r="Z248" s="331"/>
      <c r="AA248" s="331"/>
      <c r="AB248" s="331"/>
      <c r="AC248" s="331"/>
      <c r="AD248" s="331"/>
      <c r="AE248" s="331"/>
      <c r="AF248" s="331"/>
      <c r="AG248" s="331"/>
      <c r="AH248" s="355"/>
      <c r="AI248" s="6"/>
    </row>
    <row r="249" spans="1:35" x14ac:dyDescent="0.25">
      <c r="A249" s="3"/>
      <c r="B249" s="5" t="s">
        <v>32</v>
      </c>
      <c r="C249" s="329"/>
      <c r="D249" s="346"/>
      <c r="E249" s="333"/>
      <c r="F249" s="334"/>
      <c r="G249" s="334"/>
      <c r="H249" s="334"/>
      <c r="I249" s="334"/>
      <c r="J249" s="334"/>
      <c r="K249" s="334"/>
      <c r="L249" s="334"/>
      <c r="M249" s="334"/>
      <c r="N249" s="334"/>
      <c r="O249" s="334"/>
      <c r="P249" s="334"/>
      <c r="Q249" s="334"/>
      <c r="R249" s="335"/>
      <c r="S249" s="333"/>
      <c r="T249" s="334"/>
      <c r="U249" s="334"/>
      <c r="V249" s="334"/>
      <c r="W249" s="334"/>
      <c r="X249" s="334"/>
      <c r="Y249" s="334"/>
      <c r="Z249" s="334"/>
      <c r="AA249" s="334"/>
      <c r="AB249" s="334"/>
      <c r="AC249" s="334"/>
      <c r="AD249" s="334"/>
      <c r="AE249" s="334"/>
      <c r="AF249" s="334"/>
      <c r="AG249" s="334"/>
      <c r="AH249" s="357"/>
      <c r="AI249" s="6"/>
    </row>
    <row r="250" spans="1:35" x14ac:dyDescent="0.25">
      <c r="A250" s="3"/>
      <c r="B250" s="5" t="s">
        <v>11</v>
      </c>
      <c r="C250" s="56">
        <v>1</v>
      </c>
      <c r="D250" s="57">
        <v>1</v>
      </c>
      <c r="E250" s="57">
        <v>1</v>
      </c>
      <c r="F250" s="57">
        <v>1</v>
      </c>
      <c r="G250" s="57">
        <v>1</v>
      </c>
      <c r="H250" s="57">
        <v>1</v>
      </c>
      <c r="I250" s="57">
        <v>1</v>
      </c>
      <c r="J250" s="57">
        <v>1</v>
      </c>
      <c r="K250" s="57">
        <v>1</v>
      </c>
      <c r="L250" s="57">
        <v>1</v>
      </c>
      <c r="M250" s="57">
        <v>1</v>
      </c>
      <c r="N250" s="57">
        <v>1</v>
      </c>
      <c r="O250" s="57">
        <v>1</v>
      </c>
      <c r="P250" s="57">
        <v>1</v>
      </c>
      <c r="Q250" s="57">
        <v>1</v>
      </c>
      <c r="R250" s="57">
        <v>1</v>
      </c>
      <c r="S250" s="57">
        <v>1</v>
      </c>
      <c r="T250" s="57">
        <v>1</v>
      </c>
      <c r="U250" s="57">
        <v>1</v>
      </c>
      <c r="V250" s="57">
        <v>1</v>
      </c>
      <c r="W250" s="57">
        <v>1</v>
      </c>
      <c r="X250" s="57">
        <v>1</v>
      </c>
      <c r="Y250" s="57">
        <v>1</v>
      </c>
      <c r="Z250" s="57">
        <v>1</v>
      </c>
      <c r="AA250" s="57">
        <v>1</v>
      </c>
      <c r="AB250" s="57">
        <v>1</v>
      </c>
      <c r="AC250" s="57">
        <v>1</v>
      </c>
      <c r="AD250" s="57">
        <v>1</v>
      </c>
      <c r="AE250" s="57">
        <v>1</v>
      </c>
      <c r="AF250" s="57">
        <v>1</v>
      </c>
      <c r="AG250" s="57">
        <v>1</v>
      </c>
      <c r="AH250" s="58">
        <v>1</v>
      </c>
      <c r="AI250" s="6"/>
    </row>
    <row r="251" spans="1:35" ht="15.75" thickBot="1" x14ac:dyDescent="0.3">
      <c r="A251" s="3"/>
      <c r="B251" s="5" t="s">
        <v>12</v>
      </c>
      <c r="C251" s="145">
        <v>1</v>
      </c>
      <c r="D251" s="88">
        <v>1</v>
      </c>
      <c r="E251" s="88">
        <v>1</v>
      </c>
      <c r="F251" s="88">
        <v>1</v>
      </c>
      <c r="G251" s="88">
        <v>1</v>
      </c>
      <c r="H251" s="88">
        <v>1</v>
      </c>
      <c r="I251" s="88">
        <v>1</v>
      </c>
      <c r="J251" s="88">
        <v>1</v>
      </c>
      <c r="K251" s="88">
        <v>1</v>
      </c>
      <c r="L251" s="88">
        <v>1</v>
      </c>
      <c r="M251" s="88">
        <v>1</v>
      </c>
      <c r="N251" s="88">
        <v>1</v>
      </c>
      <c r="O251" s="88">
        <v>1</v>
      </c>
      <c r="P251" s="88">
        <v>1</v>
      </c>
      <c r="Q251" s="88">
        <v>1</v>
      </c>
      <c r="R251" s="88">
        <v>1</v>
      </c>
      <c r="S251" s="88">
        <v>1</v>
      </c>
      <c r="T251" s="88">
        <v>1</v>
      </c>
      <c r="U251" s="88">
        <v>1</v>
      </c>
      <c r="V251" s="88">
        <v>1</v>
      </c>
      <c r="W251" s="88">
        <v>1</v>
      </c>
      <c r="X251" s="88">
        <v>1</v>
      </c>
      <c r="Y251" s="88">
        <v>1</v>
      </c>
      <c r="Z251" s="88">
        <v>1</v>
      </c>
      <c r="AA251" s="88">
        <v>1</v>
      </c>
      <c r="AB251" s="88">
        <v>1</v>
      </c>
      <c r="AC251" s="88">
        <v>1</v>
      </c>
      <c r="AD251" s="88">
        <v>1</v>
      </c>
      <c r="AE251" s="88">
        <v>1</v>
      </c>
      <c r="AF251" s="88">
        <v>1</v>
      </c>
      <c r="AG251" s="88">
        <v>1</v>
      </c>
      <c r="AH251" s="89">
        <v>1</v>
      </c>
      <c r="AI251" s="6"/>
    </row>
    <row r="252" spans="1:35" x14ac:dyDescent="0.25">
      <c r="A252" s="3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6"/>
    </row>
    <row r="253" spans="1:35" ht="15.75" thickBot="1" x14ac:dyDescent="0.3">
      <c r="A253" s="3"/>
      <c r="B253" s="5"/>
      <c r="C253" s="7">
        <v>32</v>
      </c>
      <c r="D253" s="7">
        <v>33</v>
      </c>
      <c r="E253" s="7">
        <v>34</v>
      </c>
      <c r="F253" s="7">
        <v>35</v>
      </c>
      <c r="G253" s="7">
        <v>36</v>
      </c>
      <c r="H253" s="7">
        <v>37</v>
      </c>
      <c r="I253" s="7">
        <v>38</v>
      </c>
      <c r="J253" s="7">
        <v>39</v>
      </c>
      <c r="K253" s="7">
        <v>40</v>
      </c>
      <c r="L253" s="7">
        <v>41</v>
      </c>
      <c r="M253" s="7">
        <v>42</v>
      </c>
      <c r="N253" s="7">
        <v>43</v>
      </c>
      <c r="O253" s="7">
        <v>44</v>
      </c>
      <c r="P253" s="7">
        <v>45</v>
      </c>
      <c r="Q253" s="7">
        <v>46</v>
      </c>
      <c r="R253" s="7">
        <v>47</v>
      </c>
      <c r="S253" s="7">
        <v>48</v>
      </c>
      <c r="T253" s="7">
        <v>49</v>
      </c>
      <c r="U253" s="7">
        <v>50</v>
      </c>
      <c r="V253" s="7">
        <v>51</v>
      </c>
      <c r="W253" s="7">
        <v>52</v>
      </c>
      <c r="X253" s="7">
        <v>53</v>
      </c>
      <c r="Y253" s="7">
        <v>54</v>
      </c>
      <c r="Z253" s="7">
        <v>55</v>
      </c>
      <c r="AA253" s="7">
        <v>56</v>
      </c>
      <c r="AB253" s="7">
        <v>57</v>
      </c>
      <c r="AC253" s="7">
        <v>58</v>
      </c>
      <c r="AD253" s="7">
        <v>59</v>
      </c>
      <c r="AE253" s="7">
        <v>60</v>
      </c>
      <c r="AF253" s="7">
        <v>61</v>
      </c>
      <c r="AG253" s="7">
        <v>62</v>
      </c>
      <c r="AH253" s="7">
        <v>63</v>
      </c>
      <c r="AI253" s="6"/>
    </row>
    <row r="254" spans="1:35" ht="15.75" thickBot="1" x14ac:dyDescent="0.3">
      <c r="A254" s="3"/>
      <c r="B254" s="5"/>
      <c r="C254" s="147" t="s">
        <v>13</v>
      </c>
      <c r="D254" s="148" t="s">
        <v>14</v>
      </c>
      <c r="E254" s="148" t="s">
        <v>15</v>
      </c>
      <c r="F254" s="148" t="s">
        <v>16</v>
      </c>
      <c r="G254" s="148" t="s">
        <v>17</v>
      </c>
      <c r="H254" s="148" t="s">
        <v>18</v>
      </c>
      <c r="I254" s="148" t="s">
        <v>19</v>
      </c>
      <c r="J254" s="148" t="s">
        <v>20</v>
      </c>
      <c r="K254" s="148" t="s">
        <v>21</v>
      </c>
      <c r="L254" s="148" t="s">
        <v>22</v>
      </c>
      <c r="M254" s="148" t="s">
        <v>23</v>
      </c>
      <c r="N254" s="148" t="s">
        <v>24</v>
      </c>
      <c r="O254" s="148" t="s">
        <v>25</v>
      </c>
      <c r="P254" s="148" t="s">
        <v>26</v>
      </c>
      <c r="Q254" s="148" t="s">
        <v>27</v>
      </c>
      <c r="R254" s="362" t="s">
        <v>30</v>
      </c>
      <c r="S254" s="362"/>
      <c r="T254" s="362"/>
      <c r="U254" s="362"/>
      <c r="V254" s="362"/>
      <c r="W254" s="362"/>
      <c r="X254" s="362"/>
      <c r="Y254" s="362"/>
      <c r="Z254" s="362"/>
      <c r="AA254" s="362"/>
      <c r="AB254" s="362"/>
      <c r="AC254" s="362"/>
      <c r="AD254" s="362"/>
      <c r="AE254" s="362"/>
      <c r="AF254" s="362"/>
      <c r="AG254" s="67" t="s">
        <v>28</v>
      </c>
      <c r="AH254" s="149" t="s">
        <v>29</v>
      </c>
      <c r="AI254" s="6"/>
    </row>
    <row r="255" spans="1:35" ht="15.75" thickBot="1" x14ac:dyDescent="0.3">
      <c r="A255" s="3"/>
      <c r="B255" s="5"/>
      <c r="C255" s="150">
        <v>0</v>
      </c>
      <c r="D255" s="151">
        <v>0</v>
      </c>
      <c r="E255" s="151">
        <v>0</v>
      </c>
      <c r="F255" s="151">
        <v>0</v>
      </c>
      <c r="G255" s="151">
        <v>0</v>
      </c>
      <c r="H255" s="151">
        <v>0</v>
      </c>
      <c r="I255" s="151">
        <v>0</v>
      </c>
      <c r="J255" s="151">
        <v>0</v>
      </c>
      <c r="K255" s="151">
        <v>0</v>
      </c>
      <c r="L255" s="151">
        <v>0</v>
      </c>
      <c r="M255" s="151">
        <v>0</v>
      </c>
      <c r="N255" s="151">
        <v>1</v>
      </c>
      <c r="O255" s="151">
        <v>0</v>
      </c>
      <c r="P255" s="151">
        <v>0</v>
      </c>
      <c r="Q255" s="151">
        <v>0</v>
      </c>
      <c r="R255" s="151">
        <v>0</v>
      </c>
      <c r="S255" s="151">
        <v>0</v>
      </c>
      <c r="T255" s="151">
        <v>0</v>
      </c>
      <c r="U255" s="151">
        <v>0</v>
      </c>
      <c r="V255" s="151">
        <v>0</v>
      </c>
      <c r="W255" s="151">
        <v>0</v>
      </c>
      <c r="X255" s="151">
        <v>0</v>
      </c>
      <c r="Y255" s="151">
        <v>0</v>
      </c>
      <c r="Z255" s="151">
        <v>1</v>
      </c>
      <c r="AA255" s="151">
        <v>0</v>
      </c>
      <c r="AB255" s="151">
        <v>0</v>
      </c>
      <c r="AC255" s="151">
        <v>1</v>
      </c>
      <c r="AD255" s="151">
        <v>0</v>
      </c>
      <c r="AE255" s="151">
        <v>0</v>
      </c>
      <c r="AF255" s="151">
        <v>0</v>
      </c>
      <c r="AG255" s="151">
        <v>0</v>
      </c>
      <c r="AH255" s="152">
        <v>0</v>
      </c>
      <c r="AI255" s="6"/>
    </row>
    <row r="256" spans="1:35" x14ac:dyDescent="0.25">
      <c r="A256" s="3"/>
      <c r="B256" s="4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6"/>
    </row>
    <row r="257" spans="1:35" x14ac:dyDescent="0.25">
      <c r="A257" s="3"/>
      <c r="B257" s="8" t="s">
        <v>43</v>
      </c>
      <c r="C257" s="9"/>
      <c r="D257" s="9"/>
      <c r="E257" s="9"/>
      <c r="F257" s="363" t="s">
        <v>44</v>
      </c>
      <c r="G257" s="363"/>
      <c r="H257" s="363"/>
      <c r="I257" s="9"/>
      <c r="J257" s="364" t="s">
        <v>45</v>
      </c>
      <c r="K257" s="364"/>
      <c r="L257" s="364"/>
      <c r="M257" s="364"/>
      <c r="N257" s="9"/>
      <c r="O257" s="365" t="s">
        <v>46</v>
      </c>
      <c r="P257" s="365"/>
      <c r="Q257" s="365"/>
      <c r="R257" s="365"/>
      <c r="S257" s="9"/>
      <c r="T257" s="1" t="s">
        <v>49</v>
      </c>
      <c r="U257" s="10" t="s">
        <v>48</v>
      </c>
      <c r="V257" s="5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6"/>
    </row>
    <row r="258" spans="1:35" x14ac:dyDescent="0.25">
      <c r="A258" s="3"/>
      <c r="B258" s="317" t="str">
        <f>"0x"&amp;DEC2HEX(Sheet3!$I$4,8)</f>
        <v>0x00400320</v>
      </c>
      <c r="C258" s="317"/>
      <c r="D258" s="317"/>
      <c r="E258" s="12"/>
      <c r="F258" s="319" t="str">
        <f>"0x"&amp;BIN2HEX(CONCATENATE(C251,D251,E251,F251,G251,H251,I251,J251),2)&amp;BIN2HEX(CONCATENATE(K251,L251,M251,N251,O251,P251,Q251,R251),2)&amp;BIN2HEX(CONCATENATE(S251,T251,U251,V251,W251,X251,Y251,Z251),2)&amp;BIN2HEX(CONCATENATE(AA251,AB251,AC251,AD251,AE251,AF251,AG251,AH251),2)</f>
        <v>0xFFFFFFFF</v>
      </c>
      <c r="G258" s="319"/>
      <c r="H258" s="319"/>
      <c r="I258" s="12"/>
      <c r="J258" s="319" t="str">
        <f>"0b"&amp;C255&amp;D255&amp;E255&amp;F255&amp;G255&amp;H255&amp;I255&amp;J255&amp;K255&amp;L255&amp;M255&amp;N255&amp;O255&amp;P255&amp;Q255</f>
        <v>0b000000000001000</v>
      </c>
      <c r="K258" s="319"/>
      <c r="L258" s="319"/>
      <c r="M258" s="319"/>
      <c r="N258" s="12"/>
      <c r="O258" s="319" t="str">
        <f>"0b"&amp;DEC2BIN(((AF255+AE255*2+AD255*4+AC255*8+AB255*16+AA255*32+Z255*64+Y255*128+X255*256+W255*512+V255*1024+U255*2048+T255*4096+S255*2^13+R255*2^14)/512),6)&amp;DEC2BIN(MOD((AF255+AE255*2+AD255*4+AC255*8+AB255*16+AA255*32+Z255*64+Y255*128+X255*256+W255*512+V255*1024+U255*2048+T255*4096+S255*2^13+R255*2^14),512),9)</f>
        <v>0b000000001001000</v>
      </c>
      <c r="P258" s="319"/>
      <c r="Q258" s="319"/>
      <c r="R258" s="319"/>
      <c r="S258" s="12"/>
      <c r="T258" s="196">
        <v>0</v>
      </c>
      <c r="U258" s="196">
        <f>AH255</f>
        <v>0</v>
      </c>
      <c r="V258" s="5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6"/>
    </row>
    <row r="259" spans="1:35" x14ac:dyDescent="0.25">
      <c r="A259" s="3"/>
      <c r="B259" s="317"/>
      <c r="C259" s="317"/>
      <c r="D259" s="317"/>
      <c r="E259" s="15"/>
      <c r="F259" s="319"/>
      <c r="G259" s="319"/>
      <c r="H259" s="319"/>
      <c r="I259" s="15"/>
      <c r="J259" s="317"/>
      <c r="K259" s="317"/>
      <c r="L259" s="317"/>
      <c r="M259" s="317"/>
      <c r="N259" s="15"/>
      <c r="O259" s="317"/>
      <c r="P259" s="317"/>
      <c r="Q259" s="317"/>
      <c r="R259" s="317"/>
      <c r="S259" s="15"/>
      <c r="T259" s="196"/>
      <c r="U259" s="15"/>
      <c r="V259" s="5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6"/>
    </row>
    <row r="260" spans="1:35" x14ac:dyDescent="0.25">
      <c r="A260" s="3"/>
      <c r="B260" s="317"/>
      <c r="C260" s="317"/>
      <c r="D260" s="317"/>
      <c r="E260" s="15"/>
      <c r="F260" s="319"/>
      <c r="G260" s="319"/>
      <c r="H260" s="319"/>
      <c r="I260" s="15"/>
      <c r="J260" s="317"/>
      <c r="K260" s="317"/>
      <c r="L260" s="317"/>
      <c r="M260" s="317"/>
      <c r="N260" s="15"/>
      <c r="O260" s="317"/>
      <c r="P260" s="317"/>
      <c r="Q260" s="317"/>
      <c r="R260" s="317"/>
      <c r="S260" s="15"/>
      <c r="T260" s="196"/>
      <c r="U260" s="15"/>
      <c r="V260" s="5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6"/>
    </row>
    <row r="261" spans="1:35" x14ac:dyDescent="0.25">
      <c r="A261" s="3"/>
      <c r="B261" s="5"/>
      <c r="C261" s="5"/>
      <c r="D261" s="5"/>
      <c r="E261" s="5"/>
      <c r="F261" s="17"/>
      <c r="G261" s="17"/>
      <c r="H261" s="17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6"/>
    </row>
    <row r="262" spans="1:35" x14ac:dyDescent="0.25">
      <c r="A262" s="3"/>
      <c r="B262" s="5" t="s">
        <v>47</v>
      </c>
      <c r="C262" s="18"/>
      <c r="D262" s="18"/>
      <c r="E262" s="18"/>
      <c r="F262" s="5"/>
      <c r="G262" s="5"/>
      <c r="H262" s="5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6"/>
    </row>
    <row r="263" spans="1:35" x14ac:dyDescent="0.25">
      <c r="A263" s="3"/>
      <c r="B263" s="317" t="str">
        <f>"0x"&amp;DEC2HEX(Sheet3!$I$4,8)</f>
        <v>0x00400320</v>
      </c>
      <c r="C263" s="317"/>
      <c r="D263" s="317"/>
      <c r="E263" s="16"/>
      <c r="F263" s="322" t="str">
        <f>F258&amp;BIN2HEX(MID(J258,3,8),2)&amp;BIN2HEX(RIGHT(J258,7)&amp;MID(O258,3,1),2)&amp;BIN2HEX(MID(O258,4,8),2)&amp;BIN2HEX(RIGHT(O258,6)&amp;T258&amp;U258,2)</f>
        <v>0xFFFFFFFF00100120</v>
      </c>
      <c r="G263" s="322"/>
      <c r="H263" s="322"/>
      <c r="I263" s="322"/>
      <c r="J263" s="5"/>
      <c r="K263" s="5"/>
      <c r="L263" s="5"/>
      <c r="M263" s="5"/>
      <c r="N263" s="5"/>
      <c r="O263" s="5"/>
      <c r="P263" s="16"/>
      <c r="Q263" s="16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5"/>
      <c r="AH263" s="5"/>
      <c r="AI263" s="6"/>
    </row>
    <row r="264" spans="1:35" x14ac:dyDescent="0.25">
      <c r="A264" s="3"/>
      <c r="B264" s="317"/>
      <c r="C264" s="317"/>
      <c r="D264" s="317"/>
      <c r="E264" s="5"/>
      <c r="F264" s="322"/>
      <c r="G264" s="322"/>
      <c r="H264" s="322"/>
      <c r="I264" s="322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6"/>
    </row>
    <row r="265" spans="1:35" x14ac:dyDescent="0.25">
      <c r="A265" s="3"/>
      <c r="B265" s="317"/>
      <c r="C265" s="317"/>
      <c r="D265" s="317"/>
      <c r="E265" s="5"/>
      <c r="F265" s="322"/>
      <c r="G265" s="322"/>
      <c r="H265" s="322"/>
      <c r="I265" s="322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6"/>
    </row>
    <row r="266" spans="1:35" x14ac:dyDescent="0.25">
      <c r="A266" s="20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2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3"/>
    </row>
    <row r="267" spans="1:35" x14ac:dyDescent="0.25">
      <c r="A267" s="24"/>
      <c r="B267" s="28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6"/>
    </row>
    <row r="268" spans="1:35" x14ac:dyDescent="0.25">
      <c r="A268" s="3"/>
      <c r="B268" s="4" t="s">
        <v>290</v>
      </c>
      <c r="C268" s="5"/>
      <c r="D268" s="5"/>
      <c r="E268" s="5"/>
      <c r="F268" s="5"/>
      <c r="G268" s="5"/>
      <c r="H268" s="5"/>
      <c r="I268" s="5" t="str">
        <f>"0x"&amp;BIN2HEX(CONCATENATE(C273,D273,E273,F273,G273,H273,I273,J273),2)&amp;BIN2HEX(CONCATENATE(K273,L273,M273,N273,O273,P273,Q273,R273),2)&amp;BIN2HEX(CONCATENATE(S273,T273,U273,V273,W273,X273,Y273,Z273),2)&amp;BIN2HEX(CONCATENATE(AA273,AB273,AC273,AD273,AE273,AF273,AG273,AH273),2)&amp;"_"&amp;BIN2HEX(CONCATENATE(C277,D277,E277,F277,G277,H277,I277,J277),2)&amp;BIN2HEX(CONCATENATE(K277,L277,M277,N277,O277,P277,Q277,R277),2)&amp;BIN2HEX(CONCATENATE(S277,T277,U277,V277,W277,X277,Y277,Z277),2)&amp;BIN2HEX(CONCATENATE(AA277,AB277,AC277,AD277,AE277,AF277,AG277,AH277),2)</f>
        <v>0x0000FFFF_00100124</v>
      </c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6"/>
    </row>
    <row r="269" spans="1:35" ht="15.75" thickBot="1" x14ac:dyDescent="0.3">
      <c r="A269" s="3"/>
      <c r="B269" s="5"/>
      <c r="C269" s="7">
        <v>0</v>
      </c>
      <c r="D269" s="7">
        <v>1</v>
      </c>
      <c r="E269" s="7">
        <v>2</v>
      </c>
      <c r="F269" s="7">
        <v>3</v>
      </c>
      <c r="G269" s="7">
        <v>4</v>
      </c>
      <c r="H269" s="7">
        <v>5</v>
      </c>
      <c r="I269" s="7">
        <v>6</v>
      </c>
      <c r="J269" s="7">
        <v>7</v>
      </c>
      <c r="K269" s="7">
        <v>8</v>
      </c>
      <c r="L269" s="7">
        <v>9</v>
      </c>
      <c r="M269" s="7">
        <v>10</v>
      </c>
      <c r="N269" s="7">
        <v>11</v>
      </c>
      <c r="O269" s="7">
        <v>12</v>
      </c>
      <c r="P269" s="7">
        <v>13</v>
      </c>
      <c r="Q269" s="7">
        <v>14</v>
      </c>
      <c r="R269" s="7">
        <v>15</v>
      </c>
      <c r="S269" s="7">
        <v>16</v>
      </c>
      <c r="T269" s="7">
        <v>17</v>
      </c>
      <c r="U269" s="7">
        <v>18</v>
      </c>
      <c r="V269" s="7">
        <v>19</v>
      </c>
      <c r="W269" s="7">
        <v>20</v>
      </c>
      <c r="X269" s="7">
        <v>21</v>
      </c>
      <c r="Y269" s="7">
        <v>22</v>
      </c>
      <c r="Z269" s="7">
        <v>23</v>
      </c>
      <c r="AA269" s="7">
        <v>24</v>
      </c>
      <c r="AB269" s="7">
        <v>25</v>
      </c>
      <c r="AC269" s="7">
        <v>26</v>
      </c>
      <c r="AD269" s="7">
        <v>27</v>
      </c>
      <c r="AE269" s="7">
        <v>28</v>
      </c>
      <c r="AF269" s="7">
        <v>29</v>
      </c>
      <c r="AG269" s="7">
        <v>30</v>
      </c>
      <c r="AH269" s="7">
        <v>31</v>
      </c>
      <c r="AI269" s="6"/>
    </row>
    <row r="270" spans="1:35" x14ac:dyDescent="0.25">
      <c r="A270" s="3"/>
      <c r="B270" s="5" t="s">
        <v>31</v>
      </c>
      <c r="C270" s="349">
        <v>0</v>
      </c>
      <c r="D270" s="337"/>
      <c r="E270" s="337"/>
      <c r="F270" s="337"/>
      <c r="G270" s="337"/>
      <c r="H270" s="337"/>
      <c r="I270" s="337"/>
      <c r="J270" s="337"/>
      <c r="K270" s="337"/>
      <c r="L270" s="337"/>
      <c r="M270" s="337"/>
      <c r="N270" s="337"/>
      <c r="O270" s="337"/>
      <c r="P270" s="337"/>
      <c r="Q270" s="337"/>
      <c r="R270" s="350"/>
      <c r="S270" s="330" t="s">
        <v>300</v>
      </c>
      <c r="T270" s="331"/>
      <c r="U270" s="331"/>
      <c r="V270" s="331"/>
      <c r="W270" s="331"/>
      <c r="X270" s="331"/>
      <c r="Y270" s="331"/>
      <c r="Z270" s="331"/>
      <c r="AA270" s="331"/>
      <c r="AB270" s="331"/>
      <c r="AC270" s="331"/>
      <c r="AD270" s="331"/>
      <c r="AE270" s="331"/>
      <c r="AF270" s="331"/>
      <c r="AG270" s="331"/>
      <c r="AH270" s="355"/>
      <c r="AI270" s="6"/>
    </row>
    <row r="271" spans="1:35" x14ac:dyDescent="0.25">
      <c r="A271" s="3"/>
      <c r="B271" s="5" t="s">
        <v>32</v>
      </c>
      <c r="C271" s="375"/>
      <c r="D271" s="373"/>
      <c r="E271" s="373"/>
      <c r="F271" s="373"/>
      <c r="G271" s="373"/>
      <c r="H271" s="373"/>
      <c r="I271" s="373"/>
      <c r="J271" s="373"/>
      <c r="K271" s="373"/>
      <c r="L271" s="373"/>
      <c r="M271" s="373"/>
      <c r="N271" s="373"/>
      <c r="O271" s="373"/>
      <c r="P271" s="373"/>
      <c r="Q271" s="373"/>
      <c r="R271" s="374"/>
      <c r="S271" s="333"/>
      <c r="T271" s="334"/>
      <c r="U271" s="334"/>
      <c r="V271" s="334"/>
      <c r="W271" s="334"/>
      <c r="X271" s="334"/>
      <c r="Y271" s="334"/>
      <c r="Z271" s="334"/>
      <c r="AA271" s="334"/>
      <c r="AB271" s="334"/>
      <c r="AC271" s="334"/>
      <c r="AD271" s="334"/>
      <c r="AE271" s="334"/>
      <c r="AF271" s="334"/>
      <c r="AG271" s="334"/>
      <c r="AH271" s="357"/>
      <c r="AI271" s="6"/>
    </row>
    <row r="272" spans="1:35" x14ac:dyDescent="0.25">
      <c r="A272" s="3"/>
      <c r="B272" s="5" t="s">
        <v>11</v>
      </c>
      <c r="C272" s="56">
        <v>0</v>
      </c>
      <c r="D272" s="57">
        <v>0</v>
      </c>
      <c r="E272" s="57">
        <v>0</v>
      </c>
      <c r="F272" s="57">
        <v>0</v>
      </c>
      <c r="G272" s="57">
        <v>0</v>
      </c>
      <c r="H272" s="57">
        <v>0</v>
      </c>
      <c r="I272" s="57">
        <v>0</v>
      </c>
      <c r="J272" s="57">
        <v>0</v>
      </c>
      <c r="K272" s="57">
        <v>0</v>
      </c>
      <c r="L272" s="57">
        <v>0</v>
      </c>
      <c r="M272" s="57">
        <v>0</v>
      </c>
      <c r="N272" s="57">
        <v>0</v>
      </c>
      <c r="O272" s="57">
        <v>0</v>
      </c>
      <c r="P272" s="57">
        <v>0</v>
      </c>
      <c r="Q272" s="57">
        <v>0</v>
      </c>
      <c r="R272" s="57">
        <v>0</v>
      </c>
      <c r="S272" s="57">
        <v>1</v>
      </c>
      <c r="T272" s="57">
        <v>1</v>
      </c>
      <c r="U272" s="57">
        <v>1</v>
      </c>
      <c r="V272" s="57">
        <v>1</v>
      </c>
      <c r="W272" s="57">
        <v>1</v>
      </c>
      <c r="X272" s="57">
        <v>1</v>
      </c>
      <c r="Y272" s="57">
        <v>1</v>
      </c>
      <c r="Z272" s="57">
        <v>1</v>
      </c>
      <c r="AA272" s="57">
        <v>1</v>
      </c>
      <c r="AB272" s="57">
        <v>1</v>
      </c>
      <c r="AC272" s="57">
        <v>1</v>
      </c>
      <c r="AD272" s="57">
        <v>1</v>
      </c>
      <c r="AE272" s="57">
        <v>1</v>
      </c>
      <c r="AF272" s="57">
        <v>1</v>
      </c>
      <c r="AG272" s="57">
        <v>1</v>
      </c>
      <c r="AH272" s="58">
        <v>1</v>
      </c>
      <c r="AI272" s="6"/>
    </row>
    <row r="273" spans="1:35" ht="15.75" thickBot="1" x14ac:dyDescent="0.3">
      <c r="A273" s="3"/>
      <c r="B273" s="5" t="s">
        <v>12</v>
      </c>
      <c r="C273" s="197">
        <v>0</v>
      </c>
      <c r="D273" s="161">
        <v>0</v>
      </c>
      <c r="E273" s="161">
        <v>0</v>
      </c>
      <c r="F273" s="161">
        <v>0</v>
      </c>
      <c r="G273" s="161">
        <v>0</v>
      </c>
      <c r="H273" s="161">
        <v>0</v>
      </c>
      <c r="I273" s="161">
        <v>0</v>
      </c>
      <c r="J273" s="161">
        <v>0</v>
      </c>
      <c r="K273" s="161">
        <v>0</v>
      </c>
      <c r="L273" s="161">
        <v>0</v>
      </c>
      <c r="M273" s="161">
        <v>0</v>
      </c>
      <c r="N273" s="161">
        <v>0</v>
      </c>
      <c r="O273" s="161">
        <v>0</v>
      </c>
      <c r="P273" s="161">
        <v>0</v>
      </c>
      <c r="Q273" s="161">
        <v>0</v>
      </c>
      <c r="R273" s="161">
        <v>0</v>
      </c>
      <c r="S273" s="88">
        <v>1</v>
      </c>
      <c r="T273" s="88">
        <v>1</v>
      </c>
      <c r="U273" s="88">
        <v>1</v>
      </c>
      <c r="V273" s="88">
        <v>1</v>
      </c>
      <c r="W273" s="88">
        <v>1</v>
      </c>
      <c r="X273" s="88">
        <v>1</v>
      </c>
      <c r="Y273" s="88">
        <v>1</v>
      </c>
      <c r="Z273" s="88">
        <v>1</v>
      </c>
      <c r="AA273" s="88">
        <v>1</v>
      </c>
      <c r="AB273" s="88">
        <v>1</v>
      </c>
      <c r="AC273" s="88">
        <v>1</v>
      </c>
      <c r="AD273" s="88">
        <v>1</v>
      </c>
      <c r="AE273" s="88">
        <v>1</v>
      </c>
      <c r="AF273" s="88">
        <v>1</v>
      </c>
      <c r="AG273" s="88">
        <v>1</v>
      </c>
      <c r="AH273" s="89">
        <v>1</v>
      </c>
      <c r="AI273" s="6"/>
    </row>
    <row r="274" spans="1:35" x14ac:dyDescent="0.25">
      <c r="A274" s="3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6"/>
    </row>
    <row r="275" spans="1:35" ht="15.75" thickBot="1" x14ac:dyDescent="0.3">
      <c r="A275" s="3"/>
      <c r="B275" s="5"/>
      <c r="C275" s="7">
        <v>32</v>
      </c>
      <c r="D275" s="7">
        <v>33</v>
      </c>
      <c r="E275" s="7">
        <v>34</v>
      </c>
      <c r="F275" s="7">
        <v>35</v>
      </c>
      <c r="G275" s="7">
        <v>36</v>
      </c>
      <c r="H275" s="7">
        <v>37</v>
      </c>
      <c r="I275" s="7">
        <v>38</v>
      </c>
      <c r="J275" s="7">
        <v>39</v>
      </c>
      <c r="K275" s="7">
        <v>40</v>
      </c>
      <c r="L275" s="7">
        <v>41</v>
      </c>
      <c r="M275" s="7">
        <v>42</v>
      </c>
      <c r="N275" s="7">
        <v>43</v>
      </c>
      <c r="O275" s="7">
        <v>44</v>
      </c>
      <c r="P275" s="7">
        <v>45</v>
      </c>
      <c r="Q275" s="7">
        <v>46</v>
      </c>
      <c r="R275" s="7">
        <v>47</v>
      </c>
      <c r="S275" s="7">
        <v>48</v>
      </c>
      <c r="T275" s="7">
        <v>49</v>
      </c>
      <c r="U275" s="7">
        <v>50</v>
      </c>
      <c r="V275" s="7">
        <v>51</v>
      </c>
      <c r="W275" s="7">
        <v>52</v>
      </c>
      <c r="X275" s="7">
        <v>53</v>
      </c>
      <c r="Y275" s="7">
        <v>54</v>
      </c>
      <c r="Z275" s="7">
        <v>55</v>
      </c>
      <c r="AA275" s="7">
        <v>56</v>
      </c>
      <c r="AB275" s="7">
        <v>57</v>
      </c>
      <c r="AC275" s="7">
        <v>58</v>
      </c>
      <c r="AD275" s="7">
        <v>59</v>
      </c>
      <c r="AE275" s="7">
        <v>60</v>
      </c>
      <c r="AF275" s="7">
        <v>61</v>
      </c>
      <c r="AG275" s="7">
        <v>62</v>
      </c>
      <c r="AH275" s="7">
        <v>63</v>
      </c>
      <c r="AI275" s="6"/>
    </row>
    <row r="276" spans="1:35" ht="15.75" thickBot="1" x14ac:dyDescent="0.3">
      <c r="A276" s="3"/>
      <c r="B276" s="5"/>
      <c r="C276" s="147" t="s">
        <v>13</v>
      </c>
      <c r="D276" s="148" t="s">
        <v>14</v>
      </c>
      <c r="E276" s="148" t="s">
        <v>15</v>
      </c>
      <c r="F276" s="148" t="s">
        <v>16</v>
      </c>
      <c r="G276" s="148" t="s">
        <v>17</v>
      </c>
      <c r="H276" s="148" t="s">
        <v>18</v>
      </c>
      <c r="I276" s="148" t="s">
        <v>19</v>
      </c>
      <c r="J276" s="148" t="s">
        <v>20</v>
      </c>
      <c r="K276" s="148" t="s">
        <v>21</v>
      </c>
      <c r="L276" s="148" t="s">
        <v>22</v>
      </c>
      <c r="M276" s="148" t="s">
        <v>23</v>
      </c>
      <c r="N276" s="148" t="s">
        <v>24</v>
      </c>
      <c r="O276" s="148" t="s">
        <v>25</v>
      </c>
      <c r="P276" s="148" t="s">
        <v>26</v>
      </c>
      <c r="Q276" s="148" t="s">
        <v>27</v>
      </c>
      <c r="R276" s="362" t="s">
        <v>30</v>
      </c>
      <c r="S276" s="362"/>
      <c r="T276" s="362"/>
      <c r="U276" s="362"/>
      <c r="V276" s="362"/>
      <c r="W276" s="362"/>
      <c r="X276" s="362"/>
      <c r="Y276" s="362"/>
      <c r="Z276" s="362"/>
      <c r="AA276" s="362"/>
      <c r="AB276" s="362"/>
      <c r="AC276" s="362"/>
      <c r="AD276" s="362"/>
      <c r="AE276" s="362"/>
      <c r="AF276" s="362"/>
      <c r="AG276" s="67" t="s">
        <v>28</v>
      </c>
      <c r="AH276" s="149" t="s">
        <v>29</v>
      </c>
      <c r="AI276" s="6"/>
    </row>
    <row r="277" spans="1:35" ht="15.75" thickBot="1" x14ac:dyDescent="0.3">
      <c r="A277" s="3"/>
      <c r="B277" s="5"/>
      <c r="C277" s="150">
        <v>0</v>
      </c>
      <c r="D277" s="151">
        <v>0</v>
      </c>
      <c r="E277" s="151">
        <v>0</v>
      </c>
      <c r="F277" s="151">
        <v>0</v>
      </c>
      <c r="G277" s="151">
        <v>0</v>
      </c>
      <c r="H277" s="151">
        <v>0</v>
      </c>
      <c r="I277" s="151">
        <v>0</v>
      </c>
      <c r="J277" s="151">
        <v>0</v>
      </c>
      <c r="K277" s="151">
        <v>0</v>
      </c>
      <c r="L277" s="151">
        <v>0</v>
      </c>
      <c r="M277" s="151">
        <v>0</v>
      </c>
      <c r="N277" s="151">
        <v>1</v>
      </c>
      <c r="O277" s="151">
        <v>0</v>
      </c>
      <c r="P277" s="151">
        <v>0</v>
      </c>
      <c r="Q277" s="151">
        <v>0</v>
      </c>
      <c r="R277" s="151">
        <v>0</v>
      </c>
      <c r="S277" s="151">
        <v>0</v>
      </c>
      <c r="T277" s="151">
        <v>0</v>
      </c>
      <c r="U277" s="151">
        <v>0</v>
      </c>
      <c r="V277" s="151">
        <v>0</v>
      </c>
      <c r="W277" s="151">
        <v>0</v>
      </c>
      <c r="X277" s="151">
        <v>0</v>
      </c>
      <c r="Y277" s="151">
        <v>0</v>
      </c>
      <c r="Z277" s="151">
        <v>1</v>
      </c>
      <c r="AA277" s="151">
        <v>0</v>
      </c>
      <c r="AB277" s="151">
        <v>0</v>
      </c>
      <c r="AC277" s="151">
        <v>1</v>
      </c>
      <c r="AD277" s="151">
        <v>0</v>
      </c>
      <c r="AE277" s="151">
        <v>0</v>
      </c>
      <c r="AF277" s="151">
        <v>1</v>
      </c>
      <c r="AG277" s="151">
        <v>0</v>
      </c>
      <c r="AH277" s="152">
        <v>0</v>
      </c>
      <c r="AI277" s="6"/>
    </row>
    <row r="278" spans="1:35" x14ac:dyDescent="0.25">
      <c r="A278" s="3"/>
      <c r="B278" s="4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6"/>
    </row>
    <row r="279" spans="1:35" x14ac:dyDescent="0.25">
      <c r="A279" s="3"/>
      <c r="B279" s="8" t="s">
        <v>43</v>
      </c>
      <c r="C279" s="9"/>
      <c r="D279" s="9"/>
      <c r="E279" s="9"/>
      <c r="F279" s="363" t="s">
        <v>44</v>
      </c>
      <c r="G279" s="363"/>
      <c r="H279" s="363"/>
      <c r="I279" s="9"/>
      <c r="J279" s="364" t="s">
        <v>45</v>
      </c>
      <c r="K279" s="364"/>
      <c r="L279" s="364"/>
      <c r="M279" s="364"/>
      <c r="N279" s="9"/>
      <c r="O279" s="365" t="s">
        <v>46</v>
      </c>
      <c r="P279" s="365"/>
      <c r="Q279" s="365"/>
      <c r="R279" s="365"/>
      <c r="S279" s="9"/>
      <c r="T279" s="1" t="s">
        <v>49</v>
      </c>
      <c r="U279" s="10" t="s">
        <v>48</v>
      </c>
      <c r="V279" s="5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6"/>
    </row>
    <row r="280" spans="1:35" x14ac:dyDescent="0.25">
      <c r="A280" s="3"/>
      <c r="B280" s="317" t="str">
        <f>"0x"&amp;DEC2HEX(Sheet3!$I$4,8)</f>
        <v>0x00400320</v>
      </c>
      <c r="C280" s="317"/>
      <c r="D280" s="317"/>
      <c r="E280" s="12"/>
      <c r="F280" s="319" t="str">
        <f>"0x"&amp;BIN2HEX(CONCATENATE(C273,D273,E273,F273,G273,H273,I273,J273),2)&amp;BIN2HEX(CONCATENATE(K273,L273,M273,N273,O273,P273,Q273,R273),2)&amp;BIN2HEX(CONCATENATE(S273,T273,U273,V273,W273,X273,Y273,Z273),2)&amp;BIN2HEX(CONCATENATE(AA273,AB273,AC273,AD273,AE273,AF273,AG273,AH273),2)</f>
        <v>0x0000FFFF</v>
      </c>
      <c r="G280" s="319"/>
      <c r="H280" s="319"/>
      <c r="I280" s="12"/>
      <c r="J280" s="319" t="str">
        <f>"0b"&amp;C277&amp;D277&amp;E277&amp;F277&amp;G277&amp;H277&amp;I277&amp;J277&amp;K277&amp;L277&amp;M277&amp;N277&amp;O277&amp;P277&amp;Q277</f>
        <v>0b000000000001000</v>
      </c>
      <c r="K280" s="319"/>
      <c r="L280" s="319"/>
      <c r="M280" s="319"/>
      <c r="N280" s="12"/>
      <c r="O280" s="319" t="str">
        <f>"0b"&amp;DEC2BIN(((AF277+AE277*2+AD277*4+AC277*8+AB277*16+AA277*32+Z277*64+Y277*128+X277*256+W277*512+V277*1024+U277*2048+T277*4096+S277*2^13+R277*2^14)/512),6)&amp;DEC2BIN(MOD((AF277+AE277*2+AD277*4+AC277*8+AB277*16+AA277*32+Z277*64+Y277*128+X277*256+W277*512+V277*1024+U277*2048+T277*4096+S277*2^13+R277*2^14),512),9)</f>
        <v>0b000000001001001</v>
      </c>
      <c r="P280" s="319"/>
      <c r="Q280" s="319"/>
      <c r="R280" s="319"/>
      <c r="S280" s="12"/>
      <c r="T280" s="196">
        <v>0</v>
      </c>
      <c r="U280" s="196">
        <f>AH277</f>
        <v>0</v>
      </c>
      <c r="V280" s="5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6"/>
    </row>
    <row r="281" spans="1:35" x14ac:dyDescent="0.25">
      <c r="A281" s="3"/>
      <c r="B281" s="317"/>
      <c r="C281" s="317"/>
      <c r="D281" s="317"/>
      <c r="E281" s="15"/>
      <c r="F281" s="319"/>
      <c r="G281" s="319"/>
      <c r="H281" s="319"/>
      <c r="I281" s="15"/>
      <c r="J281" s="317"/>
      <c r="K281" s="317"/>
      <c r="L281" s="317"/>
      <c r="M281" s="317"/>
      <c r="N281" s="15"/>
      <c r="O281" s="317"/>
      <c r="P281" s="317"/>
      <c r="Q281" s="317"/>
      <c r="R281" s="317"/>
      <c r="S281" s="15"/>
      <c r="T281" s="196"/>
      <c r="U281" s="15"/>
      <c r="V281" s="5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6"/>
    </row>
    <row r="282" spans="1:35" x14ac:dyDescent="0.25">
      <c r="A282" s="3"/>
      <c r="B282" s="317"/>
      <c r="C282" s="317"/>
      <c r="D282" s="317"/>
      <c r="E282" s="15"/>
      <c r="F282" s="319"/>
      <c r="G282" s="319"/>
      <c r="H282" s="319"/>
      <c r="I282" s="15"/>
      <c r="J282" s="317"/>
      <c r="K282" s="317"/>
      <c r="L282" s="317"/>
      <c r="M282" s="317"/>
      <c r="N282" s="15"/>
      <c r="O282" s="317"/>
      <c r="P282" s="317"/>
      <c r="Q282" s="317"/>
      <c r="R282" s="317"/>
      <c r="S282" s="15"/>
      <c r="T282" s="196"/>
      <c r="U282" s="15"/>
      <c r="V282" s="5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6"/>
    </row>
    <row r="283" spans="1:35" x14ac:dyDescent="0.25">
      <c r="A283" s="3"/>
      <c r="B283" s="5"/>
      <c r="C283" s="5"/>
      <c r="D283" s="5"/>
      <c r="E283" s="5"/>
      <c r="F283" s="17"/>
      <c r="G283" s="17"/>
      <c r="H283" s="17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6"/>
    </row>
    <row r="284" spans="1:35" x14ac:dyDescent="0.25">
      <c r="A284" s="3"/>
      <c r="B284" s="5" t="s">
        <v>47</v>
      </c>
      <c r="C284" s="18"/>
      <c r="D284" s="18"/>
      <c r="E284" s="18"/>
      <c r="F284" s="5"/>
      <c r="G284" s="5"/>
      <c r="H284" s="5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6"/>
    </row>
    <row r="285" spans="1:35" x14ac:dyDescent="0.25">
      <c r="A285" s="3"/>
      <c r="B285" s="317" t="str">
        <f>"0x"&amp;DEC2HEX(Sheet3!$I$4,8)</f>
        <v>0x00400320</v>
      </c>
      <c r="C285" s="317"/>
      <c r="D285" s="317"/>
      <c r="E285" s="16"/>
      <c r="F285" s="322" t="str">
        <f>F280&amp;BIN2HEX(MID(J280,3,8),2)&amp;BIN2HEX(RIGHT(J280,7)&amp;MID(O280,3,1),2)&amp;BIN2HEX(MID(O280,4,8),2)&amp;BIN2HEX(RIGHT(O280,6)&amp;T280&amp;U280,2)</f>
        <v>0x0000FFFF00100124</v>
      </c>
      <c r="G285" s="322"/>
      <c r="H285" s="322"/>
      <c r="I285" s="322"/>
      <c r="J285" s="5"/>
      <c r="K285" s="5"/>
      <c r="L285" s="5"/>
      <c r="M285" s="5"/>
      <c r="N285" s="5"/>
      <c r="O285" s="5"/>
      <c r="P285" s="16"/>
      <c r="Q285" s="16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5"/>
      <c r="AH285" s="5"/>
      <c r="AI285" s="6"/>
    </row>
    <row r="286" spans="1:35" x14ac:dyDescent="0.25">
      <c r="A286" s="3"/>
      <c r="B286" s="317"/>
      <c r="C286" s="317"/>
      <c r="D286" s="317"/>
      <c r="E286" s="5"/>
      <c r="F286" s="322"/>
      <c r="G286" s="322"/>
      <c r="H286" s="322"/>
      <c r="I286" s="322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6"/>
    </row>
    <row r="287" spans="1:35" x14ac:dyDescent="0.25">
      <c r="A287" s="3"/>
      <c r="B287" s="317"/>
      <c r="C287" s="317"/>
      <c r="D287" s="317"/>
      <c r="E287" s="5"/>
      <c r="F287" s="322"/>
      <c r="G287" s="322"/>
      <c r="H287" s="322"/>
      <c r="I287" s="322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6"/>
    </row>
    <row r="288" spans="1:35" x14ac:dyDescent="0.25">
      <c r="A288" s="20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2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3"/>
    </row>
    <row r="289" spans="1:35" x14ac:dyDescent="0.25">
      <c r="A289" s="24"/>
      <c r="B289" s="28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6"/>
    </row>
    <row r="290" spans="1:35" x14ac:dyDescent="0.25">
      <c r="A290" s="3"/>
      <c r="B290" s="4" t="s">
        <v>291</v>
      </c>
      <c r="C290" s="5"/>
      <c r="D290" s="5"/>
      <c r="E290" s="5"/>
      <c r="F290" s="5"/>
      <c r="G290" s="5"/>
      <c r="H290" s="5"/>
      <c r="I290" s="5" t="str">
        <f>"0x"&amp;BIN2HEX(CONCATENATE(C295,D295,E295,F295,G295,H295,I295,J295),2)&amp;BIN2HEX(CONCATENATE(K295,L295,M295,N295,O295,P295,Q295,R295),2)&amp;BIN2HEX(CONCATENATE(S295,T295,U295,V295,W295,X295,Y295,Z295),2)&amp;BIN2HEX(CONCATENATE(AA295,AB295,AC295,AD295,AE295,AF295,AG295,AH295),2)&amp;"_"&amp;BIN2HEX(CONCATENATE(C299,D299,E299,F299,G299,H299,I299,J299),2)&amp;BIN2HEX(CONCATENATE(K299,L299,M299,N299,O299,P299,Q299,R299),2)&amp;BIN2HEX(CONCATENATE(S299,T299,U299,V299,W299,X299,Y299,Z299),2)&amp;BIN2HEX(CONCATENATE(AA299,AB299,AC299,AD299,AE299,AF299,AG299,AH299),2)</f>
        <v>0xFFFFFFFF_00100128</v>
      </c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6"/>
    </row>
    <row r="291" spans="1:35" ht="15.75" thickBot="1" x14ac:dyDescent="0.3">
      <c r="A291" s="3"/>
      <c r="B291" s="5"/>
      <c r="C291" s="7">
        <v>0</v>
      </c>
      <c r="D291" s="7">
        <v>1</v>
      </c>
      <c r="E291" s="7">
        <v>2</v>
      </c>
      <c r="F291" s="7">
        <v>3</v>
      </c>
      <c r="G291" s="7">
        <v>4</v>
      </c>
      <c r="H291" s="7">
        <v>5</v>
      </c>
      <c r="I291" s="7">
        <v>6</v>
      </c>
      <c r="J291" s="7">
        <v>7</v>
      </c>
      <c r="K291" s="7">
        <v>8</v>
      </c>
      <c r="L291" s="7">
        <v>9</v>
      </c>
      <c r="M291" s="7">
        <v>10</v>
      </c>
      <c r="N291" s="7">
        <v>11</v>
      </c>
      <c r="O291" s="7">
        <v>12</v>
      </c>
      <c r="P291" s="7">
        <v>13</v>
      </c>
      <c r="Q291" s="7">
        <v>14</v>
      </c>
      <c r="R291" s="7">
        <v>15</v>
      </c>
      <c r="S291" s="7">
        <v>16</v>
      </c>
      <c r="T291" s="7">
        <v>17</v>
      </c>
      <c r="U291" s="7">
        <v>18</v>
      </c>
      <c r="V291" s="7">
        <v>19</v>
      </c>
      <c r="W291" s="7">
        <v>20</v>
      </c>
      <c r="X291" s="7">
        <v>21</v>
      </c>
      <c r="Y291" s="7">
        <v>22</v>
      </c>
      <c r="Z291" s="7">
        <v>23</v>
      </c>
      <c r="AA291" s="7">
        <v>24</v>
      </c>
      <c r="AB291" s="7">
        <v>25</v>
      </c>
      <c r="AC291" s="7">
        <v>26</v>
      </c>
      <c r="AD291" s="7">
        <v>27</v>
      </c>
      <c r="AE291" s="7">
        <v>28</v>
      </c>
      <c r="AF291" s="7">
        <v>29</v>
      </c>
      <c r="AG291" s="7">
        <v>30</v>
      </c>
      <c r="AH291" s="7">
        <v>31</v>
      </c>
      <c r="AI291" s="6"/>
    </row>
    <row r="292" spans="1:35" x14ac:dyDescent="0.25">
      <c r="A292" s="3"/>
      <c r="B292" s="5" t="s">
        <v>31</v>
      </c>
      <c r="C292" s="354" t="s">
        <v>301</v>
      </c>
      <c r="D292" s="331"/>
      <c r="E292" s="331"/>
      <c r="F292" s="331"/>
      <c r="G292" s="331"/>
      <c r="H292" s="331"/>
      <c r="I292" s="331"/>
      <c r="J292" s="331"/>
      <c r="K292" s="331"/>
      <c r="L292" s="331"/>
      <c r="M292" s="331"/>
      <c r="N292" s="331"/>
      <c r="O292" s="331"/>
      <c r="P292" s="331"/>
      <c r="Q292" s="331"/>
      <c r="R292" s="331"/>
      <c r="S292" s="331"/>
      <c r="T292" s="331"/>
      <c r="U292" s="331"/>
      <c r="V292" s="331"/>
      <c r="W292" s="331"/>
      <c r="X292" s="331"/>
      <c r="Y292" s="331"/>
      <c r="Z292" s="331"/>
      <c r="AA292" s="331"/>
      <c r="AB292" s="331"/>
      <c r="AC292" s="331"/>
      <c r="AD292" s="331"/>
      <c r="AE292" s="331"/>
      <c r="AF292" s="331"/>
      <c r="AG292" s="331"/>
      <c r="AH292" s="355"/>
      <c r="AI292" s="6"/>
    </row>
    <row r="293" spans="1:35" x14ac:dyDescent="0.25">
      <c r="A293" s="3"/>
      <c r="B293" s="5" t="s">
        <v>32</v>
      </c>
      <c r="C293" s="356"/>
      <c r="D293" s="334"/>
      <c r="E293" s="334"/>
      <c r="F293" s="334"/>
      <c r="G293" s="334"/>
      <c r="H293" s="334"/>
      <c r="I293" s="334"/>
      <c r="J293" s="334"/>
      <c r="K293" s="334"/>
      <c r="L293" s="334"/>
      <c r="M293" s="334"/>
      <c r="N293" s="334"/>
      <c r="O293" s="334"/>
      <c r="P293" s="334"/>
      <c r="Q293" s="334"/>
      <c r="R293" s="334"/>
      <c r="S293" s="334"/>
      <c r="T293" s="334"/>
      <c r="U293" s="334"/>
      <c r="V293" s="334"/>
      <c r="W293" s="334"/>
      <c r="X293" s="334"/>
      <c r="Y293" s="334"/>
      <c r="Z293" s="334"/>
      <c r="AA293" s="334"/>
      <c r="AB293" s="334"/>
      <c r="AC293" s="334"/>
      <c r="AD293" s="334"/>
      <c r="AE293" s="334"/>
      <c r="AF293" s="334"/>
      <c r="AG293" s="334"/>
      <c r="AH293" s="357"/>
      <c r="AI293" s="6"/>
    </row>
    <row r="294" spans="1:35" x14ac:dyDescent="0.25">
      <c r="A294" s="3"/>
      <c r="B294" s="5" t="s">
        <v>11</v>
      </c>
      <c r="C294" s="56">
        <v>1</v>
      </c>
      <c r="D294" s="57">
        <v>1</v>
      </c>
      <c r="E294" s="57">
        <v>1</v>
      </c>
      <c r="F294" s="57">
        <v>1</v>
      </c>
      <c r="G294" s="57">
        <v>1</v>
      </c>
      <c r="H294" s="57">
        <v>1</v>
      </c>
      <c r="I294" s="57">
        <v>1</v>
      </c>
      <c r="J294" s="57">
        <v>1</v>
      </c>
      <c r="K294" s="57">
        <v>1</v>
      </c>
      <c r="L294" s="57">
        <v>1</v>
      </c>
      <c r="M294" s="57">
        <v>1</v>
      </c>
      <c r="N294" s="57">
        <v>1</v>
      </c>
      <c r="O294" s="57">
        <v>1</v>
      </c>
      <c r="P294" s="57">
        <v>1</v>
      </c>
      <c r="Q294" s="57">
        <v>1</v>
      </c>
      <c r="R294" s="57">
        <v>1</v>
      </c>
      <c r="S294" s="57">
        <v>1</v>
      </c>
      <c r="T294" s="57">
        <v>1</v>
      </c>
      <c r="U294" s="57">
        <v>1</v>
      </c>
      <c r="V294" s="57">
        <v>1</v>
      </c>
      <c r="W294" s="57">
        <v>1</v>
      </c>
      <c r="X294" s="57">
        <v>1</v>
      </c>
      <c r="Y294" s="57">
        <v>1</v>
      </c>
      <c r="Z294" s="57">
        <v>1</v>
      </c>
      <c r="AA294" s="57">
        <v>1</v>
      </c>
      <c r="AB294" s="57">
        <v>1</v>
      </c>
      <c r="AC294" s="57">
        <v>1</v>
      </c>
      <c r="AD294" s="57">
        <v>1</v>
      </c>
      <c r="AE294" s="57">
        <v>1</v>
      </c>
      <c r="AF294" s="57">
        <v>1</v>
      </c>
      <c r="AG294" s="57">
        <v>1</v>
      </c>
      <c r="AH294" s="58">
        <v>1</v>
      </c>
      <c r="AI294" s="6"/>
    </row>
    <row r="295" spans="1:35" ht="15.75" thickBot="1" x14ac:dyDescent="0.3">
      <c r="A295" s="3"/>
      <c r="B295" s="5" t="s">
        <v>12</v>
      </c>
      <c r="C295" s="145">
        <v>1</v>
      </c>
      <c r="D295" s="88">
        <v>1</v>
      </c>
      <c r="E295" s="88">
        <v>1</v>
      </c>
      <c r="F295" s="88">
        <v>1</v>
      </c>
      <c r="G295" s="88">
        <v>1</v>
      </c>
      <c r="H295" s="88">
        <v>1</v>
      </c>
      <c r="I295" s="88">
        <v>1</v>
      </c>
      <c r="J295" s="88">
        <v>1</v>
      </c>
      <c r="K295" s="88">
        <v>1</v>
      </c>
      <c r="L295" s="88">
        <v>1</v>
      </c>
      <c r="M295" s="88">
        <v>1</v>
      </c>
      <c r="N295" s="88">
        <v>1</v>
      </c>
      <c r="O295" s="88">
        <v>1</v>
      </c>
      <c r="P295" s="88">
        <v>1</v>
      </c>
      <c r="Q295" s="88">
        <v>1</v>
      </c>
      <c r="R295" s="88">
        <v>1</v>
      </c>
      <c r="S295" s="88">
        <v>1</v>
      </c>
      <c r="T295" s="88">
        <v>1</v>
      </c>
      <c r="U295" s="88">
        <v>1</v>
      </c>
      <c r="V295" s="88">
        <v>1</v>
      </c>
      <c r="W295" s="88">
        <v>1</v>
      </c>
      <c r="X295" s="88">
        <v>1</v>
      </c>
      <c r="Y295" s="88">
        <v>1</v>
      </c>
      <c r="Z295" s="88">
        <v>1</v>
      </c>
      <c r="AA295" s="88">
        <v>1</v>
      </c>
      <c r="AB295" s="88">
        <v>1</v>
      </c>
      <c r="AC295" s="88">
        <v>1</v>
      </c>
      <c r="AD295" s="88">
        <v>1</v>
      </c>
      <c r="AE295" s="88">
        <v>1</v>
      </c>
      <c r="AF295" s="88">
        <v>1</v>
      </c>
      <c r="AG295" s="88">
        <v>1</v>
      </c>
      <c r="AH295" s="89">
        <v>1</v>
      </c>
      <c r="AI295" s="6"/>
    </row>
    <row r="296" spans="1:35" x14ac:dyDescent="0.25">
      <c r="A296" s="3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6"/>
    </row>
    <row r="297" spans="1:35" ht="15.75" thickBot="1" x14ac:dyDescent="0.3">
      <c r="A297" s="3"/>
      <c r="B297" s="5"/>
      <c r="C297" s="7">
        <v>32</v>
      </c>
      <c r="D297" s="7">
        <v>33</v>
      </c>
      <c r="E297" s="7">
        <v>34</v>
      </c>
      <c r="F297" s="7">
        <v>35</v>
      </c>
      <c r="G297" s="7">
        <v>36</v>
      </c>
      <c r="H297" s="7">
        <v>37</v>
      </c>
      <c r="I297" s="7">
        <v>38</v>
      </c>
      <c r="J297" s="7">
        <v>39</v>
      </c>
      <c r="K297" s="7">
        <v>40</v>
      </c>
      <c r="L297" s="7">
        <v>41</v>
      </c>
      <c r="M297" s="7">
        <v>42</v>
      </c>
      <c r="N297" s="7">
        <v>43</v>
      </c>
      <c r="O297" s="7">
        <v>44</v>
      </c>
      <c r="P297" s="7">
        <v>45</v>
      </c>
      <c r="Q297" s="7">
        <v>46</v>
      </c>
      <c r="R297" s="7">
        <v>47</v>
      </c>
      <c r="S297" s="7">
        <v>48</v>
      </c>
      <c r="T297" s="7">
        <v>49</v>
      </c>
      <c r="U297" s="7">
        <v>50</v>
      </c>
      <c r="V297" s="7">
        <v>51</v>
      </c>
      <c r="W297" s="7">
        <v>52</v>
      </c>
      <c r="X297" s="7">
        <v>53</v>
      </c>
      <c r="Y297" s="7">
        <v>54</v>
      </c>
      <c r="Z297" s="7">
        <v>55</v>
      </c>
      <c r="AA297" s="7">
        <v>56</v>
      </c>
      <c r="AB297" s="7">
        <v>57</v>
      </c>
      <c r="AC297" s="7">
        <v>58</v>
      </c>
      <c r="AD297" s="7">
        <v>59</v>
      </c>
      <c r="AE297" s="7">
        <v>60</v>
      </c>
      <c r="AF297" s="7">
        <v>61</v>
      </c>
      <c r="AG297" s="7">
        <v>62</v>
      </c>
      <c r="AH297" s="7">
        <v>63</v>
      </c>
      <c r="AI297" s="6"/>
    </row>
    <row r="298" spans="1:35" ht="15.75" thickBot="1" x14ac:dyDescent="0.3">
      <c r="A298" s="3"/>
      <c r="B298" s="5"/>
      <c r="C298" s="147" t="s">
        <v>13</v>
      </c>
      <c r="D298" s="148" t="s">
        <v>14</v>
      </c>
      <c r="E298" s="148" t="s">
        <v>15</v>
      </c>
      <c r="F298" s="148" t="s">
        <v>16</v>
      </c>
      <c r="G298" s="148" t="s">
        <v>17</v>
      </c>
      <c r="H298" s="148" t="s">
        <v>18</v>
      </c>
      <c r="I298" s="148" t="s">
        <v>19</v>
      </c>
      <c r="J298" s="148" t="s">
        <v>20</v>
      </c>
      <c r="K298" s="148" t="s">
        <v>21</v>
      </c>
      <c r="L298" s="148" t="s">
        <v>22</v>
      </c>
      <c r="M298" s="148" t="s">
        <v>23</v>
      </c>
      <c r="N298" s="148" t="s">
        <v>24</v>
      </c>
      <c r="O298" s="148" t="s">
        <v>25</v>
      </c>
      <c r="P298" s="148" t="s">
        <v>26</v>
      </c>
      <c r="Q298" s="148" t="s">
        <v>27</v>
      </c>
      <c r="R298" s="362" t="s">
        <v>30</v>
      </c>
      <c r="S298" s="362"/>
      <c r="T298" s="362"/>
      <c r="U298" s="362"/>
      <c r="V298" s="362"/>
      <c r="W298" s="362"/>
      <c r="X298" s="362"/>
      <c r="Y298" s="362"/>
      <c r="Z298" s="362"/>
      <c r="AA298" s="362"/>
      <c r="AB298" s="362"/>
      <c r="AC298" s="362"/>
      <c r="AD298" s="362"/>
      <c r="AE298" s="362"/>
      <c r="AF298" s="362"/>
      <c r="AG298" s="67" t="s">
        <v>28</v>
      </c>
      <c r="AH298" s="149" t="s">
        <v>29</v>
      </c>
      <c r="AI298" s="6"/>
    </row>
    <row r="299" spans="1:35" ht="15.75" thickBot="1" x14ac:dyDescent="0.3">
      <c r="A299" s="3"/>
      <c r="B299" s="5"/>
      <c r="C299" s="150">
        <v>0</v>
      </c>
      <c r="D299" s="151">
        <v>0</v>
      </c>
      <c r="E299" s="151">
        <v>0</v>
      </c>
      <c r="F299" s="151">
        <v>0</v>
      </c>
      <c r="G299" s="151">
        <v>0</v>
      </c>
      <c r="H299" s="151">
        <v>0</v>
      </c>
      <c r="I299" s="151">
        <v>0</v>
      </c>
      <c r="J299" s="151">
        <v>0</v>
      </c>
      <c r="K299" s="151">
        <v>0</v>
      </c>
      <c r="L299" s="151">
        <v>0</v>
      </c>
      <c r="M299" s="151">
        <v>0</v>
      </c>
      <c r="N299" s="151">
        <v>1</v>
      </c>
      <c r="O299" s="151">
        <v>0</v>
      </c>
      <c r="P299" s="151">
        <v>0</v>
      </c>
      <c r="Q299" s="151">
        <v>0</v>
      </c>
      <c r="R299" s="151">
        <v>0</v>
      </c>
      <c r="S299" s="151">
        <v>0</v>
      </c>
      <c r="T299" s="151">
        <v>0</v>
      </c>
      <c r="U299" s="151">
        <v>0</v>
      </c>
      <c r="V299" s="151">
        <v>0</v>
      </c>
      <c r="W299" s="151">
        <v>0</v>
      </c>
      <c r="X299" s="151">
        <v>0</v>
      </c>
      <c r="Y299" s="151">
        <v>0</v>
      </c>
      <c r="Z299" s="151">
        <v>1</v>
      </c>
      <c r="AA299" s="151">
        <v>0</v>
      </c>
      <c r="AB299" s="151">
        <v>0</v>
      </c>
      <c r="AC299" s="151">
        <v>1</v>
      </c>
      <c r="AD299" s="151">
        <v>0</v>
      </c>
      <c r="AE299" s="151">
        <v>1</v>
      </c>
      <c r="AF299" s="151">
        <v>0</v>
      </c>
      <c r="AG299" s="151">
        <v>0</v>
      </c>
      <c r="AH299" s="152">
        <v>0</v>
      </c>
      <c r="AI299" s="6"/>
    </row>
    <row r="300" spans="1:35" x14ac:dyDescent="0.25">
      <c r="A300" s="3"/>
      <c r="B300" s="4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6"/>
    </row>
    <row r="301" spans="1:35" x14ac:dyDescent="0.25">
      <c r="A301" s="3"/>
      <c r="B301" s="8" t="s">
        <v>43</v>
      </c>
      <c r="C301" s="9"/>
      <c r="D301" s="9"/>
      <c r="E301" s="9"/>
      <c r="F301" s="363" t="s">
        <v>44</v>
      </c>
      <c r="G301" s="363"/>
      <c r="H301" s="363"/>
      <c r="I301" s="9"/>
      <c r="J301" s="364" t="s">
        <v>45</v>
      </c>
      <c r="K301" s="364"/>
      <c r="L301" s="364"/>
      <c r="M301" s="364"/>
      <c r="N301" s="9"/>
      <c r="O301" s="365" t="s">
        <v>46</v>
      </c>
      <c r="P301" s="365"/>
      <c r="Q301" s="365"/>
      <c r="R301" s="365"/>
      <c r="S301" s="9"/>
      <c r="T301" s="1" t="s">
        <v>49</v>
      </c>
      <c r="U301" s="10" t="s">
        <v>48</v>
      </c>
      <c r="V301" s="5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6"/>
    </row>
    <row r="302" spans="1:35" x14ac:dyDescent="0.25">
      <c r="A302" s="3"/>
      <c r="B302" s="317" t="str">
        <f>"0x"&amp;DEC2HEX(Sheet3!$I$4,8)</f>
        <v>0x00400320</v>
      </c>
      <c r="C302" s="317"/>
      <c r="D302" s="317"/>
      <c r="E302" s="12"/>
      <c r="F302" s="319" t="str">
        <f>"0x"&amp;BIN2HEX(CONCATENATE(C295,D295,E295,F295,G295,H295,I295,J295),2)&amp;BIN2HEX(CONCATENATE(K295,L295,M295,N295,O295,P295,Q295,R295),2)&amp;BIN2HEX(CONCATENATE(S295,T295,U295,V295,W295,X295,Y295,Z295),2)&amp;BIN2HEX(CONCATENATE(AA295,AB295,AC295,AD295,AE295,AF295,AG295,AH295),2)</f>
        <v>0xFFFFFFFF</v>
      </c>
      <c r="G302" s="319"/>
      <c r="H302" s="319"/>
      <c r="I302" s="12"/>
      <c r="J302" s="319" t="str">
        <f>"0b"&amp;C299&amp;D299&amp;E299&amp;F299&amp;G299&amp;H299&amp;I299&amp;J299&amp;K299&amp;L299&amp;M299&amp;N299&amp;O299&amp;P299&amp;Q299</f>
        <v>0b000000000001000</v>
      </c>
      <c r="K302" s="319"/>
      <c r="L302" s="319"/>
      <c r="M302" s="319"/>
      <c r="N302" s="12"/>
      <c r="O302" s="319" t="str">
        <f>"0b"&amp;DEC2BIN(((AF299+AE299*2+AD299*4+AC299*8+AB299*16+AA299*32+Z299*64+Y299*128+X299*256+W299*512+V299*1024+U299*2048+T299*4096+S299*2^13+R299*2^14)/512),6)&amp;DEC2BIN(MOD((AF299+AE299*2+AD299*4+AC299*8+AB299*16+AA299*32+Z299*64+Y299*128+X299*256+W299*512+V299*1024+U299*2048+T299*4096+S299*2^13+R299*2^14),512),9)</f>
        <v>0b000000001001010</v>
      </c>
      <c r="P302" s="319"/>
      <c r="Q302" s="319"/>
      <c r="R302" s="319"/>
      <c r="S302" s="12"/>
      <c r="T302" s="196">
        <v>0</v>
      </c>
      <c r="U302" s="196">
        <f>AH299</f>
        <v>0</v>
      </c>
      <c r="V302" s="5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6"/>
    </row>
    <row r="303" spans="1:35" x14ac:dyDescent="0.25">
      <c r="A303" s="3"/>
      <c r="B303" s="317"/>
      <c r="C303" s="317"/>
      <c r="D303" s="317"/>
      <c r="E303" s="15"/>
      <c r="F303" s="319"/>
      <c r="G303" s="319"/>
      <c r="H303" s="319"/>
      <c r="I303" s="15"/>
      <c r="J303" s="317"/>
      <c r="K303" s="317"/>
      <c r="L303" s="317"/>
      <c r="M303" s="317"/>
      <c r="N303" s="15"/>
      <c r="O303" s="317"/>
      <c r="P303" s="317"/>
      <c r="Q303" s="317"/>
      <c r="R303" s="317"/>
      <c r="S303" s="15"/>
      <c r="T303" s="196"/>
      <c r="U303" s="15"/>
      <c r="V303" s="5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6"/>
    </row>
    <row r="304" spans="1:35" x14ac:dyDescent="0.25">
      <c r="A304" s="3"/>
      <c r="B304" s="317"/>
      <c r="C304" s="317"/>
      <c r="D304" s="317"/>
      <c r="E304" s="15"/>
      <c r="F304" s="319"/>
      <c r="G304" s="319"/>
      <c r="H304" s="319"/>
      <c r="I304" s="15"/>
      <c r="J304" s="317"/>
      <c r="K304" s="317"/>
      <c r="L304" s="317"/>
      <c r="M304" s="317"/>
      <c r="N304" s="15"/>
      <c r="O304" s="317"/>
      <c r="P304" s="317"/>
      <c r="Q304" s="317"/>
      <c r="R304" s="317"/>
      <c r="S304" s="15"/>
      <c r="T304" s="196"/>
      <c r="U304" s="15"/>
      <c r="V304" s="5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6"/>
    </row>
    <row r="305" spans="1:35" x14ac:dyDescent="0.25">
      <c r="A305" s="3"/>
      <c r="B305" s="5"/>
      <c r="C305" s="5"/>
      <c r="D305" s="5"/>
      <c r="E305" s="5"/>
      <c r="F305" s="17"/>
      <c r="G305" s="17"/>
      <c r="H305" s="17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6"/>
    </row>
    <row r="306" spans="1:35" x14ac:dyDescent="0.25">
      <c r="A306" s="3"/>
      <c r="B306" s="5" t="s">
        <v>47</v>
      </c>
      <c r="C306" s="18"/>
      <c r="D306" s="18"/>
      <c r="E306" s="18"/>
      <c r="F306" s="5"/>
      <c r="G306" s="5"/>
      <c r="H306" s="5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6"/>
    </row>
    <row r="307" spans="1:35" x14ac:dyDescent="0.25">
      <c r="A307" s="3"/>
      <c r="B307" s="317" t="str">
        <f>"0x"&amp;DEC2HEX(Sheet3!$I$4,8)</f>
        <v>0x00400320</v>
      </c>
      <c r="C307" s="317"/>
      <c r="D307" s="317"/>
      <c r="E307" s="16"/>
      <c r="F307" s="322" t="str">
        <f>F302&amp;BIN2HEX(MID(J302,3,8),2)&amp;BIN2HEX(RIGHT(J302,7)&amp;MID(O302,3,1),2)&amp;BIN2HEX(MID(O302,4,8),2)&amp;BIN2HEX(RIGHT(O302,6)&amp;T302&amp;U302,2)</f>
        <v>0xFFFFFFFF00100128</v>
      </c>
      <c r="G307" s="322"/>
      <c r="H307" s="322"/>
      <c r="I307" s="322"/>
      <c r="J307" s="5"/>
      <c r="K307" s="5"/>
      <c r="L307" s="5"/>
      <c r="M307" s="5"/>
      <c r="N307" s="5"/>
      <c r="O307" s="5"/>
      <c r="P307" s="16"/>
      <c r="Q307" s="16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5"/>
      <c r="AH307" s="5"/>
      <c r="AI307" s="6"/>
    </row>
    <row r="308" spans="1:35" x14ac:dyDescent="0.25">
      <c r="A308" s="3"/>
      <c r="B308" s="317"/>
      <c r="C308" s="317"/>
      <c r="D308" s="317"/>
      <c r="E308" s="5"/>
      <c r="F308" s="322"/>
      <c r="G308" s="322"/>
      <c r="H308" s="322"/>
      <c r="I308" s="322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6"/>
    </row>
    <row r="309" spans="1:35" x14ac:dyDescent="0.25">
      <c r="A309" s="3"/>
      <c r="B309" s="317"/>
      <c r="C309" s="317"/>
      <c r="D309" s="317"/>
      <c r="E309" s="5"/>
      <c r="F309" s="322"/>
      <c r="G309" s="322"/>
      <c r="H309" s="322"/>
      <c r="I309" s="322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6"/>
    </row>
    <row r="310" spans="1:35" x14ac:dyDescent="0.25">
      <c r="A310" s="20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2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3"/>
    </row>
    <row r="311" spans="1:35" x14ac:dyDescent="0.25">
      <c r="A311" s="24"/>
      <c r="B311" s="28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6"/>
    </row>
    <row r="312" spans="1:35" x14ac:dyDescent="0.25">
      <c r="A312" s="3"/>
      <c r="B312" s="4" t="s">
        <v>292</v>
      </c>
      <c r="C312" s="5"/>
      <c r="D312" s="5"/>
      <c r="E312" s="5"/>
      <c r="F312" s="5"/>
      <c r="G312" s="5"/>
      <c r="H312" s="5"/>
      <c r="I312" s="5" t="str">
        <f>"0x"&amp;BIN2HEX(CONCATENATE(C317,D317,E317,F317,G317,H317,I317,J317),2)&amp;BIN2HEX(CONCATENATE(K317,L317,M317,N317,O317,P317,Q317,R317),2)&amp;BIN2HEX(CONCATENATE(S317,T317,U317,V317,W317,X317,Y317,Z317),2)&amp;BIN2HEX(CONCATENATE(AA317,AB317,AC317,AD317,AE317,AF317,AG317,AH317),2)&amp;"_"&amp;BIN2HEX(CONCATENATE(C321,D321,E321,F321,G321,H321,I321,J321),2)&amp;BIN2HEX(CONCATENATE(K321,L321,M321,N321,O321,P321,Q321,R321),2)&amp;BIN2HEX(CONCATENATE(S321,T321,U321,V321,W321,X321,Y321,Z321),2)&amp;BIN2HEX(CONCATENATE(AA321,AB321,AC321,AD321,AE321,AF321,AG321,AH321),2)</f>
        <v>0xEF1FFFFF_0010012C</v>
      </c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6"/>
    </row>
    <row r="313" spans="1:35" ht="15.75" thickBot="1" x14ac:dyDescent="0.3">
      <c r="A313" s="3"/>
      <c r="B313" s="5"/>
      <c r="C313" s="7">
        <v>0</v>
      </c>
      <c r="D313" s="7">
        <v>1</v>
      </c>
      <c r="E313" s="7">
        <v>2</v>
      </c>
      <c r="F313" s="7">
        <v>3</v>
      </c>
      <c r="G313" s="7">
        <v>4</v>
      </c>
      <c r="H313" s="7">
        <v>5</v>
      </c>
      <c r="I313" s="7">
        <v>6</v>
      </c>
      <c r="J313" s="7">
        <v>7</v>
      </c>
      <c r="K313" s="7">
        <v>8</v>
      </c>
      <c r="L313" s="7">
        <v>9</v>
      </c>
      <c r="M313" s="7">
        <v>10</v>
      </c>
      <c r="N313" s="7">
        <v>11</v>
      </c>
      <c r="O313" s="7">
        <v>12</v>
      </c>
      <c r="P313" s="7">
        <v>13</v>
      </c>
      <c r="Q313" s="7">
        <v>14</v>
      </c>
      <c r="R313" s="7">
        <v>15</v>
      </c>
      <c r="S313" s="7">
        <v>16</v>
      </c>
      <c r="T313" s="7">
        <v>17</v>
      </c>
      <c r="U313" s="7">
        <v>18</v>
      </c>
      <c r="V313" s="7">
        <v>19</v>
      </c>
      <c r="W313" s="7">
        <v>20</v>
      </c>
      <c r="X313" s="7">
        <v>21</v>
      </c>
      <c r="Y313" s="7">
        <v>22</v>
      </c>
      <c r="Z313" s="7">
        <v>23</v>
      </c>
      <c r="AA313" s="7">
        <v>24</v>
      </c>
      <c r="AB313" s="7">
        <v>25</v>
      </c>
      <c r="AC313" s="7">
        <v>26</v>
      </c>
      <c r="AD313" s="7">
        <v>27</v>
      </c>
      <c r="AE313" s="7">
        <v>28</v>
      </c>
      <c r="AF313" s="7">
        <v>29</v>
      </c>
      <c r="AG313" s="7">
        <v>30</v>
      </c>
      <c r="AH313" s="7">
        <v>31</v>
      </c>
      <c r="AI313" s="6"/>
    </row>
    <row r="314" spans="1:35" ht="15" customHeight="1" x14ac:dyDescent="0.25">
      <c r="A314" s="3"/>
      <c r="B314" s="5" t="s">
        <v>31</v>
      </c>
      <c r="C314" s="328" t="s">
        <v>302</v>
      </c>
      <c r="D314" s="345" t="s">
        <v>303</v>
      </c>
      <c r="E314" s="345" t="s">
        <v>304</v>
      </c>
      <c r="F314" s="154">
        <v>0</v>
      </c>
      <c r="G314" s="336" t="s">
        <v>305</v>
      </c>
      <c r="H314" s="337"/>
      <c r="I314" s="337"/>
      <c r="J314" s="350"/>
      <c r="K314" s="336">
        <v>0</v>
      </c>
      <c r="L314" s="337"/>
      <c r="M314" s="350"/>
      <c r="N314" s="345" t="s">
        <v>401</v>
      </c>
      <c r="O314" s="345" t="s">
        <v>402</v>
      </c>
      <c r="P314" s="345" t="s">
        <v>306</v>
      </c>
      <c r="Q314" s="345" t="s">
        <v>307</v>
      </c>
      <c r="R314" s="345" t="s">
        <v>308</v>
      </c>
      <c r="S314" s="330" t="s">
        <v>309</v>
      </c>
      <c r="T314" s="331"/>
      <c r="U314" s="331"/>
      <c r="V314" s="331"/>
      <c r="W314" s="331"/>
      <c r="X314" s="331"/>
      <c r="Y314" s="331"/>
      <c r="Z314" s="331"/>
      <c r="AA314" s="331"/>
      <c r="AB314" s="331"/>
      <c r="AC314" s="331"/>
      <c r="AD314" s="331"/>
      <c r="AE314" s="331"/>
      <c r="AF314" s="331"/>
      <c r="AG314" s="331"/>
      <c r="AH314" s="355"/>
      <c r="AI314" s="6"/>
    </row>
    <row r="315" spans="1:35" x14ac:dyDescent="0.25">
      <c r="A315" s="3"/>
      <c r="B315" s="5" t="s">
        <v>32</v>
      </c>
      <c r="C315" s="329"/>
      <c r="D315" s="346"/>
      <c r="E315" s="346"/>
      <c r="F315" s="198"/>
      <c r="G315" s="372"/>
      <c r="H315" s="373"/>
      <c r="I315" s="373"/>
      <c r="J315" s="374"/>
      <c r="K315" s="372"/>
      <c r="L315" s="373"/>
      <c r="M315" s="374"/>
      <c r="N315" s="346"/>
      <c r="O315" s="346"/>
      <c r="P315" s="346"/>
      <c r="Q315" s="346"/>
      <c r="R315" s="346"/>
      <c r="S315" s="333"/>
      <c r="T315" s="334"/>
      <c r="U315" s="334"/>
      <c r="V315" s="334"/>
      <c r="W315" s="334"/>
      <c r="X315" s="334"/>
      <c r="Y315" s="334"/>
      <c r="Z315" s="334"/>
      <c r="AA315" s="334"/>
      <c r="AB315" s="334"/>
      <c r="AC315" s="334"/>
      <c r="AD315" s="334"/>
      <c r="AE315" s="334"/>
      <c r="AF315" s="334"/>
      <c r="AG315" s="334"/>
      <c r="AH315" s="357"/>
      <c r="AI315" s="6"/>
    </row>
    <row r="316" spans="1:35" x14ac:dyDescent="0.25">
      <c r="A316" s="3"/>
      <c r="B316" s="5" t="s">
        <v>11</v>
      </c>
      <c r="C316" s="56">
        <v>1</v>
      </c>
      <c r="D316" s="57">
        <v>1</v>
      </c>
      <c r="E316" s="57">
        <v>1</v>
      </c>
      <c r="F316" s="57">
        <v>0</v>
      </c>
      <c r="G316" s="57">
        <v>1</v>
      </c>
      <c r="H316" s="57">
        <v>1</v>
      </c>
      <c r="I316" s="57">
        <v>1</v>
      </c>
      <c r="J316" s="57">
        <v>1</v>
      </c>
      <c r="K316" s="57">
        <v>0</v>
      </c>
      <c r="L316" s="57">
        <v>0</v>
      </c>
      <c r="M316" s="57">
        <v>0</v>
      </c>
      <c r="N316" s="57">
        <v>1</v>
      </c>
      <c r="O316" s="57">
        <v>1</v>
      </c>
      <c r="P316" s="57">
        <v>1</v>
      </c>
      <c r="Q316" s="57">
        <v>1</v>
      </c>
      <c r="R316" s="57">
        <v>1</v>
      </c>
      <c r="S316" s="57">
        <v>1</v>
      </c>
      <c r="T316" s="57">
        <v>1</v>
      </c>
      <c r="U316" s="57">
        <v>1</v>
      </c>
      <c r="V316" s="57">
        <v>1</v>
      </c>
      <c r="W316" s="57">
        <v>1</v>
      </c>
      <c r="X316" s="57">
        <v>1</v>
      </c>
      <c r="Y316" s="57">
        <v>1</v>
      </c>
      <c r="Z316" s="57">
        <v>1</v>
      </c>
      <c r="AA316" s="57">
        <v>1</v>
      </c>
      <c r="AB316" s="57">
        <v>1</v>
      </c>
      <c r="AC316" s="57">
        <v>1</v>
      </c>
      <c r="AD316" s="57">
        <v>1</v>
      </c>
      <c r="AE316" s="57">
        <v>1</v>
      </c>
      <c r="AF316" s="57">
        <v>1</v>
      </c>
      <c r="AG316" s="57">
        <v>1</v>
      </c>
      <c r="AH316" s="58">
        <v>1</v>
      </c>
      <c r="AI316" s="6"/>
    </row>
    <row r="317" spans="1:35" ht="15.75" thickBot="1" x14ac:dyDescent="0.3">
      <c r="A317" s="3"/>
      <c r="B317" s="5" t="s">
        <v>12</v>
      </c>
      <c r="C317" s="145">
        <v>1</v>
      </c>
      <c r="D317" s="88">
        <v>1</v>
      </c>
      <c r="E317" s="88">
        <v>1</v>
      </c>
      <c r="F317" s="161">
        <v>0</v>
      </c>
      <c r="G317" s="161">
        <v>1</v>
      </c>
      <c r="H317" s="161">
        <v>1</v>
      </c>
      <c r="I317" s="161">
        <v>1</v>
      </c>
      <c r="J317" s="161">
        <v>1</v>
      </c>
      <c r="K317" s="161">
        <v>0</v>
      </c>
      <c r="L317" s="161">
        <v>0</v>
      </c>
      <c r="M317" s="161">
        <v>0</v>
      </c>
      <c r="N317" s="88">
        <v>1</v>
      </c>
      <c r="O317" s="88">
        <v>1</v>
      </c>
      <c r="P317" s="88">
        <v>1</v>
      </c>
      <c r="Q317" s="88">
        <v>1</v>
      </c>
      <c r="R317" s="88">
        <v>1</v>
      </c>
      <c r="S317" s="88">
        <v>1</v>
      </c>
      <c r="T317" s="88">
        <v>1</v>
      </c>
      <c r="U317" s="88">
        <v>1</v>
      </c>
      <c r="V317" s="88">
        <v>1</v>
      </c>
      <c r="W317" s="88">
        <v>1</v>
      </c>
      <c r="X317" s="88">
        <v>1</v>
      </c>
      <c r="Y317" s="88">
        <v>1</v>
      </c>
      <c r="Z317" s="88">
        <v>1</v>
      </c>
      <c r="AA317" s="88">
        <v>1</v>
      </c>
      <c r="AB317" s="88">
        <v>1</v>
      </c>
      <c r="AC317" s="88">
        <v>1</v>
      </c>
      <c r="AD317" s="88">
        <v>1</v>
      </c>
      <c r="AE317" s="88">
        <v>1</v>
      </c>
      <c r="AF317" s="88">
        <v>1</v>
      </c>
      <c r="AG317" s="88">
        <v>1</v>
      </c>
      <c r="AH317" s="89">
        <v>1</v>
      </c>
      <c r="AI317" s="6"/>
    </row>
    <row r="318" spans="1:35" x14ac:dyDescent="0.25">
      <c r="A318" s="3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6"/>
    </row>
    <row r="319" spans="1:35" ht="15.75" thickBot="1" x14ac:dyDescent="0.3">
      <c r="A319" s="3"/>
      <c r="B319" s="5"/>
      <c r="C319" s="7">
        <v>32</v>
      </c>
      <c r="D319" s="7">
        <v>33</v>
      </c>
      <c r="E319" s="7">
        <v>34</v>
      </c>
      <c r="F319" s="7">
        <v>35</v>
      </c>
      <c r="G319" s="7">
        <v>36</v>
      </c>
      <c r="H319" s="7">
        <v>37</v>
      </c>
      <c r="I319" s="7">
        <v>38</v>
      </c>
      <c r="J319" s="7">
        <v>39</v>
      </c>
      <c r="K319" s="7">
        <v>40</v>
      </c>
      <c r="L319" s="7">
        <v>41</v>
      </c>
      <c r="M319" s="7">
        <v>42</v>
      </c>
      <c r="N319" s="7">
        <v>43</v>
      </c>
      <c r="O319" s="7">
        <v>44</v>
      </c>
      <c r="P319" s="7">
        <v>45</v>
      </c>
      <c r="Q319" s="7">
        <v>46</v>
      </c>
      <c r="R319" s="7">
        <v>47</v>
      </c>
      <c r="S319" s="7">
        <v>48</v>
      </c>
      <c r="T319" s="7">
        <v>49</v>
      </c>
      <c r="U319" s="7">
        <v>50</v>
      </c>
      <c r="V319" s="7">
        <v>51</v>
      </c>
      <c r="W319" s="7">
        <v>52</v>
      </c>
      <c r="X319" s="7">
        <v>53</v>
      </c>
      <c r="Y319" s="7">
        <v>54</v>
      </c>
      <c r="Z319" s="7">
        <v>55</v>
      </c>
      <c r="AA319" s="7">
        <v>56</v>
      </c>
      <c r="AB319" s="7">
        <v>57</v>
      </c>
      <c r="AC319" s="7">
        <v>58</v>
      </c>
      <c r="AD319" s="7">
        <v>59</v>
      </c>
      <c r="AE319" s="7">
        <v>60</v>
      </c>
      <c r="AF319" s="7">
        <v>61</v>
      </c>
      <c r="AG319" s="7">
        <v>62</v>
      </c>
      <c r="AH319" s="7">
        <v>63</v>
      </c>
      <c r="AI319" s="6"/>
    </row>
    <row r="320" spans="1:35" ht="15.75" thickBot="1" x14ac:dyDescent="0.3">
      <c r="A320" s="3"/>
      <c r="B320" s="5"/>
      <c r="C320" s="147" t="s">
        <v>13</v>
      </c>
      <c r="D320" s="148" t="s">
        <v>14</v>
      </c>
      <c r="E320" s="148" t="s">
        <v>15</v>
      </c>
      <c r="F320" s="148" t="s">
        <v>16</v>
      </c>
      <c r="G320" s="148" t="s">
        <v>17</v>
      </c>
      <c r="H320" s="148" t="s">
        <v>18</v>
      </c>
      <c r="I320" s="148" t="s">
        <v>19</v>
      </c>
      <c r="J320" s="148" t="s">
        <v>20</v>
      </c>
      <c r="K320" s="148" t="s">
        <v>21</v>
      </c>
      <c r="L320" s="148" t="s">
        <v>22</v>
      </c>
      <c r="M320" s="148" t="s">
        <v>23</v>
      </c>
      <c r="N320" s="148" t="s">
        <v>24</v>
      </c>
      <c r="O320" s="148" t="s">
        <v>25</v>
      </c>
      <c r="P320" s="148" t="s">
        <v>26</v>
      </c>
      <c r="Q320" s="148" t="s">
        <v>27</v>
      </c>
      <c r="R320" s="362" t="s">
        <v>30</v>
      </c>
      <c r="S320" s="362"/>
      <c r="T320" s="362"/>
      <c r="U320" s="362"/>
      <c r="V320" s="362"/>
      <c r="W320" s="362"/>
      <c r="X320" s="362"/>
      <c r="Y320" s="362"/>
      <c r="Z320" s="362"/>
      <c r="AA320" s="362"/>
      <c r="AB320" s="362"/>
      <c r="AC320" s="362"/>
      <c r="AD320" s="362"/>
      <c r="AE320" s="362"/>
      <c r="AF320" s="362"/>
      <c r="AG320" s="67" t="s">
        <v>28</v>
      </c>
      <c r="AH320" s="149" t="s">
        <v>29</v>
      </c>
      <c r="AI320" s="6"/>
    </row>
    <row r="321" spans="1:35" ht="15.75" thickBot="1" x14ac:dyDescent="0.3">
      <c r="A321" s="3"/>
      <c r="B321" s="5"/>
      <c r="C321" s="150">
        <v>0</v>
      </c>
      <c r="D321" s="151">
        <v>0</v>
      </c>
      <c r="E321" s="151">
        <v>0</v>
      </c>
      <c r="F321" s="151">
        <v>0</v>
      </c>
      <c r="G321" s="151">
        <v>0</v>
      </c>
      <c r="H321" s="151">
        <v>0</v>
      </c>
      <c r="I321" s="151">
        <v>0</v>
      </c>
      <c r="J321" s="151">
        <v>0</v>
      </c>
      <c r="K321" s="151">
        <v>0</v>
      </c>
      <c r="L321" s="151">
        <v>0</v>
      </c>
      <c r="M321" s="151">
        <v>0</v>
      </c>
      <c r="N321" s="151">
        <v>1</v>
      </c>
      <c r="O321" s="151">
        <v>0</v>
      </c>
      <c r="P321" s="151">
        <v>0</v>
      </c>
      <c r="Q321" s="151">
        <v>0</v>
      </c>
      <c r="R321" s="151">
        <v>0</v>
      </c>
      <c r="S321" s="151">
        <v>0</v>
      </c>
      <c r="T321" s="151">
        <v>0</v>
      </c>
      <c r="U321" s="151">
        <v>0</v>
      </c>
      <c r="V321" s="151">
        <v>0</v>
      </c>
      <c r="W321" s="151">
        <v>0</v>
      </c>
      <c r="X321" s="151">
        <v>0</v>
      </c>
      <c r="Y321" s="151">
        <v>0</v>
      </c>
      <c r="Z321" s="151">
        <v>1</v>
      </c>
      <c r="AA321" s="151">
        <v>0</v>
      </c>
      <c r="AB321" s="151">
        <v>0</v>
      </c>
      <c r="AC321" s="151">
        <v>1</v>
      </c>
      <c r="AD321" s="151">
        <v>0</v>
      </c>
      <c r="AE321" s="151">
        <v>1</v>
      </c>
      <c r="AF321" s="151">
        <v>1</v>
      </c>
      <c r="AG321" s="151">
        <v>0</v>
      </c>
      <c r="AH321" s="152">
        <v>0</v>
      </c>
      <c r="AI321" s="6"/>
    </row>
    <row r="322" spans="1:35" x14ac:dyDescent="0.25">
      <c r="A322" s="3"/>
      <c r="B322" s="4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6"/>
    </row>
    <row r="323" spans="1:35" x14ac:dyDescent="0.25">
      <c r="A323" s="3"/>
      <c r="B323" s="8" t="s">
        <v>43</v>
      </c>
      <c r="C323" s="9"/>
      <c r="D323" s="9"/>
      <c r="E323" s="9"/>
      <c r="F323" s="363" t="s">
        <v>44</v>
      </c>
      <c r="G323" s="363"/>
      <c r="H323" s="363"/>
      <c r="I323" s="9"/>
      <c r="J323" s="364" t="s">
        <v>45</v>
      </c>
      <c r="K323" s="364"/>
      <c r="L323" s="364"/>
      <c r="M323" s="364"/>
      <c r="N323" s="9"/>
      <c r="O323" s="365" t="s">
        <v>46</v>
      </c>
      <c r="P323" s="365"/>
      <c r="Q323" s="365"/>
      <c r="R323" s="365"/>
      <c r="S323" s="9"/>
      <c r="T323" s="1" t="s">
        <v>49</v>
      </c>
      <c r="U323" s="10" t="s">
        <v>48</v>
      </c>
      <c r="V323" s="5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6"/>
    </row>
    <row r="324" spans="1:35" x14ac:dyDescent="0.25">
      <c r="A324" s="3"/>
      <c r="B324" s="317" t="str">
        <f>"0x"&amp;DEC2HEX(Sheet3!$I$4,8)</f>
        <v>0x00400320</v>
      </c>
      <c r="C324" s="317"/>
      <c r="D324" s="317"/>
      <c r="E324" s="12"/>
      <c r="F324" s="319" t="str">
        <f>"0x"&amp;BIN2HEX(CONCATENATE(C317,D317,E317,F317,G317,H317,I317,J317),2)&amp;BIN2HEX(CONCATENATE(K317,L317,M317,N317,O317,P317,Q317,R317),2)&amp;BIN2HEX(CONCATENATE(S317,T317,U317,V317,W317,X317,Y317,Z317),2)&amp;BIN2HEX(CONCATENATE(AA317,AB317,AC317,AD317,AE317,AF317,AG317,AH317),2)</f>
        <v>0xEF1FFFFF</v>
      </c>
      <c r="G324" s="319"/>
      <c r="H324" s="319"/>
      <c r="I324" s="12"/>
      <c r="J324" s="319" t="str">
        <f>"0b"&amp;C321&amp;D321&amp;E321&amp;F321&amp;G321&amp;H321&amp;I321&amp;J321&amp;K321&amp;L321&amp;M321&amp;N321&amp;O321&amp;P321&amp;Q321</f>
        <v>0b000000000001000</v>
      </c>
      <c r="K324" s="319"/>
      <c r="L324" s="319"/>
      <c r="M324" s="319"/>
      <c r="N324" s="12"/>
      <c r="O324" s="319" t="str">
        <f>"0b"&amp;DEC2BIN(((AF321+AE321*2+AD321*4+AC321*8+AB321*16+AA321*32+Z321*64+Y321*128+X321*256+W321*512+V321*1024+U321*2048+T321*4096+S321*2^13+R321*2^14)/512),6)&amp;DEC2BIN(MOD((AF321+AE321*2+AD321*4+AC321*8+AB321*16+AA321*32+Z321*64+Y321*128+X321*256+W321*512+V321*1024+U321*2048+T321*4096+S321*2^13+R321*2^14),512),9)</f>
        <v>0b000000001001011</v>
      </c>
      <c r="P324" s="319"/>
      <c r="Q324" s="319"/>
      <c r="R324" s="319"/>
      <c r="S324" s="12"/>
      <c r="T324" s="196">
        <v>0</v>
      </c>
      <c r="U324" s="196">
        <f>AH321</f>
        <v>0</v>
      </c>
      <c r="V324" s="5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6"/>
    </row>
    <row r="325" spans="1:35" x14ac:dyDescent="0.25">
      <c r="A325" s="3"/>
      <c r="B325" s="317"/>
      <c r="C325" s="317"/>
      <c r="D325" s="317"/>
      <c r="E325" s="15"/>
      <c r="F325" s="319"/>
      <c r="G325" s="319"/>
      <c r="H325" s="319"/>
      <c r="I325" s="15"/>
      <c r="J325" s="317"/>
      <c r="K325" s="317"/>
      <c r="L325" s="317"/>
      <c r="M325" s="317"/>
      <c r="N325" s="15"/>
      <c r="O325" s="317"/>
      <c r="P325" s="317"/>
      <c r="Q325" s="317"/>
      <c r="R325" s="317"/>
      <c r="S325" s="15"/>
      <c r="T325" s="196"/>
      <c r="U325" s="15"/>
      <c r="V325" s="5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6"/>
    </row>
    <row r="326" spans="1:35" x14ac:dyDescent="0.25">
      <c r="A326" s="3"/>
      <c r="B326" s="317"/>
      <c r="C326" s="317"/>
      <c r="D326" s="317"/>
      <c r="E326" s="15"/>
      <c r="F326" s="319"/>
      <c r="G326" s="319"/>
      <c r="H326" s="319"/>
      <c r="I326" s="15"/>
      <c r="J326" s="317"/>
      <c r="K326" s="317"/>
      <c r="L326" s="317"/>
      <c r="M326" s="317"/>
      <c r="N326" s="15"/>
      <c r="O326" s="317"/>
      <c r="P326" s="317"/>
      <c r="Q326" s="317"/>
      <c r="R326" s="317"/>
      <c r="S326" s="15"/>
      <c r="T326" s="196"/>
      <c r="U326" s="15"/>
      <c r="V326" s="5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6"/>
    </row>
    <row r="327" spans="1:35" x14ac:dyDescent="0.25">
      <c r="A327" s="3"/>
      <c r="B327" s="5"/>
      <c r="C327" s="5"/>
      <c r="D327" s="5"/>
      <c r="E327" s="5"/>
      <c r="F327" s="17"/>
      <c r="G327" s="17"/>
      <c r="H327" s="17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6"/>
    </row>
    <row r="328" spans="1:35" x14ac:dyDescent="0.25">
      <c r="A328" s="3"/>
      <c r="B328" s="5" t="s">
        <v>47</v>
      </c>
      <c r="C328" s="18"/>
      <c r="D328" s="18"/>
      <c r="E328" s="18"/>
      <c r="F328" s="5"/>
      <c r="G328" s="5"/>
      <c r="H328" s="5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6"/>
    </row>
    <row r="329" spans="1:35" x14ac:dyDescent="0.25">
      <c r="A329" s="3"/>
      <c r="B329" s="317" t="str">
        <f>"0x"&amp;DEC2HEX(Sheet3!$I$4,8)</f>
        <v>0x00400320</v>
      </c>
      <c r="C329" s="317"/>
      <c r="D329" s="317"/>
      <c r="E329" s="16"/>
      <c r="F329" s="322" t="str">
        <f>F324&amp;BIN2HEX(MID(J324,3,8),2)&amp;BIN2HEX(RIGHT(J324,7)&amp;MID(O324,3,1),2)&amp;BIN2HEX(MID(O324,4,8),2)&amp;BIN2HEX(RIGHT(O324,6)&amp;T324&amp;U324,2)</f>
        <v>0xEF1FFFFF0010012C</v>
      </c>
      <c r="G329" s="322"/>
      <c r="H329" s="322"/>
      <c r="I329" s="322"/>
      <c r="J329" s="5"/>
      <c r="K329" s="5"/>
      <c r="L329" s="5"/>
      <c r="M329" s="5"/>
      <c r="N329" s="5"/>
      <c r="O329" s="5"/>
      <c r="P329" s="16"/>
      <c r="Q329" s="16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5"/>
      <c r="AH329" s="5"/>
      <c r="AI329" s="6"/>
    </row>
    <row r="330" spans="1:35" x14ac:dyDescent="0.25">
      <c r="A330" s="3"/>
      <c r="B330" s="317"/>
      <c r="C330" s="317"/>
      <c r="D330" s="317"/>
      <c r="E330" s="5"/>
      <c r="F330" s="322"/>
      <c r="G330" s="322"/>
      <c r="H330" s="322"/>
      <c r="I330" s="322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6"/>
    </row>
    <row r="331" spans="1:35" x14ac:dyDescent="0.25">
      <c r="A331" s="3"/>
      <c r="B331" s="317"/>
      <c r="C331" s="317"/>
      <c r="D331" s="317"/>
      <c r="E331" s="5"/>
      <c r="F331" s="322"/>
      <c r="G331" s="322"/>
      <c r="H331" s="322"/>
      <c r="I331" s="322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6"/>
    </row>
    <row r="332" spans="1:35" x14ac:dyDescent="0.25">
      <c r="A332" s="20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2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3"/>
    </row>
    <row r="333" spans="1:35" x14ac:dyDescent="0.25">
      <c r="A333" s="24"/>
      <c r="B333" s="28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6"/>
    </row>
    <row r="334" spans="1:35" x14ac:dyDescent="0.25">
      <c r="A334" s="3"/>
      <c r="B334" s="4" t="s">
        <v>283</v>
      </c>
      <c r="C334" s="5"/>
      <c r="D334" s="5"/>
      <c r="E334" s="5"/>
      <c r="F334" s="5"/>
      <c r="G334" s="5"/>
      <c r="H334" s="5"/>
      <c r="I334" s="5" t="str">
        <f>"0x"&amp;BIN2HEX(CONCATENATE(C339,D339,E339,F339,G339,H339,I339,J339),2)&amp;BIN2HEX(CONCATENATE(K339,L339,M339,N339,O339,P339,Q339,R339),2)&amp;BIN2HEX(CONCATENATE(S339,T339,U339,V339,W339,X339,Y339,Z339),2)&amp;BIN2HEX(CONCATENATE(AA339,AB339,AC339,AD339,AE339,AF339,AG339,AH339),2)&amp;"_"&amp;BIN2HEX(CONCATENATE(C343,D343,E343,F343,G343,H343,I343,J343),2)&amp;BIN2HEX(CONCATENATE(K343,L343,M343,N343,O343,P343,Q343,R343),2)&amp;BIN2HEX(CONCATENATE(S343,T343,U343,V343,W343,X343,Y343,Z343),2)&amp;BIN2HEX(CONCATENATE(AA343,AB343,AC343,AD343,AE343,AF343,AG343,AH343),2)</f>
        <v>0xFFFFFFFF_00100130</v>
      </c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6"/>
    </row>
    <row r="335" spans="1:35" ht="15.75" thickBot="1" x14ac:dyDescent="0.3">
      <c r="A335" s="3"/>
      <c r="B335" s="5"/>
      <c r="C335" s="7">
        <v>0</v>
      </c>
      <c r="D335" s="7">
        <v>1</v>
      </c>
      <c r="E335" s="7">
        <v>2</v>
      </c>
      <c r="F335" s="7">
        <v>3</v>
      </c>
      <c r="G335" s="7">
        <v>4</v>
      </c>
      <c r="H335" s="7">
        <v>5</v>
      </c>
      <c r="I335" s="7">
        <v>6</v>
      </c>
      <c r="J335" s="7">
        <v>7</v>
      </c>
      <c r="K335" s="7">
        <v>8</v>
      </c>
      <c r="L335" s="7">
        <v>9</v>
      </c>
      <c r="M335" s="7">
        <v>10</v>
      </c>
      <c r="N335" s="7">
        <v>11</v>
      </c>
      <c r="O335" s="7">
        <v>12</v>
      </c>
      <c r="P335" s="7">
        <v>13</v>
      </c>
      <c r="Q335" s="7">
        <v>14</v>
      </c>
      <c r="R335" s="7">
        <v>15</v>
      </c>
      <c r="S335" s="7">
        <v>16</v>
      </c>
      <c r="T335" s="7">
        <v>17</v>
      </c>
      <c r="U335" s="7">
        <v>18</v>
      </c>
      <c r="V335" s="7">
        <v>19</v>
      </c>
      <c r="W335" s="7">
        <v>20</v>
      </c>
      <c r="X335" s="7">
        <v>21</v>
      </c>
      <c r="Y335" s="7">
        <v>22</v>
      </c>
      <c r="Z335" s="7">
        <v>23</v>
      </c>
      <c r="AA335" s="7">
        <v>24</v>
      </c>
      <c r="AB335" s="7">
        <v>25</v>
      </c>
      <c r="AC335" s="7">
        <v>26</v>
      </c>
      <c r="AD335" s="7">
        <v>27</v>
      </c>
      <c r="AE335" s="7">
        <v>28</v>
      </c>
      <c r="AF335" s="7">
        <v>29</v>
      </c>
      <c r="AG335" s="7">
        <v>30</v>
      </c>
      <c r="AH335" s="7">
        <v>31</v>
      </c>
      <c r="AI335" s="6"/>
    </row>
    <row r="336" spans="1:35" x14ac:dyDescent="0.25">
      <c r="A336" s="3"/>
      <c r="B336" s="5" t="s">
        <v>31</v>
      </c>
      <c r="C336" s="328" t="s">
        <v>296</v>
      </c>
      <c r="D336" s="345" t="s">
        <v>297</v>
      </c>
      <c r="E336" s="330" t="s">
        <v>298</v>
      </c>
      <c r="F336" s="331"/>
      <c r="G336" s="331"/>
      <c r="H336" s="331"/>
      <c r="I336" s="331"/>
      <c r="J336" s="331"/>
      <c r="K336" s="331"/>
      <c r="L336" s="331"/>
      <c r="M336" s="331"/>
      <c r="N336" s="331"/>
      <c r="O336" s="331"/>
      <c r="P336" s="331"/>
      <c r="Q336" s="331"/>
      <c r="R336" s="332"/>
      <c r="S336" s="330" t="s">
        <v>299</v>
      </c>
      <c r="T336" s="331"/>
      <c r="U336" s="331"/>
      <c r="V336" s="331"/>
      <c r="W336" s="331"/>
      <c r="X336" s="331"/>
      <c r="Y336" s="331"/>
      <c r="Z336" s="331"/>
      <c r="AA336" s="331"/>
      <c r="AB336" s="331"/>
      <c r="AC336" s="331"/>
      <c r="AD336" s="331"/>
      <c r="AE336" s="331"/>
      <c r="AF336" s="331"/>
      <c r="AG336" s="331"/>
      <c r="AH336" s="355"/>
      <c r="AI336" s="6"/>
    </row>
    <row r="337" spans="1:35" x14ac:dyDescent="0.25">
      <c r="A337" s="3"/>
      <c r="B337" s="5" t="s">
        <v>32</v>
      </c>
      <c r="C337" s="329"/>
      <c r="D337" s="346"/>
      <c r="E337" s="333"/>
      <c r="F337" s="334"/>
      <c r="G337" s="334"/>
      <c r="H337" s="334"/>
      <c r="I337" s="334"/>
      <c r="J337" s="334"/>
      <c r="K337" s="334"/>
      <c r="L337" s="334"/>
      <c r="M337" s="334"/>
      <c r="N337" s="334"/>
      <c r="O337" s="334"/>
      <c r="P337" s="334"/>
      <c r="Q337" s="334"/>
      <c r="R337" s="335"/>
      <c r="S337" s="333"/>
      <c r="T337" s="334"/>
      <c r="U337" s="334"/>
      <c r="V337" s="334"/>
      <c r="W337" s="334"/>
      <c r="X337" s="334"/>
      <c r="Y337" s="334"/>
      <c r="Z337" s="334"/>
      <c r="AA337" s="334"/>
      <c r="AB337" s="334"/>
      <c r="AC337" s="334"/>
      <c r="AD337" s="334"/>
      <c r="AE337" s="334"/>
      <c r="AF337" s="334"/>
      <c r="AG337" s="334"/>
      <c r="AH337" s="357"/>
      <c r="AI337" s="6"/>
    </row>
    <row r="338" spans="1:35" x14ac:dyDescent="0.25">
      <c r="A338" s="3"/>
      <c r="B338" s="5" t="s">
        <v>11</v>
      </c>
      <c r="C338" s="56">
        <v>1</v>
      </c>
      <c r="D338" s="57">
        <v>1</v>
      </c>
      <c r="E338" s="57">
        <v>1</v>
      </c>
      <c r="F338" s="57">
        <v>1</v>
      </c>
      <c r="G338" s="57">
        <v>1</v>
      </c>
      <c r="H338" s="57">
        <v>1</v>
      </c>
      <c r="I338" s="57">
        <v>1</v>
      </c>
      <c r="J338" s="57">
        <v>1</v>
      </c>
      <c r="K338" s="57">
        <v>1</v>
      </c>
      <c r="L338" s="57">
        <v>1</v>
      </c>
      <c r="M338" s="57">
        <v>1</v>
      </c>
      <c r="N338" s="57">
        <v>1</v>
      </c>
      <c r="O338" s="57">
        <v>1</v>
      </c>
      <c r="P338" s="57">
        <v>1</v>
      </c>
      <c r="Q338" s="57">
        <v>1</v>
      </c>
      <c r="R338" s="57">
        <v>1</v>
      </c>
      <c r="S338" s="57">
        <v>1</v>
      </c>
      <c r="T338" s="57">
        <v>1</v>
      </c>
      <c r="U338" s="57">
        <v>1</v>
      </c>
      <c r="V338" s="57">
        <v>1</v>
      </c>
      <c r="W338" s="57">
        <v>1</v>
      </c>
      <c r="X338" s="57">
        <v>1</v>
      </c>
      <c r="Y338" s="57">
        <v>1</v>
      </c>
      <c r="Z338" s="57">
        <v>1</v>
      </c>
      <c r="AA338" s="57">
        <v>1</v>
      </c>
      <c r="AB338" s="57">
        <v>1</v>
      </c>
      <c r="AC338" s="57">
        <v>1</v>
      </c>
      <c r="AD338" s="57">
        <v>1</v>
      </c>
      <c r="AE338" s="57">
        <v>1</v>
      </c>
      <c r="AF338" s="57">
        <v>1</v>
      </c>
      <c r="AG338" s="57">
        <v>1</v>
      </c>
      <c r="AH338" s="58">
        <v>1</v>
      </c>
      <c r="AI338" s="6"/>
    </row>
    <row r="339" spans="1:35" ht="15.75" thickBot="1" x14ac:dyDescent="0.3">
      <c r="A339" s="3"/>
      <c r="B339" s="5" t="s">
        <v>12</v>
      </c>
      <c r="C339" s="145">
        <v>1</v>
      </c>
      <c r="D339" s="88">
        <v>1</v>
      </c>
      <c r="E339" s="88">
        <v>1</v>
      </c>
      <c r="F339" s="88">
        <v>1</v>
      </c>
      <c r="G339" s="88">
        <v>1</v>
      </c>
      <c r="H339" s="88">
        <v>1</v>
      </c>
      <c r="I339" s="88">
        <v>1</v>
      </c>
      <c r="J339" s="88">
        <v>1</v>
      </c>
      <c r="K339" s="88">
        <v>1</v>
      </c>
      <c r="L339" s="88">
        <v>1</v>
      </c>
      <c r="M339" s="88">
        <v>1</v>
      </c>
      <c r="N339" s="88">
        <v>1</v>
      </c>
      <c r="O339" s="88">
        <v>1</v>
      </c>
      <c r="P339" s="88">
        <v>1</v>
      </c>
      <c r="Q339" s="88">
        <v>1</v>
      </c>
      <c r="R339" s="88">
        <v>1</v>
      </c>
      <c r="S339" s="88">
        <v>1</v>
      </c>
      <c r="T339" s="88">
        <v>1</v>
      </c>
      <c r="U339" s="88">
        <v>1</v>
      </c>
      <c r="V339" s="88">
        <v>1</v>
      </c>
      <c r="W339" s="88">
        <v>1</v>
      </c>
      <c r="X339" s="88">
        <v>1</v>
      </c>
      <c r="Y339" s="88">
        <v>1</v>
      </c>
      <c r="Z339" s="88">
        <v>1</v>
      </c>
      <c r="AA339" s="88">
        <v>1</v>
      </c>
      <c r="AB339" s="88">
        <v>1</v>
      </c>
      <c r="AC339" s="88">
        <v>1</v>
      </c>
      <c r="AD339" s="88">
        <v>1</v>
      </c>
      <c r="AE339" s="88">
        <v>1</v>
      </c>
      <c r="AF339" s="88">
        <v>1</v>
      </c>
      <c r="AG339" s="88">
        <v>1</v>
      </c>
      <c r="AH339" s="89">
        <v>1</v>
      </c>
      <c r="AI339" s="6"/>
    </row>
    <row r="340" spans="1:35" x14ac:dyDescent="0.25">
      <c r="A340" s="3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6"/>
    </row>
    <row r="341" spans="1:35" ht="15.75" thickBot="1" x14ac:dyDescent="0.3">
      <c r="A341" s="3"/>
      <c r="B341" s="5"/>
      <c r="C341" s="7">
        <v>32</v>
      </c>
      <c r="D341" s="7">
        <v>33</v>
      </c>
      <c r="E341" s="7">
        <v>34</v>
      </c>
      <c r="F341" s="7">
        <v>35</v>
      </c>
      <c r="G341" s="7">
        <v>36</v>
      </c>
      <c r="H341" s="7">
        <v>37</v>
      </c>
      <c r="I341" s="7">
        <v>38</v>
      </c>
      <c r="J341" s="7">
        <v>39</v>
      </c>
      <c r="K341" s="7">
        <v>40</v>
      </c>
      <c r="L341" s="7">
        <v>41</v>
      </c>
      <c r="M341" s="7">
        <v>42</v>
      </c>
      <c r="N341" s="7">
        <v>43</v>
      </c>
      <c r="O341" s="7">
        <v>44</v>
      </c>
      <c r="P341" s="7">
        <v>45</v>
      </c>
      <c r="Q341" s="7">
        <v>46</v>
      </c>
      <c r="R341" s="7">
        <v>47</v>
      </c>
      <c r="S341" s="7">
        <v>48</v>
      </c>
      <c r="T341" s="7">
        <v>49</v>
      </c>
      <c r="U341" s="7">
        <v>50</v>
      </c>
      <c r="V341" s="7">
        <v>51</v>
      </c>
      <c r="W341" s="7">
        <v>52</v>
      </c>
      <c r="X341" s="7">
        <v>53</v>
      </c>
      <c r="Y341" s="7">
        <v>54</v>
      </c>
      <c r="Z341" s="7">
        <v>55</v>
      </c>
      <c r="AA341" s="7">
        <v>56</v>
      </c>
      <c r="AB341" s="7">
        <v>57</v>
      </c>
      <c r="AC341" s="7">
        <v>58</v>
      </c>
      <c r="AD341" s="7">
        <v>59</v>
      </c>
      <c r="AE341" s="7">
        <v>60</v>
      </c>
      <c r="AF341" s="7">
        <v>61</v>
      </c>
      <c r="AG341" s="7">
        <v>62</v>
      </c>
      <c r="AH341" s="7">
        <v>63</v>
      </c>
      <c r="AI341" s="6"/>
    </row>
    <row r="342" spans="1:35" ht="15.75" thickBot="1" x14ac:dyDescent="0.3">
      <c r="A342" s="3"/>
      <c r="B342" s="5"/>
      <c r="C342" s="147" t="s">
        <v>13</v>
      </c>
      <c r="D342" s="148" t="s">
        <v>14</v>
      </c>
      <c r="E342" s="148" t="s">
        <v>15</v>
      </c>
      <c r="F342" s="148" t="s">
        <v>16</v>
      </c>
      <c r="G342" s="148" t="s">
        <v>17</v>
      </c>
      <c r="H342" s="148" t="s">
        <v>18</v>
      </c>
      <c r="I342" s="148" t="s">
        <v>19</v>
      </c>
      <c r="J342" s="148" t="s">
        <v>20</v>
      </c>
      <c r="K342" s="148" t="s">
        <v>21</v>
      </c>
      <c r="L342" s="148" t="s">
        <v>22</v>
      </c>
      <c r="M342" s="148" t="s">
        <v>23</v>
      </c>
      <c r="N342" s="148" t="s">
        <v>24</v>
      </c>
      <c r="O342" s="148" t="s">
        <v>25</v>
      </c>
      <c r="P342" s="148" t="s">
        <v>26</v>
      </c>
      <c r="Q342" s="148" t="s">
        <v>27</v>
      </c>
      <c r="R342" s="362" t="s">
        <v>30</v>
      </c>
      <c r="S342" s="362"/>
      <c r="T342" s="362"/>
      <c r="U342" s="362"/>
      <c r="V342" s="362"/>
      <c r="W342" s="362"/>
      <c r="X342" s="362"/>
      <c r="Y342" s="362"/>
      <c r="Z342" s="362"/>
      <c r="AA342" s="362"/>
      <c r="AB342" s="362"/>
      <c r="AC342" s="362"/>
      <c r="AD342" s="362"/>
      <c r="AE342" s="362"/>
      <c r="AF342" s="362"/>
      <c r="AG342" s="67" t="s">
        <v>28</v>
      </c>
      <c r="AH342" s="149" t="s">
        <v>29</v>
      </c>
      <c r="AI342" s="6"/>
    </row>
    <row r="343" spans="1:35" ht="15.75" thickBot="1" x14ac:dyDescent="0.3">
      <c r="A343" s="3"/>
      <c r="B343" s="5"/>
      <c r="C343" s="150">
        <v>0</v>
      </c>
      <c r="D343" s="151">
        <v>0</v>
      </c>
      <c r="E343" s="151">
        <v>0</v>
      </c>
      <c r="F343" s="151">
        <v>0</v>
      </c>
      <c r="G343" s="151">
        <v>0</v>
      </c>
      <c r="H343" s="151">
        <v>0</v>
      </c>
      <c r="I343" s="151">
        <v>0</v>
      </c>
      <c r="J343" s="151">
        <v>0</v>
      </c>
      <c r="K343" s="151">
        <v>0</v>
      </c>
      <c r="L343" s="151">
        <v>0</v>
      </c>
      <c r="M343" s="151">
        <v>0</v>
      </c>
      <c r="N343" s="151">
        <v>1</v>
      </c>
      <c r="O343" s="151">
        <v>0</v>
      </c>
      <c r="P343" s="151">
        <v>0</v>
      </c>
      <c r="Q343" s="151">
        <v>0</v>
      </c>
      <c r="R343" s="151">
        <v>0</v>
      </c>
      <c r="S343" s="151">
        <v>0</v>
      </c>
      <c r="T343" s="151">
        <v>0</v>
      </c>
      <c r="U343" s="151">
        <v>0</v>
      </c>
      <c r="V343" s="151">
        <v>0</v>
      </c>
      <c r="W343" s="151">
        <v>0</v>
      </c>
      <c r="X343" s="151">
        <v>0</v>
      </c>
      <c r="Y343" s="151">
        <v>0</v>
      </c>
      <c r="Z343" s="151">
        <v>1</v>
      </c>
      <c r="AA343" s="151">
        <v>0</v>
      </c>
      <c r="AB343" s="151">
        <v>0</v>
      </c>
      <c r="AC343" s="151">
        <v>1</v>
      </c>
      <c r="AD343" s="151">
        <v>1</v>
      </c>
      <c r="AE343" s="151">
        <v>0</v>
      </c>
      <c r="AF343" s="151">
        <v>0</v>
      </c>
      <c r="AG343" s="151">
        <v>0</v>
      </c>
      <c r="AH343" s="152">
        <v>0</v>
      </c>
      <c r="AI343" s="6"/>
    </row>
    <row r="344" spans="1:35" x14ac:dyDescent="0.25">
      <c r="A344" s="3"/>
      <c r="B344" s="4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6"/>
    </row>
    <row r="345" spans="1:35" x14ac:dyDescent="0.25">
      <c r="A345" s="3"/>
      <c r="B345" s="8" t="s">
        <v>43</v>
      </c>
      <c r="C345" s="9"/>
      <c r="D345" s="9"/>
      <c r="E345" s="9"/>
      <c r="F345" s="363" t="s">
        <v>44</v>
      </c>
      <c r="G345" s="363"/>
      <c r="H345" s="363"/>
      <c r="I345" s="9"/>
      <c r="J345" s="364" t="s">
        <v>45</v>
      </c>
      <c r="K345" s="364"/>
      <c r="L345" s="364"/>
      <c r="M345" s="364"/>
      <c r="N345" s="9"/>
      <c r="O345" s="365" t="s">
        <v>46</v>
      </c>
      <c r="P345" s="365"/>
      <c r="Q345" s="365"/>
      <c r="R345" s="365"/>
      <c r="S345" s="9"/>
      <c r="T345" s="1" t="s">
        <v>49</v>
      </c>
      <c r="U345" s="10" t="s">
        <v>48</v>
      </c>
      <c r="V345" s="5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6"/>
    </row>
    <row r="346" spans="1:35" x14ac:dyDescent="0.25">
      <c r="A346" s="3"/>
      <c r="B346" s="317" t="str">
        <f>"0x"&amp;DEC2HEX(Sheet3!$I$4,8)</f>
        <v>0x00400320</v>
      </c>
      <c r="C346" s="317"/>
      <c r="D346" s="317"/>
      <c r="E346" s="12"/>
      <c r="F346" s="319" t="str">
        <f>"0x"&amp;BIN2HEX(CONCATENATE(C339,D339,E339,F339,G339,H339,I339,J339),2)&amp;BIN2HEX(CONCATENATE(K339,L339,M339,N339,O339,P339,Q339,R339),2)&amp;BIN2HEX(CONCATENATE(S339,T339,U339,V339,W339,X339,Y339,Z339),2)&amp;BIN2HEX(CONCATENATE(AA339,AB339,AC339,AD339,AE339,AF339,AG339,AH339),2)</f>
        <v>0xFFFFFFFF</v>
      </c>
      <c r="G346" s="319"/>
      <c r="H346" s="319"/>
      <c r="I346" s="12"/>
      <c r="J346" s="319" t="str">
        <f>"0b"&amp;C343&amp;D343&amp;E343&amp;F343&amp;G343&amp;H343&amp;I343&amp;J343&amp;K343&amp;L343&amp;M343&amp;N343&amp;O343&amp;P343&amp;Q343</f>
        <v>0b000000000001000</v>
      </c>
      <c r="K346" s="319"/>
      <c r="L346" s="319"/>
      <c r="M346" s="319"/>
      <c r="N346" s="12"/>
      <c r="O346" s="319" t="str">
        <f>"0b"&amp;DEC2BIN(((AF343+AE343*2+AD343*4+AC343*8+AB343*16+AA343*32+Z343*64+Y343*128+X343*256+W343*512+V343*1024+U343*2048+T343*4096+S343*2^13+R343*2^14)/512),6)&amp;DEC2BIN(MOD((AF343+AE343*2+AD343*4+AC343*8+AB343*16+AA343*32+Z343*64+Y343*128+X343*256+W343*512+V343*1024+U343*2048+T343*4096+S343*2^13+R343*2^14),512),9)</f>
        <v>0b000000001001100</v>
      </c>
      <c r="P346" s="319"/>
      <c r="Q346" s="319"/>
      <c r="R346" s="319"/>
      <c r="S346" s="12"/>
      <c r="T346" s="196">
        <v>0</v>
      </c>
      <c r="U346" s="196">
        <f>AH343</f>
        <v>0</v>
      </c>
      <c r="V346" s="5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6"/>
    </row>
    <row r="347" spans="1:35" x14ac:dyDescent="0.25">
      <c r="A347" s="3"/>
      <c r="B347" s="317"/>
      <c r="C347" s="317"/>
      <c r="D347" s="317"/>
      <c r="E347" s="15"/>
      <c r="F347" s="319"/>
      <c r="G347" s="319"/>
      <c r="H347" s="319"/>
      <c r="I347" s="15"/>
      <c r="J347" s="317"/>
      <c r="K347" s="317"/>
      <c r="L347" s="317"/>
      <c r="M347" s="317"/>
      <c r="N347" s="15"/>
      <c r="O347" s="317"/>
      <c r="P347" s="317"/>
      <c r="Q347" s="317"/>
      <c r="R347" s="317"/>
      <c r="S347" s="15"/>
      <c r="T347" s="196"/>
      <c r="U347" s="15"/>
      <c r="V347" s="5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6"/>
    </row>
    <row r="348" spans="1:35" x14ac:dyDescent="0.25">
      <c r="A348" s="3"/>
      <c r="B348" s="317"/>
      <c r="C348" s="317"/>
      <c r="D348" s="317"/>
      <c r="E348" s="15"/>
      <c r="F348" s="319"/>
      <c r="G348" s="319"/>
      <c r="H348" s="319"/>
      <c r="I348" s="15"/>
      <c r="J348" s="317"/>
      <c r="K348" s="317"/>
      <c r="L348" s="317"/>
      <c r="M348" s="317"/>
      <c r="N348" s="15"/>
      <c r="O348" s="317"/>
      <c r="P348" s="317"/>
      <c r="Q348" s="317"/>
      <c r="R348" s="317"/>
      <c r="S348" s="15"/>
      <c r="T348" s="196"/>
      <c r="U348" s="15"/>
      <c r="V348" s="5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6"/>
    </row>
    <row r="349" spans="1:35" x14ac:dyDescent="0.25">
      <c r="A349" s="3"/>
      <c r="B349" s="5"/>
      <c r="C349" s="5"/>
      <c r="D349" s="5"/>
      <c r="E349" s="5"/>
      <c r="F349" s="17"/>
      <c r="G349" s="17"/>
      <c r="H349" s="17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6"/>
    </row>
    <row r="350" spans="1:35" x14ac:dyDescent="0.25">
      <c r="A350" s="3"/>
      <c r="B350" s="5" t="s">
        <v>47</v>
      </c>
      <c r="C350" s="18"/>
      <c r="D350" s="18"/>
      <c r="E350" s="18"/>
      <c r="F350" s="5"/>
      <c r="G350" s="5"/>
      <c r="H350" s="5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6"/>
    </row>
    <row r="351" spans="1:35" x14ac:dyDescent="0.25">
      <c r="A351" s="3"/>
      <c r="B351" s="317" t="str">
        <f>"0x"&amp;DEC2HEX(Sheet3!$I$4,8)</f>
        <v>0x00400320</v>
      </c>
      <c r="C351" s="317"/>
      <c r="D351" s="317"/>
      <c r="E351" s="16"/>
      <c r="F351" s="322" t="str">
        <f>F346&amp;BIN2HEX(MID(J346,3,8),2)&amp;BIN2HEX(RIGHT(J346,7)&amp;MID(O346,3,1),2)&amp;BIN2HEX(MID(O346,4,8),2)&amp;BIN2HEX(RIGHT(O346,6)&amp;T346&amp;U346,2)</f>
        <v>0xFFFFFFFF00100130</v>
      </c>
      <c r="G351" s="322"/>
      <c r="H351" s="322"/>
      <c r="I351" s="322"/>
      <c r="J351" s="5"/>
      <c r="K351" s="5"/>
      <c r="L351" s="5"/>
      <c r="M351" s="5"/>
      <c r="N351" s="5"/>
      <c r="O351" s="5"/>
      <c r="P351" s="16"/>
      <c r="Q351" s="16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5"/>
      <c r="AH351" s="5"/>
      <c r="AI351" s="6"/>
    </row>
    <row r="352" spans="1:35" x14ac:dyDescent="0.25">
      <c r="A352" s="3"/>
      <c r="B352" s="317"/>
      <c r="C352" s="317"/>
      <c r="D352" s="317"/>
      <c r="E352" s="5"/>
      <c r="F352" s="322"/>
      <c r="G352" s="322"/>
      <c r="H352" s="322"/>
      <c r="I352" s="322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6"/>
    </row>
    <row r="353" spans="1:35" x14ac:dyDescent="0.25">
      <c r="A353" s="3"/>
      <c r="B353" s="317"/>
      <c r="C353" s="317"/>
      <c r="D353" s="317"/>
      <c r="E353" s="5"/>
      <c r="F353" s="322"/>
      <c r="G353" s="322"/>
      <c r="H353" s="322"/>
      <c r="I353" s="322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6"/>
    </row>
    <row r="354" spans="1:35" x14ac:dyDescent="0.25">
      <c r="A354" s="20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2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3"/>
    </row>
    <row r="355" spans="1:35" x14ac:dyDescent="0.25">
      <c r="A355" s="24"/>
      <c r="B355" s="28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6"/>
    </row>
    <row r="356" spans="1:35" x14ac:dyDescent="0.25">
      <c r="A356" s="3"/>
      <c r="B356" s="4" t="s">
        <v>293</v>
      </c>
      <c r="C356" s="5"/>
      <c r="D356" s="5"/>
      <c r="E356" s="5"/>
      <c r="F356" s="5"/>
      <c r="G356" s="5"/>
      <c r="H356" s="5"/>
      <c r="I356" s="5" t="str">
        <f>"0x"&amp;BIN2HEX(CONCATENATE(C361,D361,E361,F361,G361,H361,I361,J361),2)&amp;BIN2HEX(CONCATENATE(K361,L361,M361,N361,O361,P361,Q361,R361),2)&amp;BIN2HEX(CONCATENATE(S361,T361,U361,V361,W361,X361,Y361,Z361),2)&amp;BIN2HEX(CONCATENATE(AA361,AB361,AC361,AD361,AE361,AF361,AG361,AH361),2)&amp;"_"&amp;BIN2HEX(CONCATENATE(C365,D365,E365,F365,G365,H365,I365,J365),2)&amp;BIN2HEX(CONCATENATE(K365,L365,M365,N365,O365,P365,Q365,R365),2)&amp;BIN2HEX(CONCATENATE(S365,T365,U365,V365,W365,X365,Y365,Z365),2)&amp;BIN2HEX(CONCATENATE(AA365,AB365,AC365,AD365,AE365,AF365,AG365,AH365),2)</f>
        <v>0x0000FFFF_00100134</v>
      </c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6"/>
    </row>
    <row r="357" spans="1:35" ht="15.75" thickBot="1" x14ac:dyDescent="0.3">
      <c r="A357" s="3"/>
      <c r="B357" s="5"/>
      <c r="C357" s="7">
        <v>0</v>
      </c>
      <c r="D357" s="7">
        <v>1</v>
      </c>
      <c r="E357" s="7">
        <v>2</v>
      </c>
      <c r="F357" s="7">
        <v>3</v>
      </c>
      <c r="G357" s="7">
        <v>4</v>
      </c>
      <c r="H357" s="7">
        <v>5</v>
      </c>
      <c r="I357" s="7">
        <v>6</v>
      </c>
      <c r="J357" s="7">
        <v>7</v>
      </c>
      <c r="K357" s="7">
        <v>8</v>
      </c>
      <c r="L357" s="7">
        <v>9</v>
      </c>
      <c r="M357" s="7">
        <v>10</v>
      </c>
      <c r="N357" s="7">
        <v>11</v>
      </c>
      <c r="O357" s="7">
        <v>12</v>
      </c>
      <c r="P357" s="7">
        <v>13</v>
      </c>
      <c r="Q357" s="7">
        <v>14</v>
      </c>
      <c r="R357" s="7">
        <v>15</v>
      </c>
      <c r="S357" s="7">
        <v>16</v>
      </c>
      <c r="T357" s="7">
        <v>17</v>
      </c>
      <c r="U357" s="7">
        <v>18</v>
      </c>
      <c r="V357" s="7">
        <v>19</v>
      </c>
      <c r="W357" s="7">
        <v>20</v>
      </c>
      <c r="X357" s="7">
        <v>21</v>
      </c>
      <c r="Y357" s="7">
        <v>22</v>
      </c>
      <c r="Z357" s="7">
        <v>23</v>
      </c>
      <c r="AA357" s="7">
        <v>24</v>
      </c>
      <c r="AB357" s="7">
        <v>25</v>
      </c>
      <c r="AC357" s="7">
        <v>26</v>
      </c>
      <c r="AD357" s="7">
        <v>27</v>
      </c>
      <c r="AE357" s="7">
        <v>28</v>
      </c>
      <c r="AF357" s="7">
        <v>29</v>
      </c>
      <c r="AG357" s="7">
        <v>30</v>
      </c>
      <c r="AH357" s="7">
        <v>31</v>
      </c>
      <c r="AI357" s="6"/>
    </row>
    <row r="358" spans="1:35" x14ac:dyDescent="0.25">
      <c r="A358" s="3"/>
      <c r="B358" s="5" t="s">
        <v>31</v>
      </c>
      <c r="C358" s="349">
        <v>0</v>
      </c>
      <c r="D358" s="337"/>
      <c r="E358" s="337"/>
      <c r="F358" s="337"/>
      <c r="G358" s="337"/>
      <c r="H358" s="337"/>
      <c r="I358" s="337"/>
      <c r="J358" s="337"/>
      <c r="K358" s="337"/>
      <c r="L358" s="337"/>
      <c r="M358" s="337"/>
      <c r="N358" s="337"/>
      <c r="O358" s="337"/>
      <c r="P358" s="337"/>
      <c r="Q358" s="337"/>
      <c r="R358" s="350"/>
      <c r="S358" s="330" t="s">
        <v>300</v>
      </c>
      <c r="T358" s="331"/>
      <c r="U358" s="331"/>
      <c r="V358" s="331"/>
      <c r="W358" s="331"/>
      <c r="X358" s="331"/>
      <c r="Y358" s="331"/>
      <c r="Z358" s="331"/>
      <c r="AA358" s="331"/>
      <c r="AB358" s="331"/>
      <c r="AC358" s="331"/>
      <c r="AD358" s="331"/>
      <c r="AE358" s="331"/>
      <c r="AF358" s="331"/>
      <c r="AG358" s="331"/>
      <c r="AH358" s="355"/>
      <c r="AI358" s="6"/>
    </row>
    <row r="359" spans="1:35" x14ac:dyDescent="0.25">
      <c r="A359" s="3"/>
      <c r="B359" s="5" t="s">
        <v>32</v>
      </c>
      <c r="C359" s="375"/>
      <c r="D359" s="373"/>
      <c r="E359" s="373"/>
      <c r="F359" s="373"/>
      <c r="G359" s="373"/>
      <c r="H359" s="373"/>
      <c r="I359" s="373"/>
      <c r="J359" s="373"/>
      <c r="K359" s="373"/>
      <c r="L359" s="373"/>
      <c r="M359" s="373"/>
      <c r="N359" s="373"/>
      <c r="O359" s="373"/>
      <c r="P359" s="373"/>
      <c r="Q359" s="373"/>
      <c r="R359" s="374"/>
      <c r="S359" s="333"/>
      <c r="T359" s="334"/>
      <c r="U359" s="334"/>
      <c r="V359" s="334"/>
      <c r="W359" s="334"/>
      <c r="X359" s="334"/>
      <c r="Y359" s="334"/>
      <c r="Z359" s="334"/>
      <c r="AA359" s="334"/>
      <c r="AB359" s="334"/>
      <c r="AC359" s="334"/>
      <c r="AD359" s="334"/>
      <c r="AE359" s="334"/>
      <c r="AF359" s="334"/>
      <c r="AG359" s="334"/>
      <c r="AH359" s="357"/>
      <c r="AI359" s="6"/>
    </row>
    <row r="360" spans="1:35" x14ac:dyDescent="0.25">
      <c r="A360" s="3"/>
      <c r="B360" s="5" t="s">
        <v>11</v>
      </c>
      <c r="C360" s="56">
        <v>0</v>
      </c>
      <c r="D360" s="57">
        <v>0</v>
      </c>
      <c r="E360" s="57">
        <v>0</v>
      </c>
      <c r="F360" s="57">
        <v>0</v>
      </c>
      <c r="G360" s="57">
        <v>0</v>
      </c>
      <c r="H360" s="57">
        <v>0</v>
      </c>
      <c r="I360" s="57">
        <v>0</v>
      </c>
      <c r="J360" s="57">
        <v>0</v>
      </c>
      <c r="K360" s="57">
        <v>0</v>
      </c>
      <c r="L360" s="57">
        <v>0</v>
      </c>
      <c r="M360" s="57">
        <v>0</v>
      </c>
      <c r="N360" s="57">
        <v>0</v>
      </c>
      <c r="O360" s="57">
        <v>0</v>
      </c>
      <c r="P360" s="57">
        <v>0</v>
      </c>
      <c r="Q360" s="57">
        <v>0</v>
      </c>
      <c r="R360" s="57">
        <v>0</v>
      </c>
      <c r="S360" s="57">
        <v>1</v>
      </c>
      <c r="T360" s="57">
        <v>1</v>
      </c>
      <c r="U360" s="57">
        <v>1</v>
      </c>
      <c r="V360" s="57">
        <v>1</v>
      </c>
      <c r="W360" s="57">
        <v>1</v>
      </c>
      <c r="X360" s="57">
        <v>1</v>
      </c>
      <c r="Y360" s="57">
        <v>1</v>
      </c>
      <c r="Z360" s="57">
        <v>1</v>
      </c>
      <c r="AA360" s="57">
        <v>1</v>
      </c>
      <c r="AB360" s="57">
        <v>1</v>
      </c>
      <c r="AC360" s="57">
        <v>1</v>
      </c>
      <c r="AD360" s="57">
        <v>1</v>
      </c>
      <c r="AE360" s="57">
        <v>1</v>
      </c>
      <c r="AF360" s="57">
        <v>1</v>
      </c>
      <c r="AG360" s="57">
        <v>1</v>
      </c>
      <c r="AH360" s="58">
        <v>1</v>
      </c>
      <c r="AI360" s="6"/>
    </row>
    <row r="361" spans="1:35" ht="15.75" thickBot="1" x14ac:dyDescent="0.3">
      <c r="A361" s="3"/>
      <c r="B361" s="5" t="s">
        <v>12</v>
      </c>
      <c r="C361" s="197">
        <v>0</v>
      </c>
      <c r="D361" s="161">
        <v>0</v>
      </c>
      <c r="E361" s="161">
        <v>0</v>
      </c>
      <c r="F361" s="161">
        <v>0</v>
      </c>
      <c r="G361" s="161">
        <v>0</v>
      </c>
      <c r="H361" s="161">
        <v>0</v>
      </c>
      <c r="I361" s="161">
        <v>0</v>
      </c>
      <c r="J361" s="161">
        <v>0</v>
      </c>
      <c r="K361" s="161">
        <v>0</v>
      </c>
      <c r="L361" s="161">
        <v>0</v>
      </c>
      <c r="M361" s="161">
        <v>0</v>
      </c>
      <c r="N361" s="161">
        <v>0</v>
      </c>
      <c r="O361" s="161">
        <v>0</v>
      </c>
      <c r="P361" s="161">
        <v>0</v>
      </c>
      <c r="Q361" s="161">
        <v>0</v>
      </c>
      <c r="R361" s="161">
        <v>0</v>
      </c>
      <c r="S361" s="88">
        <v>1</v>
      </c>
      <c r="T361" s="88">
        <v>1</v>
      </c>
      <c r="U361" s="88">
        <v>1</v>
      </c>
      <c r="V361" s="88">
        <v>1</v>
      </c>
      <c r="W361" s="88">
        <v>1</v>
      </c>
      <c r="X361" s="88">
        <v>1</v>
      </c>
      <c r="Y361" s="88">
        <v>1</v>
      </c>
      <c r="Z361" s="88">
        <v>1</v>
      </c>
      <c r="AA361" s="88">
        <v>1</v>
      </c>
      <c r="AB361" s="88">
        <v>1</v>
      </c>
      <c r="AC361" s="88">
        <v>1</v>
      </c>
      <c r="AD361" s="88">
        <v>1</v>
      </c>
      <c r="AE361" s="88">
        <v>1</v>
      </c>
      <c r="AF361" s="88">
        <v>1</v>
      </c>
      <c r="AG361" s="88">
        <v>1</v>
      </c>
      <c r="AH361" s="89">
        <v>1</v>
      </c>
      <c r="AI361" s="6"/>
    </row>
    <row r="362" spans="1:35" x14ac:dyDescent="0.25">
      <c r="A362" s="3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6"/>
    </row>
    <row r="363" spans="1:35" ht="15.75" thickBot="1" x14ac:dyDescent="0.3">
      <c r="A363" s="3"/>
      <c r="B363" s="5"/>
      <c r="C363" s="7">
        <v>32</v>
      </c>
      <c r="D363" s="7">
        <v>33</v>
      </c>
      <c r="E363" s="7">
        <v>34</v>
      </c>
      <c r="F363" s="7">
        <v>35</v>
      </c>
      <c r="G363" s="7">
        <v>36</v>
      </c>
      <c r="H363" s="7">
        <v>37</v>
      </c>
      <c r="I363" s="7">
        <v>38</v>
      </c>
      <c r="J363" s="7">
        <v>39</v>
      </c>
      <c r="K363" s="7">
        <v>40</v>
      </c>
      <c r="L363" s="7">
        <v>41</v>
      </c>
      <c r="M363" s="7">
        <v>42</v>
      </c>
      <c r="N363" s="7">
        <v>43</v>
      </c>
      <c r="O363" s="7">
        <v>44</v>
      </c>
      <c r="P363" s="7">
        <v>45</v>
      </c>
      <c r="Q363" s="7">
        <v>46</v>
      </c>
      <c r="R363" s="7">
        <v>47</v>
      </c>
      <c r="S363" s="7">
        <v>48</v>
      </c>
      <c r="T363" s="7">
        <v>49</v>
      </c>
      <c r="U363" s="7">
        <v>50</v>
      </c>
      <c r="V363" s="7">
        <v>51</v>
      </c>
      <c r="W363" s="7">
        <v>52</v>
      </c>
      <c r="X363" s="7">
        <v>53</v>
      </c>
      <c r="Y363" s="7">
        <v>54</v>
      </c>
      <c r="Z363" s="7">
        <v>55</v>
      </c>
      <c r="AA363" s="7">
        <v>56</v>
      </c>
      <c r="AB363" s="7">
        <v>57</v>
      </c>
      <c r="AC363" s="7">
        <v>58</v>
      </c>
      <c r="AD363" s="7">
        <v>59</v>
      </c>
      <c r="AE363" s="7">
        <v>60</v>
      </c>
      <c r="AF363" s="7">
        <v>61</v>
      </c>
      <c r="AG363" s="7">
        <v>62</v>
      </c>
      <c r="AH363" s="7">
        <v>63</v>
      </c>
      <c r="AI363" s="6"/>
    </row>
    <row r="364" spans="1:35" ht="15.75" thickBot="1" x14ac:dyDescent="0.3">
      <c r="A364" s="3"/>
      <c r="B364" s="5"/>
      <c r="C364" s="147" t="s">
        <v>13</v>
      </c>
      <c r="D364" s="148" t="s">
        <v>14</v>
      </c>
      <c r="E364" s="148" t="s">
        <v>15</v>
      </c>
      <c r="F364" s="148" t="s">
        <v>16</v>
      </c>
      <c r="G364" s="148" t="s">
        <v>17</v>
      </c>
      <c r="H364" s="148" t="s">
        <v>18</v>
      </c>
      <c r="I364" s="148" t="s">
        <v>19</v>
      </c>
      <c r="J364" s="148" t="s">
        <v>20</v>
      </c>
      <c r="K364" s="148" t="s">
        <v>21</v>
      </c>
      <c r="L364" s="148" t="s">
        <v>22</v>
      </c>
      <c r="M364" s="148" t="s">
        <v>23</v>
      </c>
      <c r="N364" s="148" t="s">
        <v>24</v>
      </c>
      <c r="O364" s="148" t="s">
        <v>25</v>
      </c>
      <c r="P364" s="148" t="s">
        <v>26</v>
      </c>
      <c r="Q364" s="148" t="s">
        <v>27</v>
      </c>
      <c r="R364" s="362" t="s">
        <v>30</v>
      </c>
      <c r="S364" s="362"/>
      <c r="T364" s="362"/>
      <c r="U364" s="362"/>
      <c r="V364" s="362"/>
      <c r="W364" s="362"/>
      <c r="X364" s="362"/>
      <c r="Y364" s="362"/>
      <c r="Z364" s="362"/>
      <c r="AA364" s="362"/>
      <c r="AB364" s="362"/>
      <c r="AC364" s="362"/>
      <c r="AD364" s="362"/>
      <c r="AE364" s="362"/>
      <c r="AF364" s="362"/>
      <c r="AG364" s="67" t="s">
        <v>28</v>
      </c>
      <c r="AH364" s="149" t="s">
        <v>29</v>
      </c>
      <c r="AI364" s="6"/>
    </row>
    <row r="365" spans="1:35" ht="15.75" thickBot="1" x14ac:dyDescent="0.3">
      <c r="A365" s="3"/>
      <c r="B365" s="5"/>
      <c r="C365" s="150">
        <v>0</v>
      </c>
      <c r="D365" s="151">
        <v>0</v>
      </c>
      <c r="E365" s="151">
        <v>0</v>
      </c>
      <c r="F365" s="151">
        <v>0</v>
      </c>
      <c r="G365" s="151">
        <v>0</v>
      </c>
      <c r="H365" s="151">
        <v>0</v>
      </c>
      <c r="I365" s="151">
        <v>0</v>
      </c>
      <c r="J365" s="151">
        <v>0</v>
      </c>
      <c r="K365" s="151">
        <v>0</v>
      </c>
      <c r="L365" s="151">
        <v>0</v>
      </c>
      <c r="M365" s="151">
        <v>0</v>
      </c>
      <c r="N365" s="151">
        <v>1</v>
      </c>
      <c r="O365" s="151">
        <v>0</v>
      </c>
      <c r="P365" s="151">
        <v>0</v>
      </c>
      <c r="Q365" s="151">
        <v>0</v>
      </c>
      <c r="R365" s="151">
        <v>0</v>
      </c>
      <c r="S365" s="151">
        <v>0</v>
      </c>
      <c r="T365" s="151">
        <v>0</v>
      </c>
      <c r="U365" s="151">
        <v>0</v>
      </c>
      <c r="V365" s="151">
        <v>0</v>
      </c>
      <c r="W365" s="151">
        <v>0</v>
      </c>
      <c r="X365" s="151">
        <v>0</v>
      </c>
      <c r="Y365" s="151">
        <v>0</v>
      </c>
      <c r="Z365" s="151">
        <v>1</v>
      </c>
      <c r="AA365" s="151">
        <v>0</v>
      </c>
      <c r="AB365" s="151">
        <v>0</v>
      </c>
      <c r="AC365" s="151">
        <v>1</v>
      </c>
      <c r="AD365" s="151">
        <v>1</v>
      </c>
      <c r="AE365" s="151">
        <v>0</v>
      </c>
      <c r="AF365" s="151">
        <v>1</v>
      </c>
      <c r="AG365" s="151">
        <v>0</v>
      </c>
      <c r="AH365" s="152">
        <v>0</v>
      </c>
      <c r="AI365" s="6"/>
    </row>
    <row r="366" spans="1:35" x14ac:dyDescent="0.25">
      <c r="A366" s="3"/>
      <c r="B366" s="4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6"/>
    </row>
    <row r="367" spans="1:35" x14ac:dyDescent="0.25">
      <c r="A367" s="3"/>
      <c r="B367" s="8" t="s">
        <v>43</v>
      </c>
      <c r="C367" s="9"/>
      <c r="D367" s="9"/>
      <c r="E367" s="9"/>
      <c r="F367" s="363" t="s">
        <v>44</v>
      </c>
      <c r="G367" s="363"/>
      <c r="H367" s="363"/>
      <c r="I367" s="9"/>
      <c r="J367" s="364" t="s">
        <v>45</v>
      </c>
      <c r="K367" s="364"/>
      <c r="L367" s="364"/>
      <c r="M367" s="364"/>
      <c r="N367" s="9"/>
      <c r="O367" s="365" t="s">
        <v>46</v>
      </c>
      <c r="P367" s="365"/>
      <c r="Q367" s="365"/>
      <c r="R367" s="365"/>
      <c r="S367" s="9"/>
      <c r="T367" s="1" t="s">
        <v>49</v>
      </c>
      <c r="U367" s="10" t="s">
        <v>48</v>
      </c>
      <c r="V367" s="5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6"/>
    </row>
    <row r="368" spans="1:35" x14ac:dyDescent="0.25">
      <c r="A368" s="3"/>
      <c r="B368" s="317" t="str">
        <f>"0x"&amp;DEC2HEX(Sheet3!$I$4,8)</f>
        <v>0x00400320</v>
      </c>
      <c r="C368" s="317"/>
      <c r="D368" s="317"/>
      <c r="E368" s="12"/>
      <c r="F368" s="319" t="str">
        <f>"0x"&amp;BIN2HEX(CONCATENATE(C361,D361,E361,F361,G361,H361,I361,J361),2)&amp;BIN2HEX(CONCATENATE(K361,L361,M361,N361,O361,P361,Q361,R361),2)&amp;BIN2HEX(CONCATENATE(S361,T361,U361,V361,W361,X361,Y361,Z361),2)&amp;BIN2HEX(CONCATENATE(AA361,AB361,AC361,AD361,AE361,AF361,AG361,AH361),2)</f>
        <v>0x0000FFFF</v>
      </c>
      <c r="G368" s="319"/>
      <c r="H368" s="319"/>
      <c r="I368" s="12"/>
      <c r="J368" s="319" t="str">
        <f>"0b"&amp;C365&amp;D365&amp;E365&amp;F365&amp;G365&amp;H365&amp;I365&amp;J365&amp;K365&amp;L365&amp;M365&amp;N365&amp;O365&amp;P365&amp;Q365</f>
        <v>0b000000000001000</v>
      </c>
      <c r="K368" s="319"/>
      <c r="L368" s="319"/>
      <c r="M368" s="319"/>
      <c r="N368" s="12"/>
      <c r="O368" s="319" t="str">
        <f>"0b"&amp;DEC2BIN(((AF365+AE365*2+AD365*4+AC365*8+AB365*16+AA365*32+Z365*64+Y365*128+X365*256+W365*512+V365*1024+U365*2048+T365*4096+S365*2^13+R365*2^14)/512),6)&amp;DEC2BIN(MOD((AF365+AE365*2+AD365*4+AC365*8+AB365*16+AA365*32+Z365*64+Y365*128+X365*256+W365*512+V365*1024+U365*2048+T365*4096+S365*2^13+R365*2^14),512),9)</f>
        <v>0b000000001001101</v>
      </c>
      <c r="P368" s="319"/>
      <c r="Q368" s="319"/>
      <c r="R368" s="319"/>
      <c r="S368" s="12"/>
      <c r="T368" s="196">
        <v>0</v>
      </c>
      <c r="U368" s="196">
        <f>AH365</f>
        <v>0</v>
      </c>
      <c r="V368" s="5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6"/>
    </row>
    <row r="369" spans="1:35" x14ac:dyDescent="0.25">
      <c r="A369" s="3"/>
      <c r="B369" s="317"/>
      <c r="C369" s="317"/>
      <c r="D369" s="317"/>
      <c r="E369" s="15"/>
      <c r="F369" s="319"/>
      <c r="G369" s="319"/>
      <c r="H369" s="319"/>
      <c r="I369" s="15"/>
      <c r="J369" s="317"/>
      <c r="K369" s="317"/>
      <c r="L369" s="317"/>
      <c r="M369" s="317"/>
      <c r="N369" s="15"/>
      <c r="O369" s="317"/>
      <c r="P369" s="317"/>
      <c r="Q369" s="317"/>
      <c r="R369" s="317"/>
      <c r="S369" s="15"/>
      <c r="T369" s="196"/>
      <c r="U369" s="15"/>
      <c r="V369" s="5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6"/>
    </row>
    <row r="370" spans="1:35" x14ac:dyDescent="0.25">
      <c r="A370" s="3"/>
      <c r="B370" s="317"/>
      <c r="C370" s="317"/>
      <c r="D370" s="317"/>
      <c r="E370" s="15"/>
      <c r="F370" s="319"/>
      <c r="G370" s="319"/>
      <c r="H370" s="319"/>
      <c r="I370" s="15"/>
      <c r="J370" s="317"/>
      <c r="K370" s="317"/>
      <c r="L370" s="317"/>
      <c r="M370" s="317"/>
      <c r="N370" s="15"/>
      <c r="O370" s="317"/>
      <c r="P370" s="317"/>
      <c r="Q370" s="317"/>
      <c r="R370" s="317"/>
      <c r="S370" s="15"/>
      <c r="T370" s="196"/>
      <c r="U370" s="15"/>
      <c r="V370" s="5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6"/>
    </row>
    <row r="371" spans="1:35" x14ac:dyDescent="0.25">
      <c r="A371" s="3"/>
      <c r="B371" s="5"/>
      <c r="C371" s="5"/>
      <c r="D371" s="5"/>
      <c r="E371" s="5"/>
      <c r="F371" s="17"/>
      <c r="G371" s="17"/>
      <c r="H371" s="17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6"/>
    </row>
    <row r="372" spans="1:35" x14ac:dyDescent="0.25">
      <c r="A372" s="3"/>
      <c r="B372" s="5" t="s">
        <v>47</v>
      </c>
      <c r="C372" s="18"/>
      <c r="D372" s="18"/>
      <c r="E372" s="18"/>
      <c r="F372" s="5"/>
      <c r="G372" s="5"/>
      <c r="H372" s="5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6"/>
    </row>
    <row r="373" spans="1:35" x14ac:dyDescent="0.25">
      <c r="A373" s="3"/>
      <c r="B373" s="317" t="str">
        <f>"0x"&amp;DEC2HEX(Sheet3!$I$4,8)</f>
        <v>0x00400320</v>
      </c>
      <c r="C373" s="317"/>
      <c r="D373" s="317"/>
      <c r="E373" s="16"/>
      <c r="F373" s="322" t="str">
        <f>F368&amp;BIN2HEX(MID(J368,3,8),2)&amp;BIN2HEX(RIGHT(J368,7)&amp;MID(O368,3,1),2)&amp;BIN2HEX(MID(O368,4,8),2)&amp;BIN2HEX(RIGHT(O368,6)&amp;T368&amp;U368,2)</f>
        <v>0x0000FFFF00100134</v>
      </c>
      <c r="G373" s="322"/>
      <c r="H373" s="322"/>
      <c r="I373" s="322"/>
      <c r="J373" s="5"/>
      <c r="K373" s="5"/>
      <c r="L373" s="5"/>
      <c r="M373" s="5"/>
      <c r="N373" s="5"/>
      <c r="O373" s="5"/>
      <c r="P373" s="16"/>
      <c r="Q373" s="16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5"/>
      <c r="AH373" s="5"/>
      <c r="AI373" s="6"/>
    </row>
    <row r="374" spans="1:35" x14ac:dyDescent="0.25">
      <c r="A374" s="3"/>
      <c r="B374" s="317"/>
      <c r="C374" s="317"/>
      <c r="D374" s="317"/>
      <c r="E374" s="5"/>
      <c r="F374" s="322"/>
      <c r="G374" s="322"/>
      <c r="H374" s="322"/>
      <c r="I374" s="322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6"/>
    </row>
    <row r="375" spans="1:35" x14ac:dyDescent="0.25">
      <c r="A375" s="3"/>
      <c r="B375" s="317"/>
      <c r="C375" s="317"/>
      <c r="D375" s="317"/>
      <c r="E375" s="5"/>
      <c r="F375" s="322"/>
      <c r="G375" s="322"/>
      <c r="H375" s="322"/>
      <c r="I375" s="322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6"/>
    </row>
    <row r="376" spans="1:35" x14ac:dyDescent="0.25">
      <c r="A376" s="20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2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3"/>
    </row>
    <row r="377" spans="1:35" x14ac:dyDescent="0.25">
      <c r="A377" s="24"/>
      <c r="B377" s="28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6"/>
    </row>
    <row r="378" spans="1:35" x14ac:dyDescent="0.25">
      <c r="A378" s="3"/>
      <c r="B378" s="4" t="s">
        <v>294</v>
      </c>
      <c r="C378" s="5"/>
      <c r="D378" s="5"/>
      <c r="E378" s="5"/>
      <c r="F378" s="5"/>
      <c r="G378" s="5"/>
      <c r="H378" s="5"/>
      <c r="I378" s="5" t="str">
        <f>"0x"&amp;BIN2HEX(CONCATENATE(C383,D383,E383,F383,G383,H383,I383,J383),2)&amp;BIN2HEX(CONCATENATE(K383,L383,M383,N383,O383,P383,Q383,R383),2)&amp;BIN2HEX(CONCATENATE(S383,T383,U383,V383,W383,X383,Y383,Z383),2)&amp;BIN2HEX(CONCATENATE(AA383,AB383,AC383,AD383,AE383,AF383,AG383,AH383),2)&amp;"_"&amp;BIN2HEX(CONCATENATE(C387,D387,E387,F387,G387,H387,I387,J387),2)&amp;BIN2HEX(CONCATENATE(K387,L387,M387,N387,O387,P387,Q387,R387),2)&amp;BIN2HEX(CONCATENATE(S387,T387,U387,V387,W387,X387,Y387,Z387),2)&amp;BIN2HEX(CONCATENATE(AA387,AB387,AC387,AD387,AE387,AF387,AG387,AH387),2)</f>
        <v>0xFFFFFFFF_00100138</v>
      </c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6"/>
    </row>
    <row r="379" spans="1:35" ht="15.75" thickBot="1" x14ac:dyDescent="0.3">
      <c r="A379" s="3"/>
      <c r="B379" s="5"/>
      <c r="C379" s="7">
        <v>0</v>
      </c>
      <c r="D379" s="7">
        <v>1</v>
      </c>
      <c r="E379" s="7">
        <v>2</v>
      </c>
      <c r="F379" s="7">
        <v>3</v>
      </c>
      <c r="G379" s="7">
        <v>4</v>
      </c>
      <c r="H379" s="7">
        <v>5</v>
      </c>
      <c r="I379" s="7">
        <v>6</v>
      </c>
      <c r="J379" s="7">
        <v>7</v>
      </c>
      <c r="K379" s="7">
        <v>8</v>
      </c>
      <c r="L379" s="7">
        <v>9</v>
      </c>
      <c r="M379" s="7">
        <v>10</v>
      </c>
      <c r="N379" s="7">
        <v>11</v>
      </c>
      <c r="O379" s="7">
        <v>12</v>
      </c>
      <c r="P379" s="7">
        <v>13</v>
      </c>
      <c r="Q379" s="7">
        <v>14</v>
      </c>
      <c r="R379" s="7">
        <v>15</v>
      </c>
      <c r="S379" s="7">
        <v>16</v>
      </c>
      <c r="T379" s="7">
        <v>17</v>
      </c>
      <c r="U379" s="7">
        <v>18</v>
      </c>
      <c r="V379" s="7">
        <v>19</v>
      </c>
      <c r="W379" s="7">
        <v>20</v>
      </c>
      <c r="X379" s="7">
        <v>21</v>
      </c>
      <c r="Y379" s="7">
        <v>22</v>
      </c>
      <c r="Z379" s="7">
        <v>23</v>
      </c>
      <c r="AA379" s="7">
        <v>24</v>
      </c>
      <c r="AB379" s="7">
        <v>25</v>
      </c>
      <c r="AC379" s="7">
        <v>26</v>
      </c>
      <c r="AD379" s="7">
        <v>27</v>
      </c>
      <c r="AE379" s="7">
        <v>28</v>
      </c>
      <c r="AF379" s="7">
        <v>29</v>
      </c>
      <c r="AG379" s="7">
        <v>30</v>
      </c>
      <c r="AH379" s="7">
        <v>31</v>
      </c>
      <c r="AI379" s="6"/>
    </row>
    <row r="380" spans="1:35" x14ac:dyDescent="0.25">
      <c r="A380" s="3"/>
      <c r="B380" s="5" t="s">
        <v>31</v>
      </c>
      <c r="C380" s="354" t="s">
        <v>301</v>
      </c>
      <c r="D380" s="331"/>
      <c r="E380" s="331"/>
      <c r="F380" s="331"/>
      <c r="G380" s="331"/>
      <c r="H380" s="331"/>
      <c r="I380" s="331"/>
      <c r="J380" s="331"/>
      <c r="K380" s="331"/>
      <c r="L380" s="331"/>
      <c r="M380" s="331"/>
      <c r="N380" s="331"/>
      <c r="O380" s="331"/>
      <c r="P380" s="331"/>
      <c r="Q380" s="331"/>
      <c r="R380" s="331"/>
      <c r="S380" s="331"/>
      <c r="T380" s="331"/>
      <c r="U380" s="331"/>
      <c r="V380" s="331"/>
      <c r="W380" s="331"/>
      <c r="X380" s="331"/>
      <c r="Y380" s="331"/>
      <c r="Z380" s="331"/>
      <c r="AA380" s="331"/>
      <c r="AB380" s="331"/>
      <c r="AC380" s="331"/>
      <c r="AD380" s="331"/>
      <c r="AE380" s="331"/>
      <c r="AF380" s="331"/>
      <c r="AG380" s="331"/>
      <c r="AH380" s="355"/>
      <c r="AI380" s="6"/>
    </row>
    <row r="381" spans="1:35" x14ac:dyDescent="0.25">
      <c r="A381" s="3"/>
      <c r="B381" s="5" t="s">
        <v>32</v>
      </c>
      <c r="C381" s="356"/>
      <c r="D381" s="334"/>
      <c r="E381" s="334"/>
      <c r="F381" s="334"/>
      <c r="G381" s="334"/>
      <c r="H381" s="334"/>
      <c r="I381" s="334"/>
      <c r="J381" s="334"/>
      <c r="K381" s="334"/>
      <c r="L381" s="334"/>
      <c r="M381" s="334"/>
      <c r="N381" s="334"/>
      <c r="O381" s="334"/>
      <c r="P381" s="334"/>
      <c r="Q381" s="334"/>
      <c r="R381" s="334"/>
      <c r="S381" s="334"/>
      <c r="T381" s="334"/>
      <c r="U381" s="334"/>
      <c r="V381" s="334"/>
      <c r="W381" s="334"/>
      <c r="X381" s="334"/>
      <c r="Y381" s="334"/>
      <c r="Z381" s="334"/>
      <c r="AA381" s="334"/>
      <c r="AB381" s="334"/>
      <c r="AC381" s="334"/>
      <c r="AD381" s="334"/>
      <c r="AE381" s="334"/>
      <c r="AF381" s="334"/>
      <c r="AG381" s="334"/>
      <c r="AH381" s="357"/>
      <c r="AI381" s="6"/>
    </row>
    <row r="382" spans="1:35" x14ac:dyDescent="0.25">
      <c r="A382" s="3"/>
      <c r="B382" s="5" t="s">
        <v>11</v>
      </c>
      <c r="C382" s="56">
        <v>1</v>
      </c>
      <c r="D382" s="57">
        <v>1</v>
      </c>
      <c r="E382" s="57">
        <v>1</v>
      </c>
      <c r="F382" s="57">
        <v>1</v>
      </c>
      <c r="G382" s="57">
        <v>1</v>
      </c>
      <c r="H382" s="57">
        <v>1</v>
      </c>
      <c r="I382" s="57">
        <v>1</v>
      </c>
      <c r="J382" s="57">
        <v>1</v>
      </c>
      <c r="K382" s="57">
        <v>1</v>
      </c>
      <c r="L382" s="57">
        <v>1</v>
      </c>
      <c r="M382" s="57">
        <v>1</v>
      </c>
      <c r="N382" s="57">
        <v>1</v>
      </c>
      <c r="O382" s="57">
        <v>1</v>
      </c>
      <c r="P382" s="57">
        <v>1</v>
      </c>
      <c r="Q382" s="57">
        <v>1</v>
      </c>
      <c r="R382" s="57">
        <v>1</v>
      </c>
      <c r="S382" s="57">
        <v>1</v>
      </c>
      <c r="T382" s="57">
        <v>1</v>
      </c>
      <c r="U382" s="57">
        <v>1</v>
      </c>
      <c r="V382" s="57">
        <v>1</v>
      </c>
      <c r="W382" s="57">
        <v>1</v>
      </c>
      <c r="X382" s="57">
        <v>1</v>
      </c>
      <c r="Y382" s="57">
        <v>1</v>
      </c>
      <c r="Z382" s="57">
        <v>1</v>
      </c>
      <c r="AA382" s="57">
        <v>1</v>
      </c>
      <c r="AB382" s="57">
        <v>1</v>
      </c>
      <c r="AC382" s="57">
        <v>1</v>
      </c>
      <c r="AD382" s="57">
        <v>1</v>
      </c>
      <c r="AE382" s="57">
        <v>1</v>
      </c>
      <c r="AF382" s="57">
        <v>1</v>
      </c>
      <c r="AG382" s="57">
        <v>1</v>
      </c>
      <c r="AH382" s="58">
        <v>1</v>
      </c>
      <c r="AI382" s="6"/>
    </row>
    <row r="383" spans="1:35" ht="15.75" thickBot="1" x14ac:dyDescent="0.3">
      <c r="A383" s="3"/>
      <c r="B383" s="5" t="s">
        <v>12</v>
      </c>
      <c r="C383" s="145">
        <v>1</v>
      </c>
      <c r="D383" s="88">
        <v>1</v>
      </c>
      <c r="E383" s="88">
        <v>1</v>
      </c>
      <c r="F383" s="88">
        <v>1</v>
      </c>
      <c r="G383" s="88">
        <v>1</v>
      </c>
      <c r="H383" s="88">
        <v>1</v>
      </c>
      <c r="I383" s="88">
        <v>1</v>
      </c>
      <c r="J383" s="88">
        <v>1</v>
      </c>
      <c r="K383" s="88">
        <v>1</v>
      </c>
      <c r="L383" s="88">
        <v>1</v>
      </c>
      <c r="M383" s="88">
        <v>1</v>
      </c>
      <c r="N383" s="88">
        <v>1</v>
      </c>
      <c r="O383" s="88">
        <v>1</v>
      </c>
      <c r="P383" s="88">
        <v>1</v>
      </c>
      <c r="Q383" s="88">
        <v>1</v>
      </c>
      <c r="R383" s="88">
        <v>1</v>
      </c>
      <c r="S383" s="88">
        <v>1</v>
      </c>
      <c r="T383" s="88">
        <v>1</v>
      </c>
      <c r="U383" s="88">
        <v>1</v>
      </c>
      <c r="V383" s="88">
        <v>1</v>
      </c>
      <c r="W383" s="88">
        <v>1</v>
      </c>
      <c r="X383" s="88">
        <v>1</v>
      </c>
      <c r="Y383" s="88">
        <v>1</v>
      </c>
      <c r="Z383" s="88">
        <v>1</v>
      </c>
      <c r="AA383" s="88">
        <v>1</v>
      </c>
      <c r="AB383" s="88">
        <v>1</v>
      </c>
      <c r="AC383" s="88">
        <v>1</v>
      </c>
      <c r="AD383" s="88">
        <v>1</v>
      </c>
      <c r="AE383" s="88">
        <v>1</v>
      </c>
      <c r="AF383" s="88">
        <v>1</v>
      </c>
      <c r="AG383" s="88">
        <v>1</v>
      </c>
      <c r="AH383" s="89">
        <v>1</v>
      </c>
      <c r="AI383" s="6"/>
    </row>
    <row r="384" spans="1:35" x14ac:dyDescent="0.25">
      <c r="A384" s="3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6"/>
    </row>
    <row r="385" spans="1:35" ht="15.75" thickBot="1" x14ac:dyDescent="0.3">
      <c r="A385" s="3"/>
      <c r="B385" s="5"/>
      <c r="C385" s="7">
        <v>32</v>
      </c>
      <c r="D385" s="7">
        <v>33</v>
      </c>
      <c r="E385" s="7">
        <v>34</v>
      </c>
      <c r="F385" s="7">
        <v>35</v>
      </c>
      <c r="G385" s="7">
        <v>36</v>
      </c>
      <c r="H385" s="7">
        <v>37</v>
      </c>
      <c r="I385" s="7">
        <v>38</v>
      </c>
      <c r="J385" s="7">
        <v>39</v>
      </c>
      <c r="K385" s="7">
        <v>40</v>
      </c>
      <c r="L385" s="7">
        <v>41</v>
      </c>
      <c r="M385" s="7">
        <v>42</v>
      </c>
      <c r="N385" s="7">
        <v>43</v>
      </c>
      <c r="O385" s="7">
        <v>44</v>
      </c>
      <c r="P385" s="7">
        <v>45</v>
      </c>
      <c r="Q385" s="7">
        <v>46</v>
      </c>
      <c r="R385" s="7">
        <v>47</v>
      </c>
      <c r="S385" s="7">
        <v>48</v>
      </c>
      <c r="T385" s="7">
        <v>49</v>
      </c>
      <c r="U385" s="7">
        <v>50</v>
      </c>
      <c r="V385" s="7">
        <v>51</v>
      </c>
      <c r="W385" s="7">
        <v>52</v>
      </c>
      <c r="X385" s="7">
        <v>53</v>
      </c>
      <c r="Y385" s="7">
        <v>54</v>
      </c>
      <c r="Z385" s="7">
        <v>55</v>
      </c>
      <c r="AA385" s="7">
        <v>56</v>
      </c>
      <c r="AB385" s="7">
        <v>57</v>
      </c>
      <c r="AC385" s="7">
        <v>58</v>
      </c>
      <c r="AD385" s="7">
        <v>59</v>
      </c>
      <c r="AE385" s="7">
        <v>60</v>
      </c>
      <c r="AF385" s="7">
        <v>61</v>
      </c>
      <c r="AG385" s="7">
        <v>62</v>
      </c>
      <c r="AH385" s="7">
        <v>63</v>
      </c>
      <c r="AI385" s="6"/>
    </row>
    <row r="386" spans="1:35" ht="15.75" thickBot="1" x14ac:dyDescent="0.3">
      <c r="A386" s="3"/>
      <c r="B386" s="5"/>
      <c r="C386" s="147" t="s">
        <v>13</v>
      </c>
      <c r="D386" s="148" t="s">
        <v>14</v>
      </c>
      <c r="E386" s="148" t="s">
        <v>15</v>
      </c>
      <c r="F386" s="148" t="s">
        <v>16</v>
      </c>
      <c r="G386" s="148" t="s">
        <v>17</v>
      </c>
      <c r="H386" s="148" t="s">
        <v>18</v>
      </c>
      <c r="I386" s="148" t="s">
        <v>19</v>
      </c>
      <c r="J386" s="148" t="s">
        <v>20</v>
      </c>
      <c r="K386" s="148" t="s">
        <v>21</v>
      </c>
      <c r="L386" s="148" t="s">
        <v>22</v>
      </c>
      <c r="M386" s="148" t="s">
        <v>23</v>
      </c>
      <c r="N386" s="148" t="s">
        <v>24</v>
      </c>
      <c r="O386" s="148" t="s">
        <v>25</v>
      </c>
      <c r="P386" s="148" t="s">
        <v>26</v>
      </c>
      <c r="Q386" s="148" t="s">
        <v>27</v>
      </c>
      <c r="R386" s="362" t="s">
        <v>30</v>
      </c>
      <c r="S386" s="362"/>
      <c r="T386" s="362"/>
      <c r="U386" s="362"/>
      <c r="V386" s="362"/>
      <c r="W386" s="362"/>
      <c r="X386" s="362"/>
      <c r="Y386" s="362"/>
      <c r="Z386" s="362"/>
      <c r="AA386" s="362"/>
      <c r="AB386" s="362"/>
      <c r="AC386" s="362"/>
      <c r="AD386" s="362"/>
      <c r="AE386" s="362"/>
      <c r="AF386" s="362"/>
      <c r="AG386" s="67" t="s">
        <v>28</v>
      </c>
      <c r="AH386" s="149" t="s">
        <v>29</v>
      </c>
      <c r="AI386" s="6"/>
    </row>
    <row r="387" spans="1:35" ht="15.75" thickBot="1" x14ac:dyDescent="0.3">
      <c r="A387" s="3"/>
      <c r="B387" s="5"/>
      <c r="C387" s="150">
        <v>0</v>
      </c>
      <c r="D387" s="151">
        <v>0</v>
      </c>
      <c r="E387" s="151">
        <v>0</v>
      </c>
      <c r="F387" s="151">
        <v>0</v>
      </c>
      <c r="G387" s="151">
        <v>0</v>
      </c>
      <c r="H387" s="151">
        <v>0</v>
      </c>
      <c r="I387" s="151">
        <v>0</v>
      </c>
      <c r="J387" s="151">
        <v>0</v>
      </c>
      <c r="K387" s="151">
        <v>0</v>
      </c>
      <c r="L387" s="151">
        <v>0</v>
      </c>
      <c r="M387" s="151">
        <v>0</v>
      </c>
      <c r="N387" s="151">
        <v>1</v>
      </c>
      <c r="O387" s="151">
        <v>0</v>
      </c>
      <c r="P387" s="151">
        <v>0</v>
      </c>
      <c r="Q387" s="151">
        <v>0</v>
      </c>
      <c r="R387" s="151">
        <v>0</v>
      </c>
      <c r="S387" s="151">
        <v>0</v>
      </c>
      <c r="T387" s="151">
        <v>0</v>
      </c>
      <c r="U387" s="151">
        <v>0</v>
      </c>
      <c r="V387" s="151">
        <v>0</v>
      </c>
      <c r="W387" s="151">
        <v>0</v>
      </c>
      <c r="X387" s="151">
        <v>0</v>
      </c>
      <c r="Y387" s="151">
        <v>0</v>
      </c>
      <c r="Z387" s="151">
        <v>1</v>
      </c>
      <c r="AA387" s="151">
        <v>0</v>
      </c>
      <c r="AB387" s="151">
        <v>0</v>
      </c>
      <c r="AC387" s="151">
        <v>1</v>
      </c>
      <c r="AD387" s="151">
        <v>1</v>
      </c>
      <c r="AE387" s="151">
        <v>1</v>
      </c>
      <c r="AF387" s="151">
        <v>0</v>
      </c>
      <c r="AG387" s="151">
        <v>0</v>
      </c>
      <c r="AH387" s="152">
        <v>0</v>
      </c>
      <c r="AI387" s="6"/>
    </row>
    <row r="388" spans="1:35" x14ac:dyDescent="0.25">
      <c r="A388" s="3"/>
      <c r="B388" s="4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6"/>
    </row>
    <row r="389" spans="1:35" x14ac:dyDescent="0.25">
      <c r="A389" s="3"/>
      <c r="B389" s="8" t="s">
        <v>43</v>
      </c>
      <c r="C389" s="9"/>
      <c r="D389" s="9"/>
      <c r="E389" s="9"/>
      <c r="F389" s="363" t="s">
        <v>44</v>
      </c>
      <c r="G389" s="363"/>
      <c r="H389" s="363"/>
      <c r="I389" s="9"/>
      <c r="J389" s="364" t="s">
        <v>45</v>
      </c>
      <c r="K389" s="364"/>
      <c r="L389" s="364"/>
      <c r="M389" s="364"/>
      <c r="N389" s="9"/>
      <c r="O389" s="365" t="s">
        <v>46</v>
      </c>
      <c r="P389" s="365"/>
      <c r="Q389" s="365"/>
      <c r="R389" s="365"/>
      <c r="S389" s="9"/>
      <c r="T389" s="1" t="s">
        <v>49</v>
      </c>
      <c r="U389" s="10" t="s">
        <v>48</v>
      </c>
      <c r="V389" s="5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6"/>
    </row>
    <row r="390" spans="1:35" x14ac:dyDescent="0.25">
      <c r="A390" s="3"/>
      <c r="B390" s="317" t="str">
        <f>"0x"&amp;DEC2HEX(Sheet3!$I$4,8)</f>
        <v>0x00400320</v>
      </c>
      <c r="C390" s="317"/>
      <c r="D390" s="317"/>
      <c r="E390" s="12"/>
      <c r="F390" s="319" t="str">
        <f>"0x"&amp;BIN2HEX(CONCATENATE(C383,D383,E383,F383,G383,H383,I383,J383),2)&amp;BIN2HEX(CONCATENATE(K383,L383,M383,N383,O383,P383,Q383,R383),2)&amp;BIN2HEX(CONCATENATE(S383,T383,U383,V383,W383,X383,Y383,Z383),2)&amp;BIN2HEX(CONCATENATE(AA383,AB383,AC383,AD383,AE383,AF383,AG383,AH383),2)</f>
        <v>0xFFFFFFFF</v>
      </c>
      <c r="G390" s="319"/>
      <c r="H390" s="319"/>
      <c r="I390" s="12"/>
      <c r="J390" s="319" t="str">
        <f>"0b"&amp;C387&amp;D387&amp;E387&amp;F387&amp;G387&amp;H387&amp;I387&amp;J387&amp;K387&amp;L387&amp;M387&amp;N387&amp;O387&amp;P387&amp;Q387</f>
        <v>0b000000000001000</v>
      </c>
      <c r="K390" s="319"/>
      <c r="L390" s="319"/>
      <c r="M390" s="319"/>
      <c r="N390" s="12"/>
      <c r="O390" s="319" t="str">
        <f>"0b"&amp;DEC2BIN(((AF387+AE387*2+AD387*4+AC387*8+AB387*16+AA387*32+Z387*64+Y387*128+X387*256+W387*512+V387*1024+U387*2048+T387*4096+S387*2^13+R387*2^14)/512),6)&amp;DEC2BIN(MOD((AF387+AE387*2+AD387*4+AC387*8+AB387*16+AA387*32+Z387*64+Y387*128+X387*256+W387*512+V387*1024+U387*2048+T387*4096+S387*2^13+R387*2^14),512),9)</f>
        <v>0b000000001001110</v>
      </c>
      <c r="P390" s="319"/>
      <c r="Q390" s="319"/>
      <c r="R390" s="319"/>
      <c r="S390" s="12"/>
      <c r="T390" s="196">
        <v>0</v>
      </c>
      <c r="U390" s="196">
        <f>AH387</f>
        <v>0</v>
      </c>
      <c r="V390" s="5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6"/>
    </row>
    <row r="391" spans="1:35" x14ac:dyDescent="0.25">
      <c r="A391" s="3"/>
      <c r="B391" s="317"/>
      <c r="C391" s="317"/>
      <c r="D391" s="317"/>
      <c r="E391" s="15"/>
      <c r="F391" s="319"/>
      <c r="G391" s="319"/>
      <c r="H391" s="319"/>
      <c r="I391" s="15"/>
      <c r="J391" s="317"/>
      <c r="K391" s="317"/>
      <c r="L391" s="317"/>
      <c r="M391" s="317"/>
      <c r="N391" s="15"/>
      <c r="O391" s="317"/>
      <c r="P391" s="317"/>
      <c r="Q391" s="317"/>
      <c r="R391" s="317"/>
      <c r="S391" s="15"/>
      <c r="T391" s="196"/>
      <c r="U391" s="15"/>
      <c r="V391" s="5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6"/>
    </row>
    <row r="392" spans="1:35" x14ac:dyDescent="0.25">
      <c r="A392" s="3"/>
      <c r="B392" s="317"/>
      <c r="C392" s="317"/>
      <c r="D392" s="317"/>
      <c r="E392" s="15"/>
      <c r="F392" s="319"/>
      <c r="G392" s="319"/>
      <c r="H392" s="319"/>
      <c r="I392" s="15"/>
      <c r="J392" s="317"/>
      <c r="K392" s="317"/>
      <c r="L392" s="317"/>
      <c r="M392" s="317"/>
      <c r="N392" s="15"/>
      <c r="O392" s="317"/>
      <c r="P392" s="317"/>
      <c r="Q392" s="317"/>
      <c r="R392" s="317"/>
      <c r="S392" s="15"/>
      <c r="T392" s="196"/>
      <c r="U392" s="15"/>
      <c r="V392" s="5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6"/>
    </row>
    <row r="393" spans="1:35" x14ac:dyDescent="0.25">
      <c r="A393" s="3"/>
      <c r="B393" s="5"/>
      <c r="C393" s="5"/>
      <c r="D393" s="5"/>
      <c r="E393" s="5"/>
      <c r="F393" s="17"/>
      <c r="G393" s="17"/>
      <c r="H393" s="17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6"/>
    </row>
    <row r="394" spans="1:35" x14ac:dyDescent="0.25">
      <c r="A394" s="3"/>
      <c r="B394" s="5" t="s">
        <v>47</v>
      </c>
      <c r="C394" s="18"/>
      <c r="D394" s="18"/>
      <c r="E394" s="18"/>
      <c r="F394" s="5"/>
      <c r="G394" s="5"/>
      <c r="H394" s="5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6"/>
    </row>
    <row r="395" spans="1:35" x14ac:dyDescent="0.25">
      <c r="A395" s="3"/>
      <c r="B395" s="317" t="str">
        <f>"0x"&amp;DEC2HEX(Sheet3!$I$4,8)</f>
        <v>0x00400320</v>
      </c>
      <c r="C395" s="317"/>
      <c r="D395" s="317"/>
      <c r="E395" s="16"/>
      <c r="F395" s="322" t="str">
        <f>F390&amp;BIN2HEX(MID(J390,3,8),2)&amp;BIN2HEX(RIGHT(J390,7)&amp;MID(O390,3,1),2)&amp;BIN2HEX(MID(O390,4,8),2)&amp;BIN2HEX(RIGHT(O390,6)&amp;T390&amp;U390,2)</f>
        <v>0xFFFFFFFF00100138</v>
      </c>
      <c r="G395" s="322"/>
      <c r="H395" s="322"/>
      <c r="I395" s="322"/>
      <c r="J395" s="5"/>
      <c r="K395" s="5"/>
      <c r="L395" s="5"/>
      <c r="M395" s="5"/>
      <c r="N395" s="5"/>
      <c r="O395" s="5"/>
      <c r="P395" s="16"/>
      <c r="Q395" s="16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5"/>
      <c r="AH395" s="5"/>
      <c r="AI395" s="6"/>
    </row>
    <row r="396" spans="1:35" x14ac:dyDescent="0.25">
      <c r="A396" s="3"/>
      <c r="B396" s="317"/>
      <c r="C396" s="317"/>
      <c r="D396" s="317"/>
      <c r="E396" s="5"/>
      <c r="F396" s="322"/>
      <c r="G396" s="322"/>
      <c r="H396" s="322"/>
      <c r="I396" s="322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6"/>
    </row>
    <row r="397" spans="1:35" x14ac:dyDescent="0.25">
      <c r="A397" s="3"/>
      <c r="B397" s="317"/>
      <c r="C397" s="317"/>
      <c r="D397" s="317"/>
      <c r="E397" s="5"/>
      <c r="F397" s="322"/>
      <c r="G397" s="322"/>
      <c r="H397" s="322"/>
      <c r="I397" s="322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6"/>
    </row>
    <row r="398" spans="1:35" x14ac:dyDescent="0.25">
      <c r="A398" s="20"/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2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3"/>
    </row>
    <row r="399" spans="1:35" x14ac:dyDescent="0.25">
      <c r="A399" s="24"/>
      <c r="B399" s="28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6"/>
    </row>
    <row r="400" spans="1:35" x14ac:dyDescent="0.25">
      <c r="A400" s="3"/>
      <c r="B400" s="4" t="s">
        <v>295</v>
      </c>
      <c r="C400" s="5"/>
      <c r="D400" s="5"/>
      <c r="E400" s="5"/>
      <c r="F400" s="5"/>
      <c r="G400" s="5"/>
      <c r="H400" s="5"/>
      <c r="I400" s="5" t="str">
        <f>"0x"&amp;BIN2HEX(CONCATENATE(C405,D405,E405,F405,G405,H405,I405,J405),2)&amp;BIN2HEX(CONCATENATE(K405,L405,M405,N405,O405,P405,Q405,R405),2)&amp;BIN2HEX(CONCATENATE(S405,T405,U405,V405,W405,X405,Y405,Z405),2)&amp;BIN2HEX(CONCATENATE(AA405,AB405,AC405,AD405,AE405,AF405,AG405,AH405),2)&amp;"_"&amp;BIN2HEX(CONCATENATE(C409,D409,E409,F409,G409,H409,I409,J409),2)&amp;BIN2HEX(CONCATENATE(K409,L409,M409,N409,O409,P409,Q409,R409),2)&amp;BIN2HEX(CONCATENATE(S409,T409,U409,V409,W409,X409,Y409,Z409),2)&amp;BIN2HEX(CONCATENATE(AA409,AB409,AC409,AD409,AE409,AF409,AG409,AH409),2)</f>
        <v>0xEF1FFFFF_0010013C</v>
      </c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6"/>
    </row>
    <row r="401" spans="1:35" ht="15.75" thickBot="1" x14ac:dyDescent="0.3">
      <c r="A401" s="3"/>
      <c r="B401" s="5"/>
      <c r="C401" s="7">
        <v>0</v>
      </c>
      <c r="D401" s="7">
        <v>1</v>
      </c>
      <c r="E401" s="7">
        <v>2</v>
      </c>
      <c r="F401" s="7">
        <v>3</v>
      </c>
      <c r="G401" s="7">
        <v>4</v>
      </c>
      <c r="H401" s="7">
        <v>5</v>
      </c>
      <c r="I401" s="7">
        <v>6</v>
      </c>
      <c r="J401" s="7">
        <v>7</v>
      </c>
      <c r="K401" s="7">
        <v>8</v>
      </c>
      <c r="L401" s="7">
        <v>9</v>
      </c>
      <c r="M401" s="7">
        <v>10</v>
      </c>
      <c r="N401" s="7">
        <v>11</v>
      </c>
      <c r="O401" s="7">
        <v>12</v>
      </c>
      <c r="P401" s="7">
        <v>13</v>
      </c>
      <c r="Q401" s="7">
        <v>14</v>
      </c>
      <c r="R401" s="7">
        <v>15</v>
      </c>
      <c r="S401" s="7">
        <v>16</v>
      </c>
      <c r="T401" s="7">
        <v>17</v>
      </c>
      <c r="U401" s="7">
        <v>18</v>
      </c>
      <c r="V401" s="7">
        <v>19</v>
      </c>
      <c r="W401" s="7">
        <v>20</v>
      </c>
      <c r="X401" s="7">
        <v>21</v>
      </c>
      <c r="Y401" s="7">
        <v>22</v>
      </c>
      <c r="Z401" s="7">
        <v>23</v>
      </c>
      <c r="AA401" s="7">
        <v>24</v>
      </c>
      <c r="AB401" s="7">
        <v>25</v>
      </c>
      <c r="AC401" s="7">
        <v>26</v>
      </c>
      <c r="AD401" s="7">
        <v>27</v>
      </c>
      <c r="AE401" s="7">
        <v>28</v>
      </c>
      <c r="AF401" s="7">
        <v>29</v>
      </c>
      <c r="AG401" s="7">
        <v>30</v>
      </c>
      <c r="AH401" s="7">
        <v>31</v>
      </c>
      <c r="AI401" s="6"/>
    </row>
    <row r="402" spans="1:35" ht="15" customHeight="1" x14ac:dyDescent="0.25">
      <c r="A402" s="3"/>
      <c r="B402" s="5" t="s">
        <v>31</v>
      </c>
      <c r="C402" s="328" t="s">
        <v>302</v>
      </c>
      <c r="D402" s="345" t="s">
        <v>303</v>
      </c>
      <c r="E402" s="345" t="s">
        <v>304</v>
      </c>
      <c r="F402" s="154">
        <v>0</v>
      </c>
      <c r="G402" s="336" t="s">
        <v>305</v>
      </c>
      <c r="H402" s="337"/>
      <c r="I402" s="337"/>
      <c r="J402" s="350"/>
      <c r="K402" s="336">
        <v>0</v>
      </c>
      <c r="L402" s="337"/>
      <c r="M402" s="350"/>
      <c r="N402" s="345" t="s">
        <v>401</v>
      </c>
      <c r="O402" s="345" t="s">
        <v>402</v>
      </c>
      <c r="P402" s="345" t="s">
        <v>306</v>
      </c>
      <c r="Q402" s="345" t="s">
        <v>307</v>
      </c>
      <c r="R402" s="345" t="s">
        <v>308</v>
      </c>
      <c r="S402" s="330" t="s">
        <v>309</v>
      </c>
      <c r="T402" s="331"/>
      <c r="U402" s="331"/>
      <c r="V402" s="331"/>
      <c r="W402" s="331"/>
      <c r="X402" s="331"/>
      <c r="Y402" s="331"/>
      <c r="Z402" s="331"/>
      <c r="AA402" s="331"/>
      <c r="AB402" s="331"/>
      <c r="AC402" s="331"/>
      <c r="AD402" s="331"/>
      <c r="AE402" s="331"/>
      <c r="AF402" s="331"/>
      <c r="AG402" s="331"/>
      <c r="AH402" s="355"/>
      <c r="AI402" s="6"/>
    </row>
    <row r="403" spans="1:35" x14ac:dyDescent="0.25">
      <c r="A403" s="3"/>
      <c r="B403" s="5" t="s">
        <v>32</v>
      </c>
      <c r="C403" s="329"/>
      <c r="D403" s="346"/>
      <c r="E403" s="346"/>
      <c r="F403" s="198"/>
      <c r="G403" s="372"/>
      <c r="H403" s="373"/>
      <c r="I403" s="373"/>
      <c r="J403" s="374"/>
      <c r="K403" s="372"/>
      <c r="L403" s="373"/>
      <c r="M403" s="374"/>
      <c r="N403" s="346"/>
      <c r="O403" s="346"/>
      <c r="P403" s="346"/>
      <c r="Q403" s="346"/>
      <c r="R403" s="346"/>
      <c r="S403" s="333"/>
      <c r="T403" s="334"/>
      <c r="U403" s="334"/>
      <c r="V403" s="334"/>
      <c r="W403" s="334"/>
      <c r="X403" s="334"/>
      <c r="Y403" s="334"/>
      <c r="Z403" s="334"/>
      <c r="AA403" s="334"/>
      <c r="AB403" s="334"/>
      <c r="AC403" s="334"/>
      <c r="AD403" s="334"/>
      <c r="AE403" s="334"/>
      <c r="AF403" s="334"/>
      <c r="AG403" s="334"/>
      <c r="AH403" s="357"/>
      <c r="AI403" s="6"/>
    </row>
    <row r="404" spans="1:35" x14ac:dyDescent="0.25">
      <c r="A404" s="3"/>
      <c r="B404" s="5" t="s">
        <v>11</v>
      </c>
      <c r="C404" s="56">
        <v>1</v>
      </c>
      <c r="D404" s="57">
        <v>1</v>
      </c>
      <c r="E404" s="57">
        <v>1</v>
      </c>
      <c r="F404" s="57">
        <v>0</v>
      </c>
      <c r="G404" s="57">
        <v>1</v>
      </c>
      <c r="H404" s="57">
        <v>1</v>
      </c>
      <c r="I404" s="57">
        <v>1</v>
      </c>
      <c r="J404" s="57">
        <v>1</v>
      </c>
      <c r="K404" s="57">
        <v>0</v>
      </c>
      <c r="L404" s="57">
        <v>0</v>
      </c>
      <c r="M404" s="57">
        <v>0</v>
      </c>
      <c r="N404" s="57">
        <v>1</v>
      </c>
      <c r="O404" s="57">
        <v>1</v>
      </c>
      <c r="P404" s="57">
        <v>1</v>
      </c>
      <c r="Q404" s="57">
        <v>1</v>
      </c>
      <c r="R404" s="57">
        <v>1</v>
      </c>
      <c r="S404" s="57">
        <v>1</v>
      </c>
      <c r="T404" s="57">
        <v>1</v>
      </c>
      <c r="U404" s="57">
        <v>1</v>
      </c>
      <c r="V404" s="57">
        <v>1</v>
      </c>
      <c r="W404" s="57">
        <v>1</v>
      </c>
      <c r="X404" s="57">
        <v>1</v>
      </c>
      <c r="Y404" s="57">
        <v>1</v>
      </c>
      <c r="Z404" s="57">
        <v>1</v>
      </c>
      <c r="AA404" s="57">
        <v>1</v>
      </c>
      <c r="AB404" s="57">
        <v>1</v>
      </c>
      <c r="AC404" s="57">
        <v>1</v>
      </c>
      <c r="AD404" s="57">
        <v>1</v>
      </c>
      <c r="AE404" s="57">
        <v>1</v>
      </c>
      <c r="AF404" s="57">
        <v>1</v>
      </c>
      <c r="AG404" s="57">
        <v>1</v>
      </c>
      <c r="AH404" s="58">
        <v>1</v>
      </c>
      <c r="AI404" s="6"/>
    </row>
    <row r="405" spans="1:35" ht="15.75" thickBot="1" x14ac:dyDescent="0.3">
      <c r="A405" s="3"/>
      <c r="B405" s="5" t="s">
        <v>12</v>
      </c>
      <c r="C405" s="145">
        <v>1</v>
      </c>
      <c r="D405" s="88">
        <v>1</v>
      </c>
      <c r="E405" s="88">
        <v>1</v>
      </c>
      <c r="F405" s="161">
        <v>0</v>
      </c>
      <c r="G405" s="161">
        <v>1</v>
      </c>
      <c r="H405" s="161">
        <v>1</v>
      </c>
      <c r="I405" s="161">
        <v>1</v>
      </c>
      <c r="J405" s="161">
        <v>1</v>
      </c>
      <c r="K405" s="161">
        <v>0</v>
      </c>
      <c r="L405" s="161">
        <v>0</v>
      </c>
      <c r="M405" s="161">
        <v>0</v>
      </c>
      <c r="N405" s="88">
        <v>1</v>
      </c>
      <c r="O405" s="88">
        <v>1</v>
      </c>
      <c r="P405" s="88">
        <v>1</v>
      </c>
      <c r="Q405" s="88">
        <v>1</v>
      </c>
      <c r="R405" s="88">
        <v>1</v>
      </c>
      <c r="S405" s="88">
        <v>1</v>
      </c>
      <c r="T405" s="88">
        <v>1</v>
      </c>
      <c r="U405" s="88">
        <v>1</v>
      </c>
      <c r="V405" s="88">
        <v>1</v>
      </c>
      <c r="W405" s="88">
        <v>1</v>
      </c>
      <c r="X405" s="88">
        <v>1</v>
      </c>
      <c r="Y405" s="88">
        <v>1</v>
      </c>
      <c r="Z405" s="88">
        <v>1</v>
      </c>
      <c r="AA405" s="88">
        <v>1</v>
      </c>
      <c r="AB405" s="88">
        <v>1</v>
      </c>
      <c r="AC405" s="88">
        <v>1</v>
      </c>
      <c r="AD405" s="88">
        <v>1</v>
      </c>
      <c r="AE405" s="88">
        <v>1</v>
      </c>
      <c r="AF405" s="88">
        <v>1</v>
      </c>
      <c r="AG405" s="88">
        <v>1</v>
      </c>
      <c r="AH405" s="89">
        <v>1</v>
      </c>
      <c r="AI405" s="6"/>
    </row>
    <row r="406" spans="1:35" x14ac:dyDescent="0.25">
      <c r="A406" s="3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6"/>
    </row>
    <row r="407" spans="1:35" ht="15.75" thickBot="1" x14ac:dyDescent="0.3">
      <c r="A407" s="3"/>
      <c r="B407" s="5"/>
      <c r="C407" s="7">
        <v>32</v>
      </c>
      <c r="D407" s="7">
        <v>33</v>
      </c>
      <c r="E407" s="7">
        <v>34</v>
      </c>
      <c r="F407" s="7">
        <v>35</v>
      </c>
      <c r="G407" s="7">
        <v>36</v>
      </c>
      <c r="H407" s="7">
        <v>37</v>
      </c>
      <c r="I407" s="7">
        <v>38</v>
      </c>
      <c r="J407" s="7">
        <v>39</v>
      </c>
      <c r="K407" s="7">
        <v>40</v>
      </c>
      <c r="L407" s="7">
        <v>41</v>
      </c>
      <c r="M407" s="7">
        <v>42</v>
      </c>
      <c r="N407" s="7">
        <v>43</v>
      </c>
      <c r="O407" s="7">
        <v>44</v>
      </c>
      <c r="P407" s="7">
        <v>45</v>
      </c>
      <c r="Q407" s="7">
        <v>46</v>
      </c>
      <c r="R407" s="7">
        <v>47</v>
      </c>
      <c r="S407" s="7">
        <v>48</v>
      </c>
      <c r="T407" s="7">
        <v>49</v>
      </c>
      <c r="U407" s="7">
        <v>50</v>
      </c>
      <c r="V407" s="7">
        <v>51</v>
      </c>
      <c r="W407" s="7">
        <v>52</v>
      </c>
      <c r="X407" s="7">
        <v>53</v>
      </c>
      <c r="Y407" s="7">
        <v>54</v>
      </c>
      <c r="Z407" s="7">
        <v>55</v>
      </c>
      <c r="AA407" s="7">
        <v>56</v>
      </c>
      <c r="AB407" s="7">
        <v>57</v>
      </c>
      <c r="AC407" s="7">
        <v>58</v>
      </c>
      <c r="AD407" s="7">
        <v>59</v>
      </c>
      <c r="AE407" s="7">
        <v>60</v>
      </c>
      <c r="AF407" s="7">
        <v>61</v>
      </c>
      <c r="AG407" s="7">
        <v>62</v>
      </c>
      <c r="AH407" s="7">
        <v>63</v>
      </c>
      <c r="AI407" s="6"/>
    </row>
    <row r="408" spans="1:35" ht="15.75" thickBot="1" x14ac:dyDescent="0.3">
      <c r="A408" s="3"/>
      <c r="B408" s="5"/>
      <c r="C408" s="147" t="s">
        <v>13</v>
      </c>
      <c r="D408" s="148" t="s">
        <v>14</v>
      </c>
      <c r="E408" s="148" t="s">
        <v>15</v>
      </c>
      <c r="F408" s="148" t="s">
        <v>16</v>
      </c>
      <c r="G408" s="148" t="s">
        <v>17</v>
      </c>
      <c r="H408" s="148" t="s">
        <v>18</v>
      </c>
      <c r="I408" s="148" t="s">
        <v>19</v>
      </c>
      <c r="J408" s="148" t="s">
        <v>20</v>
      </c>
      <c r="K408" s="148" t="s">
        <v>21</v>
      </c>
      <c r="L408" s="148" t="s">
        <v>22</v>
      </c>
      <c r="M408" s="148" t="s">
        <v>23</v>
      </c>
      <c r="N408" s="148" t="s">
        <v>24</v>
      </c>
      <c r="O408" s="148" t="s">
        <v>25</v>
      </c>
      <c r="P408" s="148" t="s">
        <v>26</v>
      </c>
      <c r="Q408" s="148" t="s">
        <v>27</v>
      </c>
      <c r="R408" s="362" t="s">
        <v>30</v>
      </c>
      <c r="S408" s="362"/>
      <c r="T408" s="362"/>
      <c r="U408" s="362"/>
      <c r="V408" s="362"/>
      <c r="W408" s="362"/>
      <c r="X408" s="362"/>
      <c r="Y408" s="362"/>
      <c r="Z408" s="362"/>
      <c r="AA408" s="362"/>
      <c r="AB408" s="362"/>
      <c r="AC408" s="362"/>
      <c r="AD408" s="362"/>
      <c r="AE408" s="362"/>
      <c r="AF408" s="362"/>
      <c r="AG408" s="67" t="s">
        <v>28</v>
      </c>
      <c r="AH408" s="149" t="s">
        <v>29</v>
      </c>
      <c r="AI408" s="6"/>
    </row>
    <row r="409" spans="1:35" ht="15.75" thickBot="1" x14ac:dyDescent="0.3">
      <c r="A409" s="3"/>
      <c r="B409" s="5"/>
      <c r="C409" s="150">
        <v>0</v>
      </c>
      <c r="D409" s="151">
        <v>0</v>
      </c>
      <c r="E409" s="151">
        <v>0</v>
      </c>
      <c r="F409" s="151">
        <v>0</v>
      </c>
      <c r="G409" s="151">
        <v>0</v>
      </c>
      <c r="H409" s="151">
        <v>0</v>
      </c>
      <c r="I409" s="151">
        <v>0</v>
      </c>
      <c r="J409" s="151">
        <v>0</v>
      </c>
      <c r="K409" s="151">
        <v>0</v>
      </c>
      <c r="L409" s="151">
        <v>0</v>
      </c>
      <c r="M409" s="151">
        <v>0</v>
      </c>
      <c r="N409" s="151">
        <v>1</v>
      </c>
      <c r="O409" s="151">
        <v>0</v>
      </c>
      <c r="P409" s="151">
        <v>0</v>
      </c>
      <c r="Q409" s="151">
        <v>0</v>
      </c>
      <c r="R409" s="151">
        <v>0</v>
      </c>
      <c r="S409" s="151">
        <v>0</v>
      </c>
      <c r="T409" s="151">
        <v>0</v>
      </c>
      <c r="U409" s="151">
        <v>0</v>
      </c>
      <c r="V409" s="151">
        <v>0</v>
      </c>
      <c r="W409" s="151">
        <v>0</v>
      </c>
      <c r="X409" s="151">
        <v>0</v>
      </c>
      <c r="Y409" s="151">
        <v>0</v>
      </c>
      <c r="Z409" s="151">
        <v>1</v>
      </c>
      <c r="AA409" s="151">
        <v>0</v>
      </c>
      <c r="AB409" s="151">
        <v>0</v>
      </c>
      <c r="AC409" s="151">
        <v>1</v>
      </c>
      <c r="AD409" s="151">
        <v>1</v>
      </c>
      <c r="AE409" s="151">
        <v>1</v>
      </c>
      <c r="AF409" s="151">
        <v>1</v>
      </c>
      <c r="AG409" s="151">
        <v>0</v>
      </c>
      <c r="AH409" s="152">
        <v>0</v>
      </c>
      <c r="AI409" s="6"/>
    </row>
    <row r="410" spans="1:35" x14ac:dyDescent="0.25">
      <c r="A410" s="3"/>
      <c r="B410" s="4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6"/>
    </row>
    <row r="411" spans="1:35" x14ac:dyDescent="0.25">
      <c r="A411" s="3"/>
      <c r="B411" s="8" t="s">
        <v>43</v>
      </c>
      <c r="C411" s="9"/>
      <c r="D411" s="9"/>
      <c r="E411" s="9"/>
      <c r="F411" s="363" t="s">
        <v>44</v>
      </c>
      <c r="G411" s="363"/>
      <c r="H411" s="363"/>
      <c r="I411" s="9"/>
      <c r="J411" s="364" t="s">
        <v>45</v>
      </c>
      <c r="K411" s="364"/>
      <c r="L411" s="364"/>
      <c r="M411" s="364"/>
      <c r="N411" s="9"/>
      <c r="O411" s="365" t="s">
        <v>46</v>
      </c>
      <c r="P411" s="365"/>
      <c r="Q411" s="365"/>
      <c r="R411" s="365"/>
      <c r="S411" s="9"/>
      <c r="T411" s="1" t="s">
        <v>49</v>
      </c>
      <c r="U411" s="10" t="s">
        <v>48</v>
      </c>
      <c r="V411" s="5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6"/>
    </row>
    <row r="412" spans="1:35" x14ac:dyDescent="0.25">
      <c r="A412" s="3"/>
      <c r="B412" s="317" t="str">
        <f>"0x"&amp;DEC2HEX(Sheet3!$I$4,8)</f>
        <v>0x00400320</v>
      </c>
      <c r="C412" s="317"/>
      <c r="D412" s="317"/>
      <c r="E412" s="12"/>
      <c r="F412" s="319" t="str">
        <f>"0x"&amp;BIN2HEX(CONCATENATE(C405,D405,E405,F405,G405,H405,I405,J405),2)&amp;BIN2HEX(CONCATENATE(K405,L405,M405,N405,O405,P405,Q405,R405),2)&amp;BIN2HEX(CONCATENATE(S405,T405,U405,V405,W405,X405,Y405,Z405),2)&amp;BIN2HEX(CONCATENATE(AA405,AB405,AC405,AD405,AE405,AF405,AG405,AH405),2)</f>
        <v>0xEF1FFFFF</v>
      </c>
      <c r="G412" s="319"/>
      <c r="H412" s="319"/>
      <c r="I412" s="12"/>
      <c r="J412" s="319" t="str">
        <f>"0b"&amp;C409&amp;D409&amp;E409&amp;F409&amp;G409&amp;H409&amp;I409&amp;J409&amp;K409&amp;L409&amp;M409&amp;N409&amp;O409&amp;P409&amp;Q409</f>
        <v>0b000000000001000</v>
      </c>
      <c r="K412" s="319"/>
      <c r="L412" s="319"/>
      <c r="M412" s="319"/>
      <c r="N412" s="12"/>
      <c r="O412" s="319" t="str">
        <f>"0b"&amp;DEC2BIN(((AF409+AE409*2+AD409*4+AC409*8+AB409*16+AA409*32+Z409*64+Y409*128+X409*256+W409*512+V409*1024+U409*2048+T409*4096+S409*2^13+R409*2^14)/512),6)&amp;DEC2BIN(MOD((AF409+AE409*2+AD409*4+AC409*8+AB409*16+AA409*32+Z409*64+Y409*128+X409*256+W409*512+V409*1024+U409*2048+T409*4096+S409*2^13+R409*2^14),512),9)</f>
        <v>0b000000001001111</v>
      </c>
      <c r="P412" s="319"/>
      <c r="Q412" s="319"/>
      <c r="R412" s="319"/>
      <c r="S412" s="12"/>
      <c r="T412" s="196">
        <v>0</v>
      </c>
      <c r="U412" s="196">
        <f>AH409</f>
        <v>0</v>
      </c>
      <c r="V412" s="5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6"/>
    </row>
    <row r="413" spans="1:35" x14ac:dyDescent="0.25">
      <c r="A413" s="3"/>
      <c r="B413" s="317"/>
      <c r="C413" s="317"/>
      <c r="D413" s="317"/>
      <c r="E413" s="15"/>
      <c r="F413" s="319"/>
      <c r="G413" s="319"/>
      <c r="H413" s="319"/>
      <c r="I413" s="15"/>
      <c r="J413" s="317"/>
      <c r="K413" s="317"/>
      <c r="L413" s="317"/>
      <c r="M413" s="317"/>
      <c r="N413" s="15"/>
      <c r="O413" s="317"/>
      <c r="P413" s="317"/>
      <c r="Q413" s="317"/>
      <c r="R413" s="317"/>
      <c r="S413" s="15"/>
      <c r="T413" s="196"/>
      <c r="U413" s="15"/>
      <c r="V413" s="5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6"/>
    </row>
    <row r="414" spans="1:35" x14ac:dyDescent="0.25">
      <c r="A414" s="3"/>
      <c r="B414" s="317"/>
      <c r="C414" s="317"/>
      <c r="D414" s="317"/>
      <c r="E414" s="15"/>
      <c r="F414" s="319"/>
      <c r="G414" s="319"/>
      <c r="H414" s="319"/>
      <c r="I414" s="15"/>
      <c r="J414" s="317"/>
      <c r="K414" s="317"/>
      <c r="L414" s="317"/>
      <c r="M414" s="317"/>
      <c r="N414" s="15"/>
      <c r="O414" s="317"/>
      <c r="P414" s="317"/>
      <c r="Q414" s="317"/>
      <c r="R414" s="317"/>
      <c r="S414" s="15"/>
      <c r="T414" s="196"/>
      <c r="U414" s="15"/>
      <c r="V414" s="5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6"/>
    </row>
    <row r="415" spans="1:35" x14ac:dyDescent="0.25">
      <c r="A415" s="3"/>
      <c r="B415" s="5"/>
      <c r="C415" s="5"/>
      <c r="D415" s="5"/>
      <c r="E415" s="5"/>
      <c r="F415" s="17"/>
      <c r="G415" s="17"/>
      <c r="H415" s="17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6"/>
    </row>
    <row r="416" spans="1:35" x14ac:dyDescent="0.25">
      <c r="A416" s="3"/>
      <c r="B416" s="5" t="s">
        <v>47</v>
      </c>
      <c r="C416" s="18"/>
      <c r="D416" s="18"/>
      <c r="E416" s="18"/>
      <c r="F416" s="5"/>
      <c r="G416" s="5"/>
      <c r="H416" s="5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6"/>
    </row>
    <row r="417" spans="1:35" x14ac:dyDescent="0.25">
      <c r="A417" s="3"/>
      <c r="B417" s="317" t="str">
        <f>"0x"&amp;DEC2HEX(Sheet3!$I$4,8)</f>
        <v>0x00400320</v>
      </c>
      <c r="C417" s="317"/>
      <c r="D417" s="317"/>
      <c r="E417" s="16"/>
      <c r="F417" s="322" t="str">
        <f>F412&amp;BIN2HEX(MID(J412,3,8),2)&amp;BIN2HEX(RIGHT(J412,7)&amp;MID(O412,3,1),2)&amp;BIN2HEX(MID(O412,4,8),2)&amp;BIN2HEX(RIGHT(O412,6)&amp;T412&amp;U412,2)</f>
        <v>0xEF1FFFFF0010013C</v>
      </c>
      <c r="G417" s="322"/>
      <c r="H417" s="322"/>
      <c r="I417" s="322"/>
      <c r="J417" s="5"/>
      <c r="K417" s="5"/>
      <c r="L417" s="5"/>
      <c r="M417" s="5"/>
      <c r="N417" s="5"/>
      <c r="O417" s="5"/>
      <c r="P417" s="16"/>
      <c r="Q417" s="16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5"/>
      <c r="AH417" s="5"/>
      <c r="AI417" s="6"/>
    </row>
    <row r="418" spans="1:35" x14ac:dyDescent="0.25">
      <c r="A418" s="3"/>
      <c r="B418" s="317"/>
      <c r="C418" s="317"/>
      <c r="D418" s="317"/>
      <c r="E418" s="5"/>
      <c r="F418" s="322"/>
      <c r="G418" s="322"/>
      <c r="H418" s="322"/>
      <c r="I418" s="322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6"/>
    </row>
    <row r="419" spans="1:35" x14ac:dyDescent="0.25">
      <c r="A419" s="3"/>
      <c r="B419" s="317"/>
      <c r="C419" s="317"/>
      <c r="D419" s="317"/>
      <c r="E419" s="5"/>
      <c r="F419" s="322"/>
      <c r="G419" s="322"/>
      <c r="H419" s="322"/>
      <c r="I419" s="322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6"/>
    </row>
    <row r="420" spans="1:35" x14ac:dyDescent="0.25">
      <c r="A420" s="20"/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2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3"/>
    </row>
  </sheetData>
  <sheetProtection algorithmName="SHA-512" hashValue="BH10cE4N4YKgcYL5E0Gbgj6UB2TvSVvffrV4NF97fk9bV3WBOWGgi4e+Odxn1PlJAKxdNWSrAIK73kIbyDBRFQ==" saltValue="4eF1KqtiQ6HZBKHqvkZrpg==" spinCount="100000" sheet="1" objects="1" scenarios="1"/>
  <mergeCells count="508">
    <mergeCell ref="R12:AF12"/>
    <mergeCell ref="F15:H15"/>
    <mergeCell ref="J15:M15"/>
    <mergeCell ref="O15:R15"/>
    <mergeCell ref="B16:D16"/>
    <mergeCell ref="F16:H16"/>
    <mergeCell ref="J16:M16"/>
    <mergeCell ref="O16:R16"/>
    <mergeCell ref="B21:D21"/>
    <mergeCell ref="F21:I21"/>
    <mergeCell ref="B22:D22"/>
    <mergeCell ref="F22:I22"/>
    <mergeCell ref="B23:D23"/>
    <mergeCell ref="F23:I23"/>
    <mergeCell ref="B17:D17"/>
    <mergeCell ref="F17:H17"/>
    <mergeCell ref="J17:M17"/>
    <mergeCell ref="O17:R17"/>
    <mergeCell ref="B18:D18"/>
    <mergeCell ref="F18:H18"/>
    <mergeCell ref="J18:M18"/>
    <mergeCell ref="O18:R18"/>
    <mergeCell ref="R56:AF56"/>
    <mergeCell ref="F59:H59"/>
    <mergeCell ref="J59:M59"/>
    <mergeCell ref="O59:R59"/>
    <mergeCell ref="B43:D43"/>
    <mergeCell ref="F43:I43"/>
    <mergeCell ref="B44:D44"/>
    <mergeCell ref="F44:I44"/>
    <mergeCell ref="B45:D45"/>
    <mergeCell ref="F45:I45"/>
    <mergeCell ref="B39:D39"/>
    <mergeCell ref="F39:H39"/>
    <mergeCell ref="J39:M39"/>
    <mergeCell ref="O39:R39"/>
    <mergeCell ref="B40:D40"/>
    <mergeCell ref="F40:H40"/>
    <mergeCell ref="J40:M40"/>
    <mergeCell ref="O40:R40"/>
    <mergeCell ref="R34:AF34"/>
    <mergeCell ref="F37:H37"/>
    <mergeCell ref="J37:M37"/>
    <mergeCell ref="O37:R37"/>
    <mergeCell ref="B38:D38"/>
    <mergeCell ref="F38:H38"/>
    <mergeCell ref="J38:M38"/>
    <mergeCell ref="O38:R38"/>
    <mergeCell ref="B62:D62"/>
    <mergeCell ref="F62:H62"/>
    <mergeCell ref="J62:M62"/>
    <mergeCell ref="O62:R62"/>
    <mergeCell ref="B65:D65"/>
    <mergeCell ref="F65:I65"/>
    <mergeCell ref="B60:D60"/>
    <mergeCell ref="F60:H60"/>
    <mergeCell ref="J60:M60"/>
    <mergeCell ref="O60:R60"/>
    <mergeCell ref="B61:D61"/>
    <mergeCell ref="F61:H61"/>
    <mergeCell ref="J61:M61"/>
    <mergeCell ref="O61:R61"/>
    <mergeCell ref="B66:D66"/>
    <mergeCell ref="F66:I66"/>
    <mergeCell ref="B67:D67"/>
    <mergeCell ref="F67:I67"/>
    <mergeCell ref="R78:AF78"/>
    <mergeCell ref="C72:C73"/>
    <mergeCell ref="D72:D73"/>
    <mergeCell ref="E72:R73"/>
    <mergeCell ref="S72:AH73"/>
    <mergeCell ref="B83:D83"/>
    <mergeCell ref="F83:H83"/>
    <mergeCell ref="J83:M83"/>
    <mergeCell ref="O83:R83"/>
    <mergeCell ref="B84:D84"/>
    <mergeCell ref="F84:H84"/>
    <mergeCell ref="J84:M84"/>
    <mergeCell ref="O84:R84"/>
    <mergeCell ref="F81:H81"/>
    <mergeCell ref="J81:M81"/>
    <mergeCell ref="O81:R81"/>
    <mergeCell ref="B82:D82"/>
    <mergeCell ref="F82:H82"/>
    <mergeCell ref="J82:M82"/>
    <mergeCell ref="O82:R82"/>
    <mergeCell ref="S94:AH95"/>
    <mergeCell ref="R100:AF100"/>
    <mergeCell ref="F103:H103"/>
    <mergeCell ref="J103:M103"/>
    <mergeCell ref="O103:R103"/>
    <mergeCell ref="B87:D87"/>
    <mergeCell ref="F87:I87"/>
    <mergeCell ref="B88:D88"/>
    <mergeCell ref="F88:I88"/>
    <mergeCell ref="B89:D89"/>
    <mergeCell ref="F89:I89"/>
    <mergeCell ref="F125:H125"/>
    <mergeCell ref="J125:M125"/>
    <mergeCell ref="O125:R125"/>
    <mergeCell ref="B110:D110"/>
    <mergeCell ref="F110:I110"/>
    <mergeCell ref="B111:D111"/>
    <mergeCell ref="F111:I111"/>
    <mergeCell ref="C94:R94"/>
    <mergeCell ref="C95:R95"/>
    <mergeCell ref="B106:D106"/>
    <mergeCell ref="F106:H106"/>
    <mergeCell ref="J106:M106"/>
    <mergeCell ref="O106:R106"/>
    <mergeCell ref="B109:D109"/>
    <mergeCell ref="F109:I109"/>
    <mergeCell ref="B104:D104"/>
    <mergeCell ref="F104:H104"/>
    <mergeCell ref="J104:M104"/>
    <mergeCell ref="O104:R104"/>
    <mergeCell ref="B105:D105"/>
    <mergeCell ref="F105:H105"/>
    <mergeCell ref="J105:M105"/>
    <mergeCell ref="O105:R105"/>
    <mergeCell ref="B132:D132"/>
    <mergeCell ref="F132:I132"/>
    <mergeCell ref="B133:D133"/>
    <mergeCell ref="F133:I133"/>
    <mergeCell ref="C116:AH117"/>
    <mergeCell ref="C138:C139"/>
    <mergeCell ref="D138:D139"/>
    <mergeCell ref="E138:E139"/>
    <mergeCell ref="G138:J138"/>
    <mergeCell ref="B128:D128"/>
    <mergeCell ref="F128:H128"/>
    <mergeCell ref="J128:M128"/>
    <mergeCell ref="O128:R128"/>
    <mergeCell ref="B131:D131"/>
    <mergeCell ref="F131:I131"/>
    <mergeCell ref="B126:D126"/>
    <mergeCell ref="F126:H126"/>
    <mergeCell ref="J126:M126"/>
    <mergeCell ref="O126:R126"/>
    <mergeCell ref="B127:D127"/>
    <mergeCell ref="F127:H127"/>
    <mergeCell ref="J127:M127"/>
    <mergeCell ref="O127:R127"/>
    <mergeCell ref="R122:AF122"/>
    <mergeCell ref="J150:M150"/>
    <mergeCell ref="O150:R150"/>
    <mergeCell ref="R144:AF144"/>
    <mergeCell ref="F147:H147"/>
    <mergeCell ref="J147:M147"/>
    <mergeCell ref="O147:R147"/>
    <mergeCell ref="B148:D148"/>
    <mergeCell ref="F148:H148"/>
    <mergeCell ref="J148:M148"/>
    <mergeCell ref="O148:R148"/>
    <mergeCell ref="S138:AH139"/>
    <mergeCell ref="C160:C161"/>
    <mergeCell ref="D160:D161"/>
    <mergeCell ref="E160:R161"/>
    <mergeCell ref="S160:AH161"/>
    <mergeCell ref="R166:AF166"/>
    <mergeCell ref="G139:J139"/>
    <mergeCell ref="K138:M138"/>
    <mergeCell ref="K139:M139"/>
    <mergeCell ref="P138:P139"/>
    <mergeCell ref="Q138:Q139"/>
    <mergeCell ref="R138:R139"/>
    <mergeCell ref="B153:D153"/>
    <mergeCell ref="F153:I153"/>
    <mergeCell ref="B154:D154"/>
    <mergeCell ref="F154:I154"/>
    <mergeCell ref="B155:D155"/>
    <mergeCell ref="F155:I155"/>
    <mergeCell ref="B149:D149"/>
    <mergeCell ref="F149:H149"/>
    <mergeCell ref="J149:M149"/>
    <mergeCell ref="O149:R149"/>
    <mergeCell ref="B150:D150"/>
    <mergeCell ref="F150:H150"/>
    <mergeCell ref="B171:D171"/>
    <mergeCell ref="F171:H171"/>
    <mergeCell ref="J171:M171"/>
    <mergeCell ref="O171:R171"/>
    <mergeCell ref="B172:D172"/>
    <mergeCell ref="F172:H172"/>
    <mergeCell ref="J172:M172"/>
    <mergeCell ref="O172:R172"/>
    <mergeCell ref="F169:H169"/>
    <mergeCell ref="J169:M169"/>
    <mergeCell ref="O169:R169"/>
    <mergeCell ref="B170:D170"/>
    <mergeCell ref="F170:H170"/>
    <mergeCell ref="J170:M170"/>
    <mergeCell ref="O170:R170"/>
    <mergeCell ref="S182:AH183"/>
    <mergeCell ref="C183:R183"/>
    <mergeCell ref="R188:AF188"/>
    <mergeCell ref="F191:H191"/>
    <mergeCell ref="J191:M191"/>
    <mergeCell ref="O191:R191"/>
    <mergeCell ref="B175:D175"/>
    <mergeCell ref="F175:I175"/>
    <mergeCell ref="B176:D176"/>
    <mergeCell ref="F176:I176"/>
    <mergeCell ref="B177:D177"/>
    <mergeCell ref="F177:I177"/>
    <mergeCell ref="B192:D192"/>
    <mergeCell ref="F192:H192"/>
    <mergeCell ref="J192:M192"/>
    <mergeCell ref="O192:R192"/>
    <mergeCell ref="B193:D193"/>
    <mergeCell ref="F193:H193"/>
    <mergeCell ref="J193:M193"/>
    <mergeCell ref="O193:R193"/>
    <mergeCell ref="C182:R182"/>
    <mergeCell ref="B198:D198"/>
    <mergeCell ref="F198:I198"/>
    <mergeCell ref="B199:D199"/>
    <mergeCell ref="F199:I199"/>
    <mergeCell ref="C204:AH205"/>
    <mergeCell ref="R210:AF210"/>
    <mergeCell ref="B194:D194"/>
    <mergeCell ref="F194:H194"/>
    <mergeCell ref="J194:M194"/>
    <mergeCell ref="O194:R194"/>
    <mergeCell ref="B197:D197"/>
    <mergeCell ref="F197:I197"/>
    <mergeCell ref="O215:R215"/>
    <mergeCell ref="B216:D216"/>
    <mergeCell ref="F216:H216"/>
    <mergeCell ref="J216:M216"/>
    <mergeCell ref="O216:R216"/>
    <mergeCell ref="F213:H213"/>
    <mergeCell ref="J213:M213"/>
    <mergeCell ref="O213:R213"/>
    <mergeCell ref="B214:D214"/>
    <mergeCell ref="F214:H214"/>
    <mergeCell ref="J214:M214"/>
    <mergeCell ref="O214:R214"/>
    <mergeCell ref="B219:D219"/>
    <mergeCell ref="F219:I219"/>
    <mergeCell ref="B220:D220"/>
    <mergeCell ref="F220:I220"/>
    <mergeCell ref="B221:D221"/>
    <mergeCell ref="F221:I221"/>
    <mergeCell ref="B215:D215"/>
    <mergeCell ref="F215:H215"/>
    <mergeCell ref="J215:M215"/>
    <mergeCell ref="Q226:Q227"/>
    <mergeCell ref="R226:R227"/>
    <mergeCell ref="S226:AH227"/>
    <mergeCell ref="G227:J227"/>
    <mergeCell ref="K227:M227"/>
    <mergeCell ref="R232:AF232"/>
    <mergeCell ref="C226:C227"/>
    <mergeCell ref="D226:D227"/>
    <mergeCell ref="E226:E227"/>
    <mergeCell ref="G226:J226"/>
    <mergeCell ref="K226:M226"/>
    <mergeCell ref="P226:P227"/>
    <mergeCell ref="B237:D237"/>
    <mergeCell ref="F237:H237"/>
    <mergeCell ref="J237:M237"/>
    <mergeCell ref="O237:R237"/>
    <mergeCell ref="B238:D238"/>
    <mergeCell ref="F238:H238"/>
    <mergeCell ref="J238:M238"/>
    <mergeCell ref="O238:R238"/>
    <mergeCell ref="F235:H235"/>
    <mergeCell ref="J235:M235"/>
    <mergeCell ref="O235:R235"/>
    <mergeCell ref="B236:D236"/>
    <mergeCell ref="F236:H236"/>
    <mergeCell ref="J236:M236"/>
    <mergeCell ref="O236:R236"/>
    <mergeCell ref="S248:AH249"/>
    <mergeCell ref="R254:AF254"/>
    <mergeCell ref="F257:H257"/>
    <mergeCell ref="J257:M257"/>
    <mergeCell ref="O257:R257"/>
    <mergeCell ref="B241:D241"/>
    <mergeCell ref="F241:I241"/>
    <mergeCell ref="B242:D242"/>
    <mergeCell ref="F242:I242"/>
    <mergeCell ref="B243:D243"/>
    <mergeCell ref="F243:I243"/>
    <mergeCell ref="B258:D258"/>
    <mergeCell ref="F258:H258"/>
    <mergeCell ref="J258:M258"/>
    <mergeCell ref="O258:R258"/>
    <mergeCell ref="B259:D259"/>
    <mergeCell ref="F259:H259"/>
    <mergeCell ref="J259:M259"/>
    <mergeCell ref="O259:R259"/>
    <mergeCell ref="C248:C249"/>
    <mergeCell ref="D248:D249"/>
    <mergeCell ref="E248:R249"/>
    <mergeCell ref="B264:D264"/>
    <mergeCell ref="F264:I264"/>
    <mergeCell ref="B265:D265"/>
    <mergeCell ref="F265:I265"/>
    <mergeCell ref="C270:R270"/>
    <mergeCell ref="S270:AH271"/>
    <mergeCell ref="C271:R271"/>
    <mergeCell ref="B260:D260"/>
    <mergeCell ref="F260:H260"/>
    <mergeCell ref="J260:M260"/>
    <mergeCell ref="O260:R260"/>
    <mergeCell ref="B263:D263"/>
    <mergeCell ref="F263:I263"/>
    <mergeCell ref="O281:R281"/>
    <mergeCell ref="B282:D282"/>
    <mergeCell ref="F282:H282"/>
    <mergeCell ref="J282:M282"/>
    <mergeCell ref="O282:R282"/>
    <mergeCell ref="R276:AF276"/>
    <mergeCell ref="F279:H279"/>
    <mergeCell ref="J279:M279"/>
    <mergeCell ref="O279:R279"/>
    <mergeCell ref="B280:D280"/>
    <mergeCell ref="F280:H280"/>
    <mergeCell ref="J280:M280"/>
    <mergeCell ref="O280:R280"/>
    <mergeCell ref="B285:D285"/>
    <mergeCell ref="F285:I285"/>
    <mergeCell ref="B286:D286"/>
    <mergeCell ref="F286:I286"/>
    <mergeCell ref="B287:D287"/>
    <mergeCell ref="F287:I287"/>
    <mergeCell ref="B281:D281"/>
    <mergeCell ref="F281:H281"/>
    <mergeCell ref="J281:M281"/>
    <mergeCell ref="O303:R303"/>
    <mergeCell ref="B304:D304"/>
    <mergeCell ref="F304:H304"/>
    <mergeCell ref="J304:M304"/>
    <mergeCell ref="O304:R304"/>
    <mergeCell ref="C292:AH293"/>
    <mergeCell ref="R298:AF298"/>
    <mergeCell ref="F301:H301"/>
    <mergeCell ref="J301:M301"/>
    <mergeCell ref="O301:R301"/>
    <mergeCell ref="B302:D302"/>
    <mergeCell ref="F302:H302"/>
    <mergeCell ref="J302:M302"/>
    <mergeCell ref="O302:R302"/>
    <mergeCell ref="B307:D307"/>
    <mergeCell ref="F307:I307"/>
    <mergeCell ref="B308:D308"/>
    <mergeCell ref="F308:I308"/>
    <mergeCell ref="B309:D309"/>
    <mergeCell ref="F309:I309"/>
    <mergeCell ref="B303:D303"/>
    <mergeCell ref="F303:H303"/>
    <mergeCell ref="J303:M303"/>
    <mergeCell ref="Q314:Q315"/>
    <mergeCell ref="R314:R315"/>
    <mergeCell ref="S314:AH315"/>
    <mergeCell ref="G315:J315"/>
    <mergeCell ref="K315:M315"/>
    <mergeCell ref="R320:AF320"/>
    <mergeCell ref="C314:C315"/>
    <mergeCell ref="D314:D315"/>
    <mergeCell ref="E314:E315"/>
    <mergeCell ref="G314:J314"/>
    <mergeCell ref="K314:M314"/>
    <mergeCell ref="P314:P315"/>
    <mergeCell ref="B325:D325"/>
    <mergeCell ref="F325:H325"/>
    <mergeCell ref="J325:M325"/>
    <mergeCell ref="O325:R325"/>
    <mergeCell ref="B326:D326"/>
    <mergeCell ref="F326:H326"/>
    <mergeCell ref="J326:M326"/>
    <mergeCell ref="O326:R326"/>
    <mergeCell ref="F323:H323"/>
    <mergeCell ref="J323:M323"/>
    <mergeCell ref="O323:R323"/>
    <mergeCell ref="B324:D324"/>
    <mergeCell ref="F324:H324"/>
    <mergeCell ref="J324:M324"/>
    <mergeCell ref="O324:R324"/>
    <mergeCell ref="S336:AH337"/>
    <mergeCell ref="R342:AF342"/>
    <mergeCell ref="F345:H345"/>
    <mergeCell ref="J345:M345"/>
    <mergeCell ref="O345:R345"/>
    <mergeCell ref="B329:D329"/>
    <mergeCell ref="F329:I329"/>
    <mergeCell ref="B330:D330"/>
    <mergeCell ref="F330:I330"/>
    <mergeCell ref="B331:D331"/>
    <mergeCell ref="F331:I331"/>
    <mergeCell ref="B346:D346"/>
    <mergeCell ref="F346:H346"/>
    <mergeCell ref="J346:M346"/>
    <mergeCell ref="O346:R346"/>
    <mergeCell ref="B347:D347"/>
    <mergeCell ref="F347:H347"/>
    <mergeCell ref="J347:M347"/>
    <mergeCell ref="O347:R347"/>
    <mergeCell ref="C336:C337"/>
    <mergeCell ref="D336:D337"/>
    <mergeCell ref="E336:R337"/>
    <mergeCell ref="B352:D352"/>
    <mergeCell ref="F352:I352"/>
    <mergeCell ref="B353:D353"/>
    <mergeCell ref="F353:I353"/>
    <mergeCell ref="C358:R358"/>
    <mergeCell ref="S358:AH359"/>
    <mergeCell ref="C359:R359"/>
    <mergeCell ref="B348:D348"/>
    <mergeCell ref="F348:H348"/>
    <mergeCell ref="J348:M348"/>
    <mergeCell ref="O348:R348"/>
    <mergeCell ref="B351:D351"/>
    <mergeCell ref="F351:I351"/>
    <mergeCell ref="O369:R369"/>
    <mergeCell ref="B370:D370"/>
    <mergeCell ref="F370:H370"/>
    <mergeCell ref="J370:M370"/>
    <mergeCell ref="O370:R370"/>
    <mergeCell ref="R364:AF364"/>
    <mergeCell ref="F367:H367"/>
    <mergeCell ref="J367:M367"/>
    <mergeCell ref="O367:R367"/>
    <mergeCell ref="B368:D368"/>
    <mergeCell ref="F368:H368"/>
    <mergeCell ref="J368:M368"/>
    <mergeCell ref="O368:R368"/>
    <mergeCell ref="B373:D373"/>
    <mergeCell ref="F373:I373"/>
    <mergeCell ref="B374:D374"/>
    <mergeCell ref="F374:I374"/>
    <mergeCell ref="B375:D375"/>
    <mergeCell ref="F375:I375"/>
    <mergeCell ref="B369:D369"/>
    <mergeCell ref="F369:H369"/>
    <mergeCell ref="J369:M369"/>
    <mergeCell ref="F392:H392"/>
    <mergeCell ref="J392:M392"/>
    <mergeCell ref="O392:R392"/>
    <mergeCell ref="C380:AH381"/>
    <mergeCell ref="R386:AF386"/>
    <mergeCell ref="F389:H389"/>
    <mergeCell ref="J389:M389"/>
    <mergeCell ref="O389:R389"/>
    <mergeCell ref="B390:D390"/>
    <mergeCell ref="F390:H390"/>
    <mergeCell ref="J390:M390"/>
    <mergeCell ref="O390:R390"/>
    <mergeCell ref="R408:AF408"/>
    <mergeCell ref="C402:C403"/>
    <mergeCell ref="D402:D403"/>
    <mergeCell ref="E402:E403"/>
    <mergeCell ref="G402:J402"/>
    <mergeCell ref="K402:M402"/>
    <mergeCell ref="P402:P403"/>
    <mergeCell ref="B395:D395"/>
    <mergeCell ref="F395:I395"/>
    <mergeCell ref="B396:D396"/>
    <mergeCell ref="F396:I396"/>
    <mergeCell ref="B397:D397"/>
    <mergeCell ref="F397:I397"/>
    <mergeCell ref="O413:R413"/>
    <mergeCell ref="B414:D414"/>
    <mergeCell ref="F414:H414"/>
    <mergeCell ref="J414:M414"/>
    <mergeCell ref="O414:R414"/>
    <mergeCell ref="F411:H411"/>
    <mergeCell ref="J411:M411"/>
    <mergeCell ref="O411:R411"/>
    <mergeCell ref="B412:D412"/>
    <mergeCell ref="F412:H412"/>
    <mergeCell ref="J412:M412"/>
    <mergeCell ref="O412:R412"/>
    <mergeCell ref="B417:D417"/>
    <mergeCell ref="F417:I417"/>
    <mergeCell ref="B418:D418"/>
    <mergeCell ref="F418:I418"/>
    <mergeCell ref="B419:D419"/>
    <mergeCell ref="F419:I419"/>
    <mergeCell ref="B413:D413"/>
    <mergeCell ref="F413:H413"/>
    <mergeCell ref="J413:M413"/>
    <mergeCell ref="N138:N139"/>
    <mergeCell ref="O138:O139"/>
    <mergeCell ref="N226:N227"/>
    <mergeCell ref="O226:O227"/>
    <mergeCell ref="N314:N315"/>
    <mergeCell ref="O314:O315"/>
    <mergeCell ref="N402:N403"/>
    <mergeCell ref="O402:O403"/>
    <mergeCell ref="S28:AH29"/>
    <mergeCell ref="C28:R28"/>
    <mergeCell ref="C29:R29"/>
    <mergeCell ref="C50:AG50"/>
    <mergeCell ref="C51:AG51"/>
    <mergeCell ref="AH50:AH51"/>
    <mergeCell ref="Q402:Q403"/>
    <mergeCell ref="R402:R403"/>
    <mergeCell ref="S402:AH403"/>
    <mergeCell ref="G403:J403"/>
    <mergeCell ref="K403:M403"/>
    <mergeCell ref="B391:D391"/>
    <mergeCell ref="F391:H391"/>
    <mergeCell ref="J391:M391"/>
    <mergeCell ref="O391:R391"/>
    <mergeCell ref="B392:D39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ReleaseNotes</vt:lpstr>
      <vt:lpstr>HowToUse</vt:lpstr>
      <vt:lpstr>DCF</vt:lpstr>
      <vt:lpstr>Sheet3</vt:lpstr>
      <vt:lpstr>Miscellaneous_clients</vt:lpstr>
      <vt:lpstr>STCU_clients</vt:lpstr>
      <vt:lpstr>PASS_clients</vt:lpstr>
      <vt:lpstr>client_list</vt:lpstr>
      <vt:lpstr>client_list1</vt:lpstr>
      <vt:lpstr>Miscellaneous_list</vt:lpstr>
      <vt:lpstr>Miscellaneous1</vt:lpstr>
      <vt:lpstr>module_list</vt:lpstr>
      <vt:lpstr>module1</vt:lpstr>
      <vt:lpstr>PASS_list</vt:lpstr>
      <vt:lpstr>PASS1</vt:lpstr>
      <vt:lpstr>STCU_list</vt:lpstr>
      <vt:lpstr>STCU1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Stancik Petr-STNP002</dc:creator>
  <cp:lastModifiedBy>Petr Stancik</cp:lastModifiedBy>
  <dcterms:created xsi:type="dcterms:W3CDTF">2016-06-12T18:42:12Z</dcterms:created>
  <dcterms:modified xsi:type="dcterms:W3CDTF">2018-09-26T09:11:51Z</dcterms:modified>
</cp:coreProperties>
</file>