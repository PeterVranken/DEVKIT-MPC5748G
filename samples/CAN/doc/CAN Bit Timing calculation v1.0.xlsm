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!Documents\PM\CAN timing\SMP\"/>
    </mc:Choice>
  </mc:AlternateContent>
  <xr:revisionPtr revIDLastSave="0" documentId="10_ncr:100000_{669208EC-3F79-4DFD-9347-AC3DA094FCD9}" xr6:coauthVersionLast="31" xr6:coauthVersionMax="31" xr10:uidLastSave="{00000000-0000-0000-0000-000000000000}"/>
  <bookViews>
    <workbookView xWindow="0" yWindow="0" windowWidth="28800" windowHeight="13485" tabRatio="593" activeTab="1" xr2:uid="{00000000-000D-0000-FFFF-FFFF00000000}"/>
  </bookViews>
  <sheets>
    <sheet name="Release_Notes" sheetId="5" r:id="rId1"/>
    <sheet name="Calculate_Bit_Timing" sheetId="1" r:id="rId2"/>
    <sheet name="Sheet2" sheetId="2" state="veryHidden" r:id="rId3"/>
    <sheet name="Sheet3" sheetId="3" state="veryHidden" r:id="rId4"/>
    <sheet name="Sheet4" sheetId="4" state="veryHidden" r:id="rId5"/>
  </sheets>
  <definedNames>
    <definedName name="bitrate">Calculate_Bit_Timing!$J$4</definedName>
    <definedName name="bitrate_fd">Calculate_Bit_Timing!$J$5</definedName>
    <definedName name="bus_length">Calculate_Bit_Timing!$D$6</definedName>
    <definedName name="cpiclock">Calculate_Bit_Timing!$J$2</definedName>
    <definedName name="Device_list">Sheet3!$C$14:$C$50</definedName>
    <definedName name="device1">Sheet3!$C$14</definedName>
    <definedName name="presc">Sheet2!$G$10</definedName>
    <definedName name="prescFD">Sheet2!$AB$10</definedName>
    <definedName name="prop">Sheet2!$G$11</definedName>
    <definedName name="prop_delay">Calculate_Bit_Timing!$D$9</definedName>
    <definedName name="propFD">Sheet2!$AB$11</definedName>
    <definedName name="pseg1">Sheet2!$G$12</definedName>
    <definedName name="pseg1FD">Sheet2!$AB$12</definedName>
    <definedName name="pseg2">Sheet2!$G$13</definedName>
    <definedName name="pseg2FD">Sheet2!$AB$13</definedName>
    <definedName name="recommended">Sheet2!$N$14</definedName>
    <definedName name="req_smp">Calculate_Bit_Timing!$J$6</definedName>
    <definedName name="rjw">Sheet2!$G$14</definedName>
    <definedName name="rjwFD">Sheet2!$AB$14</definedName>
    <definedName name="selected_reg">Sheet3!$C$3</definedName>
    <definedName name="selected_regFD">Sheet3!$C$4</definedName>
    <definedName name="selrow">Sheet2!$G$7</definedName>
    <definedName name="selrowFD">Sheet2!$AB$7</definedName>
    <definedName name="tdc_en">Sheet2!$AB$15</definedName>
    <definedName name="tdc_off">Sheet2!$AB$16</definedName>
    <definedName name="transceiver_list">Sheet2!$B$50:$B$73</definedName>
    <definedName name="transceiver1">Sheet2!$B$50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25" i="1" l="1"/>
  <c r="AC25" i="1"/>
  <c r="U25" i="1"/>
  <c r="T25" i="1"/>
  <c r="AE24" i="1"/>
  <c r="AC24" i="1"/>
  <c r="T24" i="1"/>
  <c r="U24" i="1" s="1"/>
  <c r="M27" i="1"/>
  <c r="K27" i="1"/>
  <c r="D27" i="1"/>
  <c r="C27" i="1"/>
  <c r="M26" i="1"/>
  <c r="K26" i="1"/>
  <c r="C26" i="1"/>
  <c r="D26" i="1" s="1"/>
  <c r="M25" i="1"/>
  <c r="K25" i="1"/>
  <c r="D25" i="1"/>
  <c r="C25" i="1"/>
  <c r="M24" i="1"/>
  <c r="K24" i="1"/>
  <c r="C24" i="1"/>
  <c r="D24" i="1" s="1"/>
  <c r="AG16" i="1"/>
  <c r="AD16" i="1"/>
  <c r="P16" i="1"/>
  <c r="M16" i="1"/>
  <c r="O50" i="2" l="1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49" i="2"/>
  <c r="P50" i="2" l="1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49" i="2"/>
  <c r="L45" i="2"/>
  <c r="S48" i="2" l="1"/>
  <c r="G16" i="2"/>
  <c r="AD16" i="2"/>
  <c r="C2" i="3" l="1"/>
  <c r="B47" i="2"/>
  <c r="A47" i="2" s="1"/>
  <c r="C47" i="2" l="1"/>
  <c r="D47" i="2"/>
  <c r="M20" i="2"/>
  <c r="AM27" i="2" l="1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20" i="2"/>
  <c r="AG21" i="2"/>
  <c r="AM21" i="2" s="1"/>
  <c r="AG25" i="1" s="1"/>
  <c r="AG22" i="2"/>
  <c r="AM22" i="2" s="1"/>
  <c r="AG23" i="2"/>
  <c r="AM23" i="2" s="1"/>
  <c r="AG24" i="2"/>
  <c r="AM24" i="2" s="1"/>
  <c r="AG25" i="2"/>
  <c r="AM25" i="2" s="1"/>
  <c r="AG26" i="2"/>
  <c r="AM26" i="2" s="1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20" i="2"/>
  <c r="AM20" i="2" s="1"/>
  <c r="AG24" i="1" s="1"/>
  <c r="AB15" i="2"/>
  <c r="AB16" i="2"/>
  <c r="V15" i="1" l="1"/>
  <c r="AA15" i="1"/>
  <c r="S85" i="3"/>
  <c r="S55" i="3"/>
  <c r="N55" i="3"/>
  <c r="C11" i="4"/>
  <c r="C9" i="4"/>
  <c r="C10" i="4" s="1"/>
  <c r="C12" i="4" l="1"/>
  <c r="C14" i="4" s="1"/>
  <c r="Y86" i="3"/>
  <c r="V86" i="3"/>
  <c r="U21" i="2" l="1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20" i="2"/>
  <c r="Y46" i="3"/>
  <c r="V46" i="3"/>
  <c r="AI21" i="2" l="1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20" i="2"/>
  <c r="I4" i="2" l="1"/>
  <c r="AN21" i="2" l="1"/>
  <c r="AO21" i="2"/>
  <c r="AN22" i="2"/>
  <c r="AO22" i="2"/>
  <c r="AN23" i="2"/>
  <c r="AO23" i="2"/>
  <c r="AN24" i="2"/>
  <c r="AO24" i="2"/>
  <c r="AN25" i="2"/>
  <c r="AO25" i="2"/>
  <c r="AN26" i="2"/>
  <c r="AO26" i="2"/>
  <c r="AN27" i="2"/>
  <c r="AO27" i="2"/>
  <c r="AN28" i="2"/>
  <c r="AO28" i="2"/>
  <c r="AN29" i="2"/>
  <c r="AO29" i="2"/>
  <c r="AN30" i="2"/>
  <c r="AO30" i="2"/>
  <c r="AN31" i="2"/>
  <c r="AO31" i="2"/>
  <c r="AN32" i="2"/>
  <c r="AO32" i="2"/>
  <c r="AN33" i="2"/>
  <c r="AO33" i="2"/>
  <c r="AN34" i="2"/>
  <c r="AO34" i="2"/>
  <c r="AN35" i="2"/>
  <c r="AO35" i="2"/>
  <c r="AN36" i="2"/>
  <c r="AO36" i="2"/>
  <c r="AN37" i="2"/>
  <c r="AO37" i="2"/>
  <c r="AN38" i="2"/>
  <c r="AO38" i="2"/>
  <c r="AN39" i="2"/>
  <c r="AO39" i="2"/>
  <c r="AN40" i="2"/>
  <c r="AO40" i="2"/>
  <c r="AN20" i="2"/>
  <c r="AO20" i="2"/>
  <c r="Y27" i="2" l="1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X21" i="2"/>
  <c r="Y21" i="2" s="1"/>
  <c r="X22" i="2"/>
  <c r="Y22" i="2" s="1"/>
  <c r="X23" i="2"/>
  <c r="Y23" i="2" s="1"/>
  <c r="X24" i="2"/>
  <c r="Y24" i="2" s="1"/>
  <c r="X25" i="2"/>
  <c r="Y25" i="2" s="1"/>
  <c r="X26" i="2"/>
  <c r="Y26" i="2" s="1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20" i="2"/>
  <c r="Y20" i="2" s="1"/>
  <c r="AB11" i="2"/>
  <c r="AB12" i="2"/>
  <c r="AD15" i="2"/>
  <c r="AB13" i="2"/>
  <c r="AB14" i="2"/>
  <c r="AG19" i="1" l="1"/>
  <c r="AB19" i="1"/>
  <c r="W19" i="1"/>
  <c r="W49" i="2"/>
  <c r="V49" i="2"/>
  <c r="U49" i="2"/>
  <c r="T49" i="2"/>
  <c r="L69" i="3"/>
  <c r="N89" i="3"/>
  <c r="S89" i="3"/>
  <c r="W89" i="3"/>
  <c r="O59" i="3"/>
  <c r="L79" i="3"/>
  <c r="C3" i="2"/>
  <c r="Y76" i="3" l="1"/>
  <c r="V76" i="3"/>
  <c r="AB10" i="2"/>
  <c r="AD15" i="1" l="1"/>
  <c r="S12" i="1" s="1"/>
  <c r="V85" i="3"/>
  <c r="K82" i="3" s="1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20" i="2"/>
  <c r="F3" i="2"/>
  <c r="C2" i="2"/>
  <c r="AG22" i="1" l="1"/>
  <c r="S21" i="1"/>
  <c r="W17" i="2"/>
  <c r="AK18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22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20" i="2"/>
  <c r="S21" i="2"/>
  <c r="P25" i="1" s="1"/>
  <c r="S22" i="2"/>
  <c r="P26" i="1" s="1"/>
  <c r="S23" i="2"/>
  <c r="P27" i="1" s="1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20" i="2"/>
  <c r="P24" i="1" s="1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20" i="2"/>
  <c r="S19" i="2"/>
  <c r="W16" i="2"/>
  <c r="G14" i="2"/>
  <c r="G12" i="2"/>
  <c r="M15" i="2" a="1"/>
  <c r="G13" i="2"/>
  <c r="J19" i="1" l="1"/>
  <c r="N19" i="1"/>
  <c r="W52" i="2"/>
  <c r="V52" i="2"/>
  <c r="M15" i="2"/>
  <c r="O15" i="2" a="1"/>
  <c r="O15" i="2" s="1"/>
  <c r="T49" i="3"/>
  <c r="K45" i="3"/>
  <c r="F4" i="2"/>
  <c r="C4" i="2" s="1"/>
  <c r="N15" i="2" l="1"/>
  <c r="S79" i="3"/>
  <c r="X79" i="3"/>
  <c r="X75" i="3"/>
  <c r="S69" i="3"/>
  <c r="X69" i="3"/>
  <c r="Y65" i="3"/>
  <c r="Y59" i="3"/>
  <c r="T59" i="3"/>
  <c r="Y41" i="2"/>
  <c r="X4" i="2"/>
  <c r="M14" i="2" l="1" a="1"/>
  <c r="M14" i="2" s="1"/>
  <c r="M49" i="2" a="1"/>
  <c r="M59" i="2" s="1"/>
  <c r="N49" i="2" a="1"/>
  <c r="N64" i="2" s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41" i="2"/>
  <c r="M42" i="2"/>
  <c r="M43" i="2"/>
  <c r="M44" i="2"/>
  <c r="M45" i="2"/>
  <c r="M46" i="2"/>
  <c r="L42" i="2"/>
  <c r="L43" i="2"/>
  <c r="L44" i="2"/>
  <c r="L46" i="2"/>
  <c r="L47" i="2"/>
  <c r="L51" i="2"/>
  <c r="L52" i="2"/>
  <c r="L53" i="2"/>
  <c r="L54" i="2"/>
  <c r="L55" i="2"/>
  <c r="L56" i="2"/>
  <c r="L57" i="2"/>
  <c r="L58" i="2"/>
  <c r="L59" i="2"/>
  <c r="L60" i="2"/>
  <c r="L61" i="2"/>
  <c r="L62" i="2"/>
  <c r="K52" i="2"/>
  <c r="K53" i="2"/>
  <c r="K54" i="2"/>
  <c r="K55" i="2"/>
  <c r="K56" i="2"/>
  <c r="K57" i="2"/>
  <c r="K58" i="2"/>
  <c r="K59" i="2"/>
  <c r="K60" i="2"/>
  <c r="K61" i="2"/>
  <c r="K62" i="2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M64" i="2" l="1"/>
  <c r="M53" i="2"/>
  <c r="M49" i="2"/>
  <c r="M61" i="2"/>
  <c r="M52" i="2"/>
  <c r="M56" i="2"/>
  <c r="M66" i="2"/>
  <c r="M54" i="2"/>
  <c r="M57" i="2"/>
  <c r="M68" i="2"/>
  <c r="M69" i="2"/>
  <c r="M63" i="2"/>
  <c r="M51" i="2"/>
  <c r="M58" i="2"/>
  <c r="M50" i="2"/>
  <c r="M62" i="2"/>
  <c r="M60" i="2"/>
  <c r="M67" i="2"/>
  <c r="M55" i="2"/>
  <c r="M65" i="2"/>
  <c r="N51" i="2"/>
  <c r="N68" i="2"/>
  <c r="N54" i="2"/>
  <c r="N60" i="2"/>
  <c r="N67" i="2"/>
  <c r="N69" i="2"/>
  <c r="N59" i="2"/>
  <c r="N61" i="2"/>
  <c r="N62" i="2"/>
  <c r="N53" i="2"/>
  <c r="N56" i="2"/>
  <c r="N55" i="2"/>
  <c r="N58" i="2"/>
  <c r="N65" i="2"/>
  <c r="N49" i="2"/>
  <c r="N52" i="2"/>
  <c r="N63" i="2"/>
  <c r="N66" i="2"/>
  <c r="N50" i="2"/>
  <c r="N57" i="2"/>
  <c r="M75" i="3"/>
  <c r="K72" i="3" s="1"/>
  <c r="V55" i="3"/>
  <c r="K52" i="3" s="1"/>
  <c r="M65" i="3"/>
  <c r="Y66" i="3"/>
  <c r="V66" i="3"/>
  <c r="Y56" i="3"/>
  <c r="V56" i="3"/>
  <c r="Y36" i="3"/>
  <c r="V36" i="3"/>
  <c r="M47" i="2" l="1"/>
  <c r="N14" i="2" s="1"/>
  <c r="O47" i="2" a="1"/>
  <c r="O47" i="2" s="1"/>
  <c r="D21" i="2"/>
  <c r="D20" i="2"/>
  <c r="V39" i="3"/>
  <c r="Q39" i="3"/>
  <c r="S29" i="3"/>
  <c r="U15" i="3"/>
  <c r="X15" i="3"/>
  <c r="G10" i="2"/>
  <c r="G11" i="2"/>
  <c r="G15" i="2"/>
  <c r="D19" i="1" l="1"/>
  <c r="H15" i="1"/>
  <c r="U52" i="2"/>
  <c r="W50" i="2"/>
  <c r="V50" i="2"/>
  <c r="U50" i="2"/>
  <c r="T50" i="2"/>
  <c r="M29" i="3"/>
  <c r="K49" i="3"/>
  <c r="R45" i="3"/>
  <c r="L35" i="3"/>
  <c r="K15" i="3"/>
  <c r="Q25" i="3"/>
  <c r="X19" i="3"/>
  <c r="K39" i="3"/>
  <c r="Y26" i="3"/>
  <c r="V26" i="3"/>
  <c r="Y16" i="3"/>
  <c r="V16" i="3"/>
  <c r="B12" i="1" l="1"/>
  <c r="P22" i="1"/>
  <c r="B21" i="1"/>
  <c r="K42" i="3"/>
  <c r="C1" i="3"/>
  <c r="B17" i="2" l="1"/>
  <c r="P18" i="2"/>
  <c r="C3" i="3"/>
  <c r="C4" i="3"/>
  <c r="C5" i="3"/>
  <c r="C7" i="3"/>
  <c r="C14" i="2"/>
  <c r="X8" i="2"/>
  <c r="AK22" i="2" l="1"/>
  <c r="S49" i="2"/>
  <c r="S50" i="2"/>
  <c r="W51" i="2"/>
  <c r="V51" i="2"/>
  <c r="U51" i="2"/>
  <c r="T51" i="2"/>
  <c r="AK39" i="2"/>
  <c r="AK37" i="2"/>
  <c r="AK32" i="2"/>
  <c r="AK28" i="2"/>
  <c r="AK24" i="2"/>
  <c r="AK20" i="2"/>
  <c r="AK38" i="2"/>
  <c r="AK29" i="2"/>
  <c r="AK21" i="2"/>
  <c r="AK36" i="2"/>
  <c r="AK35" i="2"/>
  <c r="AK31" i="2"/>
  <c r="AK27" i="2"/>
  <c r="AK23" i="2"/>
  <c r="AK34" i="2"/>
  <c r="AK30" i="2"/>
  <c r="AK26" i="2"/>
  <c r="AK33" i="2"/>
  <c r="AK25" i="2"/>
  <c r="AK40" i="2"/>
  <c r="P32" i="2"/>
  <c r="P39" i="2"/>
  <c r="P23" i="2"/>
  <c r="P30" i="2"/>
  <c r="P37" i="2"/>
  <c r="P21" i="2"/>
  <c r="P35" i="2"/>
  <c r="P36" i="2"/>
  <c r="P26" i="2"/>
  <c r="P24" i="2"/>
  <c r="P31" i="2"/>
  <c r="P22" i="2"/>
  <c r="P27" i="2"/>
  <c r="P34" i="2"/>
  <c r="P25" i="2"/>
  <c r="P28" i="2"/>
  <c r="P33" i="2"/>
  <c r="P38" i="2"/>
  <c r="P29" i="2"/>
  <c r="P40" i="2"/>
  <c r="P20" i="2"/>
  <c r="V35" i="3"/>
  <c r="K32" i="3" s="1"/>
  <c r="K62" i="3"/>
  <c r="S15" i="3"/>
  <c r="K12" i="3" s="1"/>
  <c r="W29" i="3"/>
  <c r="K22" i="3" s="1"/>
  <c r="X13" i="2"/>
  <c r="C7" i="2"/>
  <c r="C11" i="2"/>
  <c r="X10" i="2"/>
  <c r="C9" i="2"/>
  <c r="C6" i="2"/>
  <c r="X6" i="2"/>
  <c r="C8" i="2"/>
  <c r="C10" i="2"/>
  <c r="C12" i="2"/>
  <c r="X9" i="2"/>
  <c r="X11" i="2"/>
  <c r="C10" i="3"/>
  <c r="X7" i="2"/>
  <c r="X14" i="2"/>
  <c r="C13" i="2"/>
  <c r="X12" i="2"/>
</calcChain>
</file>

<file path=xl/sharedStrings.xml><?xml version="1.0" encoding="utf-8"?>
<sst xmlns="http://schemas.openxmlformats.org/spreadsheetml/2006/main" count="410" uniqueCount="219">
  <si>
    <t>CPI clock</t>
  </si>
  <si>
    <t>NBT min</t>
  </si>
  <si>
    <t>NBT max</t>
  </si>
  <si>
    <t>Prescaler min</t>
  </si>
  <si>
    <t>Prescaler max</t>
  </si>
  <si>
    <t>PropSeg</t>
  </si>
  <si>
    <t>Pseg1</t>
  </si>
  <si>
    <t>Pseg2</t>
  </si>
  <si>
    <t>IPT</t>
  </si>
  <si>
    <t>RJW</t>
  </si>
  <si>
    <t>baudrate</t>
  </si>
  <si>
    <t>prop-delay</t>
  </si>
  <si>
    <t>Device</t>
  </si>
  <si>
    <t>MPC551x</t>
  </si>
  <si>
    <t>Device index</t>
  </si>
  <si>
    <t>selected MCU</t>
  </si>
  <si>
    <t>Legacy/enhance PLL</t>
  </si>
  <si>
    <t>fsyst_max</t>
  </si>
  <si>
    <t>code variant</t>
  </si>
  <si>
    <t>col</t>
  </si>
  <si>
    <t>index</t>
  </si>
  <si>
    <t>Device list:</t>
  </si>
  <si>
    <t>MPC553x</t>
  </si>
  <si>
    <t>MPC5553</t>
  </si>
  <si>
    <t>MPC5554</t>
  </si>
  <si>
    <t>MPC5561</t>
  </si>
  <si>
    <t>MPC5565</t>
  </si>
  <si>
    <t>MPC5566</t>
  </si>
  <si>
    <t>MPC5567</t>
  </si>
  <si>
    <t>MPC5634M</t>
  </si>
  <si>
    <t>MPC5644A</t>
  </si>
  <si>
    <t>MPC5674F</t>
  </si>
  <si>
    <t>MPC5676R</t>
  </si>
  <si>
    <t>MPC5604B/C</t>
  </si>
  <si>
    <t>MPC5607B</t>
  </si>
  <si>
    <t>MPC5602D</t>
  </si>
  <si>
    <t>MPC5646BC</t>
  </si>
  <si>
    <t>MPC5604P</t>
  </si>
  <si>
    <t>MPC5606P/T</t>
  </si>
  <si>
    <t>MPC5602P</t>
  </si>
  <si>
    <t>MPC5604E</t>
  </si>
  <si>
    <t>MPC5643L</t>
  </si>
  <si>
    <t>MPC5675K</t>
  </si>
  <si>
    <t>MPC5606S</t>
  </si>
  <si>
    <t>MPC5645S</t>
  </si>
  <si>
    <t>MPC5668G/E</t>
  </si>
  <si>
    <t>MPC5744P</t>
  </si>
  <si>
    <t>MPC5777M</t>
  </si>
  <si>
    <t>MPC5746R</t>
  </si>
  <si>
    <t>fcpi [MHz]</t>
  </si>
  <si>
    <t>baudrate [kbps]</t>
  </si>
  <si>
    <t>bus length [m]</t>
  </si>
  <si>
    <t>PRESDIV</t>
  </si>
  <si>
    <t>PSEG1</t>
  </si>
  <si>
    <t>PSEG2</t>
  </si>
  <si>
    <t>BOFF_MSK</t>
  </si>
  <si>
    <t>ERR_MSK</t>
  </si>
  <si>
    <t>CLK_SRC</t>
  </si>
  <si>
    <t>LPB</t>
  </si>
  <si>
    <t>TWRN_MSK</t>
  </si>
  <si>
    <t>RWRN_MSK</t>
  </si>
  <si>
    <t>SMP</t>
  </si>
  <si>
    <t>BOFF_REC</t>
  </si>
  <si>
    <t>TSYN</t>
  </si>
  <si>
    <t>LBUF</t>
  </si>
  <si>
    <t>LOM</t>
  </si>
  <si>
    <t>PROPSEG</t>
  </si>
  <si>
    <t>can reg</t>
  </si>
  <si>
    <t>can_reg</t>
  </si>
  <si>
    <t>Prescaler</t>
  </si>
  <si>
    <t>Sclock</t>
  </si>
  <si>
    <t>Tq</t>
  </si>
  <si>
    <t>NBT</t>
  </si>
  <si>
    <t>[-]</t>
  </si>
  <si>
    <t>[MHz]</t>
  </si>
  <si>
    <t>[ns]</t>
  </si>
  <si>
    <t>[#Tq]</t>
  </si>
  <si>
    <t>BPR</t>
  </si>
  <si>
    <t>TSEG1</t>
  </si>
  <si>
    <t>TSEG2</t>
  </si>
  <si>
    <t>SJW</t>
  </si>
  <si>
    <t>MPC5775K - FlexCAN</t>
  </si>
  <si>
    <t>MPC5775K - MCAN</t>
  </si>
  <si>
    <t>MPC5777C - FlexCAN</t>
  </si>
  <si>
    <t>BTF</t>
  </si>
  <si>
    <t>EPRESDIV</t>
  </si>
  <si>
    <t>ERJW</t>
  </si>
  <si>
    <t>EPROPSEG</t>
  </si>
  <si>
    <t>EPSEG1</t>
  </si>
  <si>
    <t>EPSEG2</t>
  </si>
  <si>
    <t>can FD</t>
  </si>
  <si>
    <t>TDCO</t>
  </si>
  <si>
    <t>TDC</t>
  </si>
  <si>
    <t>FBRP</t>
  </si>
  <si>
    <t>FTSEG1</t>
  </si>
  <si>
    <t>FTSEG2</t>
  </si>
  <si>
    <t>FSJW</t>
  </si>
  <si>
    <t>FPRESDIV</t>
  </si>
  <si>
    <t>FRJW</t>
  </si>
  <si>
    <t>FPROPSEG</t>
  </si>
  <si>
    <t>FPSEG1</t>
  </si>
  <si>
    <t>FPSEG2</t>
  </si>
  <si>
    <t>sample point</t>
  </si>
  <si>
    <t>[%]</t>
  </si>
  <si>
    <t>[hex]</t>
  </si>
  <si>
    <t>baud fd</t>
  </si>
  <si>
    <t>fPrescaler</t>
  </si>
  <si>
    <t>fNBT</t>
  </si>
  <si>
    <t>PHY prop</t>
  </si>
  <si>
    <t>fSclock</t>
  </si>
  <si>
    <t>fTq</t>
  </si>
  <si>
    <t>fPROPSEG</t>
  </si>
  <si>
    <t>fPSEG1</t>
  </si>
  <si>
    <t>fPSEG2</t>
  </si>
  <si>
    <t>fRJW</t>
  </si>
  <si>
    <t>MPC5748G</t>
  </si>
  <si>
    <t>samp. point [%]</t>
  </si>
  <si>
    <t>req_smp</t>
  </si>
  <si>
    <t>Transceiver</t>
  </si>
  <si>
    <t>1000</t>
  </si>
  <si>
    <t>2000</t>
  </si>
  <si>
    <t>5000</t>
  </si>
  <si>
    <t>125</t>
  </si>
  <si>
    <t>transceiver</t>
  </si>
  <si>
    <t>max bitrate</t>
  </si>
  <si>
    <t>PCA82C250/251</t>
  </si>
  <si>
    <t>TJA1040T</t>
  </si>
  <si>
    <t>TJA1041</t>
  </si>
  <si>
    <t>TJA1042</t>
  </si>
  <si>
    <t>TJA1043</t>
  </si>
  <si>
    <t>TJA1044GT</t>
  </si>
  <si>
    <t>TJA1044</t>
  </si>
  <si>
    <t>TJA1046</t>
  </si>
  <si>
    <t>TJA1048</t>
  </si>
  <si>
    <t>TJA1049</t>
  </si>
  <si>
    <t>TJA1050</t>
  </si>
  <si>
    <t>TJA1051</t>
  </si>
  <si>
    <t>TJA1052</t>
  </si>
  <si>
    <t>TJA1055</t>
  </si>
  <si>
    <t>TJA1057</t>
  </si>
  <si>
    <t>TJA1057G</t>
  </si>
  <si>
    <t>TJA1059</t>
  </si>
  <si>
    <t>TJA1145</t>
  </si>
  <si>
    <t>TJF1051</t>
  </si>
  <si>
    <t>TJF1052</t>
  </si>
  <si>
    <t>UJA1131</t>
  </si>
  <si>
    <t>UJA1136</t>
  </si>
  <si>
    <t>UJA1161</t>
  </si>
  <si>
    <t>UJA1162</t>
  </si>
  <si>
    <t>MPC5777C 3N45H MCAN</t>
  </si>
  <si>
    <t>MPC5777C 2N45H MCAN</t>
  </si>
  <si>
    <t>NBRP</t>
  </si>
  <si>
    <t>NSJW</t>
  </si>
  <si>
    <t>NTSEG2</t>
  </si>
  <si>
    <t>NTSEG1</t>
  </si>
  <si>
    <t>DBRP</t>
  </si>
  <si>
    <t>DTSEG1</t>
  </si>
  <si>
    <t>DTSEG2</t>
  </si>
  <si>
    <t>DSJW</t>
  </si>
  <si>
    <t>fsys</t>
  </si>
  <si>
    <t>fcanclk</t>
  </si>
  <si>
    <t>NumClkNomBit</t>
  </si>
  <si>
    <t>nominal bitrate</t>
  </si>
  <si>
    <t>data bitrate</t>
  </si>
  <si>
    <t>payload</t>
  </si>
  <si>
    <t>MinNumClkFastBit_b</t>
  </si>
  <si>
    <t>MaxNumOfMB</t>
  </si>
  <si>
    <t>MinNumClkFastBit</t>
  </si>
  <si>
    <t>DataBitRate_max</t>
  </si>
  <si>
    <t>TDCEN</t>
  </si>
  <si>
    <t>TDCOFF</t>
  </si>
  <si>
    <t>recommended setting</t>
  </si>
  <si>
    <t>max prop delay</t>
  </si>
  <si>
    <t/>
  </si>
  <si>
    <r>
      <t>prop</t>
    </r>
    <r>
      <rPr>
        <b/>
        <vertAlign val="subscript"/>
        <sz val="11"/>
        <color theme="1"/>
        <rFont val="Calibri"/>
        <family val="2"/>
        <scheme val="minor"/>
      </rPr>
      <t>TXRX</t>
    </r>
    <r>
      <rPr>
        <b/>
        <sz val="11"/>
        <color theme="1"/>
        <rFont val="Calibri"/>
        <family val="2"/>
        <scheme val="minor"/>
      </rPr>
      <t xml:space="preserve"> [ns]</t>
    </r>
  </si>
  <si>
    <t>SYNC</t>
  </si>
  <si>
    <t>CANx_CTRL1</t>
  </si>
  <si>
    <t>CANx_BTP</t>
  </si>
  <si>
    <t>CANx_CBT</t>
  </si>
  <si>
    <t>CANx_NBTP</t>
  </si>
  <si>
    <t>CANx_FBTP</t>
  </si>
  <si>
    <t>CANx_DBTP</t>
  </si>
  <si>
    <t>CANx_FDCBT</t>
  </si>
  <si>
    <t>MPC5748G - CAN FD</t>
  </si>
  <si>
    <t>S32K1xx</t>
  </si>
  <si>
    <t>S32K1xx - CAN FD</t>
  </si>
  <si>
    <r>
      <rPr>
        <b/>
        <sz val="9"/>
        <color theme="1"/>
        <rFont val="Symbol"/>
        <family val="1"/>
        <charset val="2"/>
      </rPr>
      <t>D</t>
    </r>
    <r>
      <rPr>
        <b/>
        <sz val="9"/>
        <color theme="1"/>
        <rFont val="Calibri"/>
        <family val="2"/>
        <scheme val="minor"/>
      </rPr>
      <t>f</t>
    </r>
  </si>
  <si>
    <t>*******************************************************************************</t>
  </si>
  <si>
    <t>NXP Semiconductor Inc.</t>
  </si>
  <si>
    <t>(c) Copyright 2012 NXP Semiconductor, Inc.</t>
  </si>
  <si>
    <t>ALL RIGHTS RESERVED.</t>
  </si>
  <si>
    <t>********************************************************************************</t>
  </si>
  <si>
    <t>Services performed by NXP in this matter are performed AS IS and without</t>
  </si>
  <si>
    <t>any warranty. CUSTOMER retains the final decision relative to the total design</t>
  </si>
  <si>
    <t>and functionality of the end product. NXP neither guarantees nor will be</t>
  </si>
  <si>
    <t>held liable by CUSTOMER for the success of this project.</t>
  </si>
  <si>
    <t>NXP DISCLAIMS ALL WARRANTIES, EXPRESSED, IMPLIED OR STATUTORY INCLUDING,</t>
  </si>
  <si>
    <t>BUT NOT LIMITED TO, IMPLIED WARRANTY OF MERCHANTABILITY OR FITNESS FOR</t>
  </si>
  <si>
    <t xml:space="preserve">A PARTICULAR PURPOSE ON ANY HARDWARE, SOFTWARE ORE ADVISE SUPPLIED </t>
  </si>
  <si>
    <t xml:space="preserve">TO THE PROJECT BY NXP, AND OR NAY PRODUCT RESULTING FROM NXP </t>
  </si>
  <si>
    <t xml:space="preserve">SERVICES. IN NO EVENT SHALL NXP BE LIABLE FOR INCIDENTAL OR CONSEQUENTIAL </t>
  </si>
  <si>
    <t>DAMAGES ARISING OUT OF THIS AGREEMENT.</t>
  </si>
  <si>
    <t xml:space="preserve">CUSTOMER agrees to hold NXP harmless against any and all claims demands </t>
  </si>
  <si>
    <t>or actions by anyone on account of any damage, or injury, whether commercial,</t>
  </si>
  <si>
    <t xml:space="preserve">contractual, or tortuous, rising directly or indirectly as a result </t>
  </si>
  <si>
    <t xml:space="preserve">of the advise or assistance supplied CUSTOMER in connection with product, </t>
  </si>
  <si>
    <t>services or goods supplied under this Agreement.</t>
  </si>
  <si>
    <t>File:                 S32R274 DCF Configurator.xls</t>
  </si>
  <si>
    <t>Owner:           Petr Stancik</t>
  </si>
  <si>
    <t>Classification:   General Business Information</t>
  </si>
  <si>
    <t xml:space="preserve">Detailed Description: </t>
  </si>
  <si>
    <t>Note: Macros have to be enabled!</t>
  </si>
  <si>
    <t>Revision History:</t>
  </si>
  <si>
    <t xml:space="preserve">This tool simplifies CAN bit timing calculation for CAN modules (FlexCAN, MCAN) </t>
  </si>
  <si>
    <t>Use Calculate_Bit_Timing sheet</t>
  </si>
  <si>
    <t>on automotive 32-bit MCUs available on MPC5xxx and S32K1xx families.</t>
  </si>
  <si>
    <t>Version 1.0     Feb-10-2019     Petr Stancik</t>
  </si>
  <si>
    <t>CAN Bit Timing calculation v1.0.xlsx</t>
  </si>
  <si>
    <t>baudrate FD [kbps]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</si>
</sst>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C00000"/>
      <name val="Calibri"/>
      <family val="2"/>
      <charset val="238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Symbol"/>
      <family val="1"/>
      <charset val="2"/>
    </font>
    <font>
      <b/>
      <sz val="9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1"/>
      <charset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indexed="47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9">
    <xf numFmtId="0" fontId="0" fillId="0" borderId="0" xfId="0"/>
    <xf numFmtId="0" fontId="0" fillId="0" borderId="0" xfId="0" applyAlignment="1">
      <alignment horizontal="right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vertical="top" wrapText="1"/>
    </xf>
    <xf numFmtId="0" fontId="0" fillId="0" borderId="0" xfId="0" applyAlignment="1"/>
    <xf numFmtId="0" fontId="4" fillId="0" borderId="5" xfId="0" applyFont="1" applyBorder="1" applyAlignment="1" applyProtection="1">
      <alignment horizontal="center"/>
      <protection hidden="1"/>
    </xf>
    <xf numFmtId="0" fontId="4" fillId="0" borderId="0" xfId="0" applyFont="1" applyBorder="1" applyAlignment="1" applyProtection="1">
      <alignment horizontal="center"/>
      <protection hidden="1"/>
    </xf>
    <xf numFmtId="0" fontId="4" fillId="0" borderId="6" xfId="0" applyFont="1" applyBorder="1" applyAlignment="1" applyProtection="1">
      <alignment horizontal="center"/>
      <protection hidden="1"/>
    </xf>
    <xf numFmtId="0" fontId="8" fillId="2" borderId="8" xfId="0" applyFont="1" applyFill="1" applyBorder="1" applyAlignment="1" applyProtection="1">
      <alignment horizontal="center"/>
      <protection hidden="1"/>
    </xf>
    <xf numFmtId="0" fontId="6" fillId="0" borderId="10" xfId="0" applyFont="1" applyBorder="1" applyAlignment="1" applyProtection="1">
      <alignment horizontal="center"/>
      <protection locked="0" hidden="1"/>
    </xf>
    <xf numFmtId="0" fontId="6" fillId="2" borderId="10" xfId="0" applyFont="1" applyFill="1" applyBorder="1" applyAlignment="1" applyProtection="1">
      <alignment horizontal="center"/>
      <protection locked="0" hidden="1"/>
    </xf>
    <xf numFmtId="0" fontId="6" fillId="2" borderId="11" xfId="0" applyFont="1" applyFill="1" applyBorder="1" applyAlignment="1" applyProtection="1">
      <alignment horizontal="center"/>
      <protection locked="0" hidden="1"/>
    </xf>
    <xf numFmtId="0" fontId="1" fillId="2" borderId="8" xfId="0" applyFont="1" applyFill="1" applyBorder="1" applyAlignment="1" applyProtection="1">
      <protection hidden="1"/>
    </xf>
    <xf numFmtId="0" fontId="1" fillId="2" borderId="18" xfId="0" applyFont="1" applyFill="1" applyBorder="1" applyAlignment="1" applyProtection="1">
      <alignment horizontal="center" vertical="center"/>
      <protection hidden="1"/>
    </xf>
    <xf numFmtId="0" fontId="1" fillId="2" borderId="8" xfId="0" applyFont="1" applyFill="1" applyBorder="1" applyAlignment="1" applyProtection="1">
      <alignment horizontal="center"/>
      <protection hidden="1"/>
    </xf>
    <xf numFmtId="0" fontId="6" fillId="0" borderId="11" xfId="0" applyFont="1" applyBorder="1" applyAlignment="1" applyProtection="1">
      <alignment horizontal="center"/>
      <protection locked="0" hidden="1"/>
    </xf>
    <xf numFmtId="0" fontId="6" fillId="3" borderId="30" xfId="0" applyFont="1" applyFill="1" applyBorder="1" applyAlignment="1" applyProtection="1">
      <alignment horizontal="center"/>
      <protection locked="0" hidden="1"/>
    </xf>
    <xf numFmtId="0" fontId="1" fillId="2" borderId="7" xfId="0" applyFont="1" applyFill="1" applyBorder="1" applyAlignment="1" applyProtection="1">
      <protection hidden="1"/>
    </xf>
    <xf numFmtId="0" fontId="0" fillId="0" borderId="0" xfId="0" applyBorder="1" applyAlignment="1">
      <alignment horizontal="right"/>
    </xf>
    <xf numFmtId="0" fontId="11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ont="1" applyFill="1" applyBorder="1"/>
    <xf numFmtId="0" fontId="0" fillId="0" borderId="0" xfId="0" applyFont="1" applyFill="1" applyBorder="1" applyAlignment="1" applyProtection="1">
      <alignment horizontal="left"/>
      <protection hidden="1"/>
    </xf>
    <xf numFmtId="0" fontId="0" fillId="0" borderId="0" xfId="0" applyFont="1" applyFill="1"/>
    <xf numFmtId="0" fontId="1" fillId="2" borderId="8" xfId="0" applyFont="1" applyFill="1" applyBorder="1" applyAlignment="1" applyProtection="1">
      <alignment vertical="center"/>
      <protection hidden="1"/>
    </xf>
    <xf numFmtId="0" fontId="0" fillId="0" borderId="32" xfId="0" applyBorder="1" applyAlignment="1">
      <alignment horizontal="left" wrapText="1"/>
    </xf>
    <xf numFmtId="0" fontId="1" fillId="2" borderId="8" xfId="0" applyFont="1" applyFill="1" applyBorder="1" applyAlignment="1" applyProtection="1">
      <alignment horizontal="center"/>
      <protection hidden="1"/>
    </xf>
    <xf numFmtId="0" fontId="1" fillId="2" borderId="18" xfId="0" applyFont="1" applyFill="1" applyBorder="1" applyAlignment="1" applyProtection="1">
      <alignment horizontal="center" vertical="center"/>
      <protection hidden="1"/>
    </xf>
    <xf numFmtId="0" fontId="6" fillId="3" borderId="21" xfId="0" applyFont="1" applyFill="1" applyBorder="1" applyAlignment="1" applyProtection="1">
      <alignment horizontal="center" vertical="center"/>
      <protection hidden="1"/>
    </xf>
    <xf numFmtId="0" fontId="6" fillId="2" borderId="11" xfId="0" applyFont="1" applyFill="1" applyBorder="1" applyAlignment="1" applyProtection="1">
      <alignment horizontal="center" vertical="center"/>
      <protection locked="0" hidden="1"/>
    </xf>
    <xf numFmtId="0" fontId="0" fillId="0" borderId="0" xfId="0" applyFont="1" applyFill="1" applyBorder="1" applyAlignment="1"/>
    <xf numFmtId="0" fontId="5" fillId="2" borderId="7" xfId="0" applyFont="1" applyFill="1" applyBorder="1" applyAlignment="1" applyProtection="1">
      <alignment horizontal="center" vertical="center"/>
      <protection locked="0" hidden="1"/>
    </xf>
    <xf numFmtId="0" fontId="6" fillId="2" borderId="8" xfId="0" applyFont="1" applyFill="1" applyBorder="1" applyAlignment="1" applyProtection="1">
      <alignment horizontal="center" vertical="center"/>
      <protection hidden="1"/>
    </xf>
    <xf numFmtId="0" fontId="0" fillId="0" borderId="0" xfId="0" applyFont="1" applyFill="1" applyBorder="1" applyProtection="1">
      <protection locked="0"/>
    </xf>
    <xf numFmtId="0" fontId="8" fillId="2" borderId="7" xfId="0" applyFont="1" applyFill="1" applyBorder="1" applyAlignment="1" applyProtection="1">
      <alignment horizontal="center"/>
      <protection hidden="1"/>
    </xf>
    <xf numFmtId="0" fontId="0" fillId="3" borderId="0" xfId="0" applyFill="1"/>
    <xf numFmtId="0" fontId="0" fillId="3" borderId="0" xfId="0" applyFill="1" applyAlignment="1"/>
    <xf numFmtId="0" fontId="1" fillId="3" borderId="0" xfId="0" applyFont="1" applyFill="1" applyBorder="1" applyAlignment="1" applyProtection="1">
      <protection hidden="1"/>
    </xf>
    <xf numFmtId="0" fontId="0" fillId="3" borderId="0" xfId="0" applyFill="1" applyBorder="1" applyAlignment="1" applyProtection="1">
      <protection hidden="1"/>
    </xf>
    <xf numFmtId="0" fontId="0" fillId="3" borderId="0" xfId="0" applyFill="1" applyAlignment="1">
      <alignment horizontal="right"/>
    </xf>
    <xf numFmtId="0" fontId="0" fillId="4" borderId="0" xfId="0" applyFill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right"/>
      <protection locked="0"/>
    </xf>
    <xf numFmtId="0" fontId="0" fillId="3" borderId="5" xfId="0" applyFill="1" applyBorder="1" applyProtection="1">
      <protection hidden="1"/>
    </xf>
    <xf numFmtId="0" fontId="0" fillId="3" borderId="0" xfId="0" applyFill="1" applyBorder="1" applyProtection="1">
      <protection hidden="1"/>
    </xf>
    <xf numFmtId="0" fontId="2" fillId="3" borderId="0" xfId="0" applyFont="1" applyFill="1" applyBorder="1" applyProtection="1">
      <protection hidden="1"/>
    </xf>
    <xf numFmtId="0" fontId="7" fillId="3" borderId="0" xfId="0" applyFont="1" applyFill="1" applyBorder="1" applyProtection="1">
      <protection hidden="1"/>
    </xf>
    <xf numFmtId="0" fontId="0" fillId="3" borderId="6" xfId="0" applyFill="1" applyBorder="1" applyProtection="1">
      <protection hidden="1"/>
    </xf>
    <xf numFmtId="0" fontId="4" fillId="0" borderId="17" xfId="0" applyFont="1" applyBorder="1" applyAlignment="1" applyProtection="1">
      <alignment horizontal="center"/>
      <protection hidden="1"/>
    </xf>
    <xf numFmtId="0" fontId="4" fillId="0" borderId="18" xfId="0" applyFont="1" applyBorder="1" applyAlignment="1" applyProtection="1">
      <alignment horizontal="center"/>
      <protection hidden="1"/>
    </xf>
    <xf numFmtId="0" fontId="4" fillId="0" borderId="23" xfId="0" applyFont="1" applyBorder="1" applyAlignment="1" applyProtection="1">
      <alignment horizontal="center"/>
      <protection hidden="1"/>
    </xf>
    <xf numFmtId="0" fontId="0" fillId="3" borderId="17" xfId="0" applyFill="1" applyBorder="1" applyProtection="1">
      <protection hidden="1"/>
    </xf>
    <xf numFmtId="0" fontId="0" fillId="3" borderId="18" xfId="0" applyFill="1" applyBorder="1" applyProtection="1">
      <protection hidden="1"/>
    </xf>
    <xf numFmtId="0" fontId="2" fillId="3" borderId="18" xfId="0" applyFont="1" applyFill="1" applyBorder="1" applyProtection="1">
      <protection hidden="1"/>
    </xf>
    <xf numFmtId="0" fontId="7" fillId="3" borderId="18" xfId="0" applyFont="1" applyFill="1" applyBorder="1" applyProtection="1">
      <protection hidden="1"/>
    </xf>
    <xf numFmtId="0" fontId="0" fillId="3" borderId="23" xfId="0" applyFill="1" applyBorder="1" applyProtection="1">
      <protection hidden="1"/>
    </xf>
    <xf numFmtId="0" fontId="9" fillId="6" borderId="13" xfId="0" applyFont="1" applyFill="1" applyBorder="1" applyAlignment="1" applyProtection="1">
      <alignment horizontal="right" vertical="center"/>
      <protection hidden="1"/>
    </xf>
    <xf numFmtId="0" fontId="9" fillId="6" borderId="14" xfId="0" applyFont="1" applyFill="1" applyBorder="1" applyAlignment="1" applyProtection="1">
      <alignment horizontal="right" vertical="center"/>
      <protection hidden="1"/>
    </xf>
    <xf numFmtId="0" fontId="11" fillId="6" borderId="14" xfId="0" applyFont="1" applyFill="1" applyBorder="1" applyAlignment="1" applyProtection="1">
      <alignment horizontal="right"/>
      <protection hidden="1"/>
    </xf>
    <xf numFmtId="0" fontId="9" fillId="6" borderId="15" xfId="0" applyFont="1" applyFill="1" applyBorder="1" applyAlignment="1" applyProtection="1">
      <alignment horizontal="right" vertical="center"/>
      <protection hidden="1"/>
    </xf>
    <xf numFmtId="0" fontId="9" fillId="6" borderId="16" xfId="0" applyFont="1" applyFill="1" applyBorder="1" applyAlignment="1" applyProtection="1">
      <alignment horizontal="right" vertical="center"/>
      <protection hidden="1"/>
    </xf>
    <xf numFmtId="0" fontId="11" fillId="6" borderId="14" xfId="0" applyFont="1" applyFill="1" applyBorder="1" applyAlignment="1" applyProtection="1">
      <alignment horizontal="left"/>
      <protection hidden="1"/>
    </xf>
    <xf numFmtId="0" fontId="11" fillId="6" borderId="16" xfId="0" applyFont="1" applyFill="1" applyBorder="1" applyAlignment="1" applyProtection="1">
      <alignment horizontal="left"/>
      <protection hidden="1"/>
    </xf>
    <xf numFmtId="0" fontId="0" fillId="3" borderId="0" xfId="0" applyFill="1" applyAlignment="1">
      <alignment horizontal="center"/>
    </xf>
    <xf numFmtId="0" fontId="13" fillId="6" borderId="16" xfId="0" applyFont="1" applyFill="1" applyBorder="1" applyAlignment="1" applyProtection="1">
      <alignment horizontal="right"/>
      <protection hidden="1"/>
    </xf>
    <xf numFmtId="0" fontId="11" fillId="6" borderId="16" xfId="0" applyFont="1" applyFill="1" applyBorder="1" applyAlignment="1" applyProtection="1">
      <alignment horizontal="right"/>
      <protection hidden="1"/>
    </xf>
    <xf numFmtId="0" fontId="9" fillId="6" borderId="14" xfId="0" applyFont="1" applyFill="1" applyBorder="1" applyAlignment="1" applyProtection="1">
      <alignment horizontal="right"/>
      <protection hidden="1"/>
    </xf>
    <xf numFmtId="0" fontId="9" fillId="6" borderId="16" xfId="0" applyFont="1" applyFill="1" applyBorder="1" applyAlignment="1" applyProtection="1">
      <alignment horizontal="right"/>
      <protection hidden="1"/>
    </xf>
    <xf numFmtId="0" fontId="0" fillId="3" borderId="0" xfId="0" applyFill="1" applyProtection="1">
      <protection hidden="1"/>
    </xf>
    <xf numFmtId="0" fontId="0" fillId="6" borderId="14" xfId="0" applyFill="1" applyBorder="1" applyProtection="1">
      <protection hidden="1"/>
    </xf>
    <xf numFmtId="0" fontId="0" fillId="6" borderId="16" xfId="0" applyFill="1" applyBorder="1" applyProtection="1">
      <protection hidden="1"/>
    </xf>
    <xf numFmtId="0" fontId="10" fillId="3" borderId="0" xfId="0" applyFont="1" applyFill="1" applyProtection="1">
      <protection hidden="1"/>
    </xf>
    <xf numFmtId="0" fontId="10" fillId="3" borderId="0" xfId="0" applyFont="1" applyFill="1" applyBorder="1" applyAlignment="1" applyProtection="1">
      <protection hidden="1"/>
    </xf>
    <xf numFmtId="0" fontId="11" fillId="3" borderId="0" xfId="0" applyFont="1" applyFill="1"/>
    <xf numFmtId="0" fontId="8" fillId="6" borderId="13" xfId="0" applyFont="1" applyFill="1" applyBorder="1" applyAlignment="1" applyProtection="1">
      <alignment horizontal="right" vertical="center"/>
      <protection hidden="1"/>
    </xf>
    <xf numFmtId="0" fontId="16" fillId="6" borderId="14" xfId="0" applyFont="1" applyFill="1" applyBorder="1" applyAlignment="1" applyProtection="1">
      <alignment horizontal="right"/>
      <protection hidden="1"/>
    </xf>
    <xf numFmtId="0" fontId="15" fillId="3" borderId="0" xfId="0" applyFont="1" applyFill="1" applyProtection="1">
      <protection hidden="1"/>
    </xf>
    <xf numFmtId="0" fontId="15" fillId="3" borderId="0" xfId="0" applyFont="1" applyFill="1" applyBorder="1" applyAlignment="1" applyProtection="1">
      <alignment horizontal="left"/>
      <protection hidden="1"/>
    </xf>
    <xf numFmtId="49" fontId="0" fillId="3" borderId="0" xfId="0" applyNumberFormat="1" applyFill="1" applyBorder="1"/>
    <xf numFmtId="49" fontId="1" fillId="3" borderId="0" xfId="0" applyNumberFormat="1" applyFont="1" applyFill="1" applyBorder="1"/>
    <xf numFmtId="49" fontId="17" fillId="3" borderId="0" xfId="0" applyNumberFormat="1" applyFont="1" applyFill="1" applyBorder="1"/>
    <xf numFmtId="0" fontId="10" fillId="7" borderId="0" xfId="0" applyFont="1" applyFill="1" applyProtection="1">
      <protection hidden="1"/>
    </xf>
    <xf numFmtId="0" fontId="0" fillId="7" borderId="0" xfId="0" applyFill="1" applyProtection="1">
      <protection hidden="1"/>
    </xf>
    <xf numFmtId="0" fontId="9" fillId="6" borderId="14" xfId="0" applyFont="1" applyFill="1" applyBorder="1" applyAlignment="1" applyProtection="1">
      <alignment horizontal="right"/>
      <protection hidden="1"/>
    </xf>
    <xf numFmtId="0" fontId="9" fillId="6" borderId="16" xfId="0" applyFont="1" applyFill="1" applyBorder="1" applyAlignment="1" applyProtection="1">
      <alignment horizontal="right"/>
      <protection hidden="1"/>
    </xf>
    <xf numFmtId="0" fontId="1" fillId="2" borderId="18" xfId="0" applyFont="1" applyFill="1" applyBorder="1" applyAlignment="1" applyProtection="1">
      <alignment horizontal="center" vertical="center"/>
      <protection hidden="1"/>
    </xf>
    <xf numFmtId="0" fontId="6" fillId="3" borderId="21" xfId="0" applyFont="1" applyFill="1" applyBorder="1" applyAlignment="1" applyProtection="1">
      <alignment horizontal="center" vertical="center"/>
      <protection hidden="1"/>
    </xf>
    <xf numFmtId="0" fontId="13" fillId="6" borderId="16" xfId="0" applyFont="1" applyFill="1" applyBorder="1" applyAlignment="1" applyProtection="1">
      <alignment horizontal="right"/>
      <protection hidden="1"/>
    </xf>
    <xf numFmtId="0" fontId="10" fillId="7" borderId="0" xfId="0" applyFont="1" applyFill="1" applyBorder="1" applyAlignment="1" applyProtection="1">
      <protection hidden="1"/>
    </xf>
    <xf numFmtId="0" fontId="10" fillId="4" borderId="0" xfId="0" applyFont="1" applyFill="1" applyBorder="1" applyAlignment="1" applyProtection="1">
      <alignment horizontal="right"/>
      <protection locked="0"/>
    </xf>
    <xf numFmtId="0" fontId="1" fillId="6" borderId="1" xfId="0" applyFont="1" applyFill="1" applyBorder="1" applyAlignment="1" applyProtection="1">
      <alignment horizontal="center"/>
      <protection hidden="1"/>
    </xf>
    <xf numFmtId="0" fontId="1" fillId="6" borderId="4" xfId="0" applyFont="1" applyFill="1" applyBorder="1" applyAlignment="1" applyProtection="1">
      <alignment horizontal="center"/>
      <protection hidden="1"/>
    </xf>
    <xf numFmtId="0" fontId="1" fillId="6" borderId="2" xfId="0" applyFont="1" applyFill="1" applyBorder="1" applyAlignment="1" applyProtection="1">
      <alignment horizontal="center"/>
      <protection hidden="1"/>
    </xf>
    <xf numFmtId="0" fontId="1" fillId="6" borderId="33" xfId="0" applyFont="1" applyFill="1" applyBorder="1" applyAlignment="1" applyProtection="1">
      <alignment horizontal="center"/>
      <protection hidden="1"/>
    </xf>
    <xf numFmtId="0" fontId="1" fillId="6" borderId="37" xfId="0" applyFont="1" applyFill="1" applyBorder="1" applyAlignment="1" applyProtection="1">
      <alignment horizontal="center"/>
      <protection hidden="1"/>
    </xf>
    <xf numFmtId="0" fontId="1" fillId="6" borderId="38" xfId="0" applyFont="1" applyFill="1" applyBorder="1" applyAlignment="1" applyProtection="1">
      <alignment horizontal="center"/>
      <protection hidden="1"/>
    </xf>
    <xf numFmtId="0" fontId="1" fillId="6" borderId="35" xfId="0" applyFont="1" applyFill="1" applyBorder="1" applyAlignment="1" applyProtection="1">
      <alignment horizontal="center"/>
      <protection hidden="1"/>
    </xf>
    <xf numFmtId="0" fontId="1" fillId="6" borderId="39" xfId="0" applyFont="1" applyFill="1" applyBorder="1" applyAlignment="1" applyProtection="1">
      <alignment horizontal="center"/>
      <protection hidden="1"/>
    </xf>
    <xf numFmtId="0" fontId="0" fillId="5" borderId="34" xfId="0" applyFill="1" applyBorder="1" applyAlignment="1" applyProtection="1">
      <protection locked="0" hidden="1"/>
    </xf>
    <xf numFmtId="0" fontId="0" fillId="5" borderId="4" xfId="0" applyFill="1" applyBorder="1" applyAlignment="1" applyProtection="1">
      <protection locked="0" hidden="1"/>
    </xf>
    <xf numFmtId="0" fontId="0" fillId="5" borderId="2" xfId="0" applyFill="1" applyBorder="1" applyAlignment="1" applyProtection="1">
      <protection locked="0" hidden="1"/>
    </xf>
    <xf numFmtId="0" fontId="8" fillId="5" borderId="4" xfId="0" applyFont="1" applyFill="1" applyBorder="1" applyAlignment="1" applyProtection="1">
      <alignment horizontal="left"/>
      <protection locked="0"/>
    </xf>
    <xf numFmtId="0" fontId="8" fillId="5" borderId="2" xfId="0" applyFont="1" applyFill="1" applyBorder="1" applyAlignment="1" applyProtection="1">
      <alignment horizontal="left"/>
      <protection locked="0"/>
    </xf>
    <xf numFmtId="0" fontId="10" fillId="3" borderId="0" xfId="0" applyFont="1" applyFill="1" applyBorder="1" applyAlignment="1" applyProtection="1">
      <alignment horizontal="right"/>
      <protection locked="0"/>
    </xf>
    <xf numFmtId="0" fontId="1" fillId="6" borderId="1" xfId="0" applyFont="1" applyFill="1" applyBorder="1" applyAlignment="1">
      <alignment horizontal="center"/>
    </xf>
    <xf numFmtId="0" fontId="1" fillId="6" borderId="33" xfId="0" applyFont="1" applyFill="1" applyBorder="1" applyAlignment="1">
      <alignment horizontal="center"/>
    </xf>
    <xf numFmtId="0" fontId="9" fillId="6" borderId="14" xfId="0" applyFont="1" applyFill="1" applyBorder="1" applyAlignment="1" applyProtection="1">
      <alignment horizontal="right"/>
      <protection hidden="1"/>
    </xf>
    <xf numFmtId="0" fontId="9" fillId="6" borderId="28" xfId="0" applyFont="1" applyFill="1" applyBorder="1" applyAlignment="1" applyProtection="1">
      <alignment horizontal="right"/>
      <protection hidden="1"/>
    </xf>
    <xf numFmtId="0" fontId="13" fillId="6" borderId="16" xfId="0" applyFont="1" applyFill="1" applyBorder="1" applyAlignment="1" applyProtection="1">
      <alignment horizontal="right"/>
      <protection hidden="1"/>
    </xf>
    <xf numFmtId="0" fontId="9" fillId="6" borderId="16" xfId="0" applyFont="1" applyFill="1" applyBorder="1" applyAlignment="1" applyProtection="1">
      <alignment horizontal="right"/>
      <protection hidden="1"/>
    </xf>
    <xf numFmtId="0" fontId="9" fillId="6" borderId="29" xfId="0" applyFont="1" applyFill="1" applyBorder="1" applyAlignment="1" applyProtection="1">
      <alignment horizontal="right"/>
      <protection hidden="1"/>
    </xf>
    <xf numFmtId="0" fontId="10" fillId="7" borderId="14" xfId="0" applyFont="1" applyFill="1" applyBorder="1" applyAlignment="1" applyProtection="1">
      <alignment horizontal="right"/>
      <protection hidden="1"/>
    </xf>
    <xf numFmtId="0" fontId="10" fillId="3" borderId="14" xfId="0" applyFont="1" applyFill="1" applyBorder="1" applyAlignment="1" applyProtection="1">
      <alignment horizontal="right"/>
      <protection hidden="1"/>
    </xf>
    <xf numFmtId="0" fontId="10" fillId="3" borderId="0" xfId="0" applyFont="1" applyFill="1" applyBorder="1" applyAlignment="1" applyProtection="1">
      <alignment horizontal="right"/>
      <protection hidden="1"/>
    </xf>
    <xf numFmtId="0" fontId="0" fillId="5" borderId="34" xfId="0" applyFill="1" applyBorder="1" applyAlignment="1" applyProtection="1">
      <alignment horizontal="right"/>
      <protection locked="0" hidden="1"/>
    </xf>
    <xf numFmtId="0" fontId="0" fillId="5" borderId="4" xfId="0" applyFill="1" applyBorder="1" applyAlignment="1" applyProtection="1">
      <alignment horizontal="right"/>
      <protection locked="0" hidden="1"/>
    </xf>
    <xf numFmtId="0" fontId="0" fillId="5" borderId="2" xfId="0" applyFill="1" applyBorder="1" applyAlignment="1" applyProtection="1">
      <alignment horizontal="right"/>
      <protection locked="0" hidden="1"/>
    </xf>
    <xf numFmtId="0" fontId="0" fillId="5" borderId="4" xfId="0" applyFill="1" applyBorder="1" applyAlignment="1" applyProtection="1">
      <alignment horizontal="right"/>
      <protection locked="0"/>
    </xf>
    <xf numFmtId="0" fontId="0" fillId="5" borderId="2" xfId="0" applyFill="1" applyBorder="1" applyAlignment="1" applyProtection="1">
      <alignment horizontal="right"/>
      <protection locked="0"/>
    </xf>
    <xf numFmtId="0" fontId="1" fillId="6" borderId="4" xfId="0" applyFont="1" applyFill="1" applyBorder="1" applyAlignment="1">
      <alignment horizontal="center"/>
    </xf>
    <xf numFmtId="0" fontId="0" fillId="5" borderId="4" xfId="0" applyFill="1" applyBorder="1" applyAlignment="1" applyProtection="1">
      <alignment horizontal="left"/>
      <protection locked="0"/>
    </xf>
    <xf numFmtId="0" fontId="0" fillId="5" borderId="2" xfId="0" applyFill="1" applyBorder="1" applyAlignment="1" applyProtection="1">
      <alignment horizontal="left"/>
      <protection locked="0"/>
    </xf>
    <xf numFmtId="0" fontId="0" fillId="5" borderId="36" xfId="0" applyFill="1" applyBorder="1" applyAlignment="1" applyProtection="1">
      <alignment horizontal="right"/>
      <protection locked="0" hidden="1"/>
    </xf>
    <xf numFmtId="0" fontId="0" fillId="5" borderId="0" xfId="0" applyFill="1" applyBorder="1" applyAlignment="1" applyProtection="1">
      <alignment horizontal="right"/>
      <protection locked="0" hidden="1"/>
    </xf>
    <xf numFmtId="0" fontId="0" fillId="5" borderId="6" xfId="0" applyFill="1" applyBorder="1" applyAlignment="1" applyProtection="1">
      <alignment horizontal="right"/>
      <protection locked="0" hidden="1"/>
    </xf>
    <xf numFmtId="0" fontId="10" fillId="3" borderId="0" xfId="0" applyFont="1" applyFill="1" applyBorder="1" applyAlignment="1">
      <alignment horizontal="right"/>
    </xf>
    <xf numFmtId="0" fontId="1" fillId="2" borderId="17" xfId="0" applyFont="1" applyFill="1" applyBorder="1" applyAlignment="1" applyProtection="1">
      <alignment horizontal="center" vertical="center"/>
      <protection hidden="1"/>
    </xf>
    <xf numFmtId="0" fontId="1" fillId="2" borderId="18" xfId="0" applyFont="1" applyFill="1" applyBorder="1" applyAlignment="1" applyProtection="1">
      <alignment horizontal="center" vertical="center"/>
      <protection hidden="1"/>
    </xf>
    <xf numFmtId="0" fontId="1" fillId="2" borderId="19" xfId="0" applyFont="1" applyFill="1" applyBorder="1" applyAlignment="1" applyProtection="1">
      <alignment horizontal="center" vertical="center"/>
      <protection hidden="1"/>
    </xf>
    <xf numFmtId="0" fontId="1" fillId="2" borderId="23" xfId="0" applyFont="1" applyFill="1" applyBorder="1" applyAlignment="1" applyProtection="1">
      <alignment horizontal="center" vertical="center"/>
      <protection hidden="1"/>
    </xf>
    <xf numFmtId="0" fontId="6" fillId="3" borderId="17" xfId="0" applyFont="1" applyFill="1" applyBorder="1" applyAlignment="1" applyProtection="1">
      <alignment horizontal="center"/>
      <protection locked="0" hidden="1"/>
    </xf>
    <xf numFmtId="0" fontId="6" fillId="3" borderId="18" xfId="0" applyFont="1" applyFill="1" applyBorder="1" applyAlignment="1" applyProtection="1">
      <alignment horizontal="center"/>
      <protection locked="0" hidden="1"/>
    </xf>
    <xf numFmtId="0" fontId="6" fillId="3" borderId="19" xfId="0" applyFont="1" applyFill="1" applyBorder="1" applyAlignment="1" applyProtection="1">
      <alignment horizontal="center"/>
      <protection locked="0" hidden="1"/>
    </xf>
    <xf numFmtId="0" fontId="6" fillId="3" borderId="18" xfId="0" applyFont="1" applyFill="1" applyBorder="1" applyAlignment="1" applyProtection="1">
      <alignment horizontal="center" vertical="center"/>
      <protection hidden="1"/>
    </xf>
    <xf numFmtId="0" fontId="6" fillId="3" borderId="23" xfId="0" applyFont="1" applyFill="1" applyBorder="1" applyAlignment="1" applyProtection="1">
      <alignment horizontal="center" vertical="center"/>
      <protection hidden="1"/>
    </xf>
    <xf numFmtId="0" fontId="1" fillId="2" borderId="17" xfId="0" applyFont="1" applyFill="1" applyBorder="1" applyAlignment="1" applyProtection="1">
      <alignment horizontal="center"/>
      <protection hidden="1"/>
    </xf>
    <xf numFmtId="0" fontId="1" fillId="2" borderId="18" xfId="0" applyFont="1" applyFill="1" applyBorder="1" applyAlignment="1" applyProtection="1">
      <alignment horizontal="center"/>
      <protection hidden="1"/>
    </xf>
    <xf numFmtId="0" fontId="1" fillId="2" borderId="19" xfId="0" applyFont="1" applyFill="1" applyBorder="1" applyAlignment="1" applyProtection="1">
      <alignment horizontal="center"/>
      <protection hidden="1"/>
    </xf>
    <xf numFmtId="0" fontId="1" fillId="2" borderId="23" xfId="0" applyFont="1" applyFill="1" applyBorder="1" applyAlignment="1" applyProtection="1">
      <alignment horizontal="center"/>
      <protection hidden="1"/>
    </xf>
    <xf numFmtId="0" fontId="6" fillId="3" borderId="31" xfId="0" applyFont="1" applyFill="1" applyBorder="1" applyAlignment="1" applyProtection="1">
      <alignment horizontal="center"/>
      <protection locked="0" hidden="1"/>
    </xf>
    <xf numFmtId="0" fontId="6" fillId="3" borderId="25" xfId="0" applyFont="1" applyFill="1" applyBorder="1" applyAlignment="1" applyProtection="1">
      <alignment horizontal="center"/>
      <protection locked="0" hidden="1"/>
    </xf>
    <xf numFmtId="0" fontId="6" fillId="3" borderId="26" xfId="0" applyFont="1" applyFill="1" applyBorder="1" applyAlignment="1" applyProtection="1">
      <alignment horizontal="center"/>
      <protection locked="0" hidden="1"/>
    </xf>
    <xf numFmtId="0" fontId="6" fillId="0" borderId="25" xfId="0" applyFont="1" applyBorder="1" applyAlignment="1" applyProtection="1">
      <alignment horizontal="center"/>
      <protection locked="0" hidden="1"/>
    </xf>
    <xf numFmtId="0" fontId="6" fillId="0" borderId="27" xfId="0" applyFont="1" applyBorder="1" applyAlignment="1" applyProtection="1">
      <alignment horizontal="center"/>
      <protection locked="0" hidden="1"/>
    </xf>
    <xf numFmtId="0" fontId="1" fillId="2" borderId="22" xfId="0" applyFont="1" applyFill="1" applyBorder="1" applyAlignment="1" applyProtection="1">
      <alignment horizontal="center" vertical="center"/>
      <protection hidden="1"/>
    </xf>
    <xf numFmtId="0" fontId="6" fillId="2" borderId="22" xfId="0" applyFont="1" applyFill="1" applyBorder="1" applyAlignment="1" applyProtection="1">
      <alignment horizontal="center" vertical="center"/>
      <protection hidden="1"/>
    </xf>
    <xf numFmtId="0" fontId="6" fillId="2" borderId="19" xfId="0" applyFont="1" applyFill="1" applyBorder="1" applyAlignment="1" applyProtection="1">
      <alignment horizontal="center" vertical="center"/>
      <protection hidden="1"/>
    </xf>
    <xf numFmtId="0" fontId="6" fillId="3" borderId="22" xfId="0" applyFont="1" applyFill="1" applyBorder="1" applyAlignment="1" applyProtection="1">
      <alignment horizontal="center" vertical="center"/>
      <protection hidden="1"/>
    </xf>
    <xf numFmtId="0" fontId="6" fillId="2" borderId="17" xfId="0" applyFont="1" applyFill="1" applyBorder="1" applyAlignment="1" applyProtection="1">
      <alignment horizontal="center" vertical="center"/>
      <protection locked="0" hidden="1"/>
    </xf>
    <xf numFmtId="0" fontId="6" fillId="2" borderId="18" xfId="0" applyFont="1" applyFill="1" applyBorder="1" applyAlignment="1" applyProtection="1">
      <alignment horizontal="center" vertical="center"/>
      <protection locked="0" hidden="1"/>
    </xf>
    <xf numFmtId="0" fontId="6" fillId="2" borderId="19" xfId="0" applyFont="1" applyFill="1" applyBorder="1" applyAlignment="1" applyProtection="1">
      <alignment horizontal="center" vertical="center"/>
      <protection locked="0" hidden="1"/>
    </xf>
    <xf numFmtId="0" fontId="1" fillId="2" borderId="22" xfId="0" applyFont="1" applyFill="1" applyBorder="1" applyAlignment="1" applyProtection="1">
      <alignment horizontal="center"/>
      <protection hidden="1"/>
    </xf>
    <xf numFmtId="0" fontId="6" fillId="2" borderId="31" xfId="0" applyFont="1" applyFill="1" applyBorder="1" applyAlignment="1" applyProtection="1">
      <alignment horizontal="center" vertical="center"/>
      <protection locked="0" hidden="1"/>
    </xf>
    <xf numFmtId="0" fontId="6" fillId="2" borderId="25" xfId="0" applyFont="1" applyFill="1" applyBorder="1" applyAlignment="1" applyProtection="1">
      <alignment horizontal="center" vertical="center"/>
      <protection locked="0" hidden="1"/>
    </xf>
    <xf numFmtId="0" fontId="6" fillId="2" borderId="26" xfId="0" applyFont="1" applyFill="1" applyBorder="1" applyAlignment="1" applyProtection="1">
      <alignment horizontal="center" vertical="center"/>
      <protection locked="0" hidden="1"/>
    </xf>
    <xf numFmtId="0" fontId="6" fillId="0" borderId="25" xfId="0" applyFont="1" applyBorder="1" applyAlignment="1" applyProtection="1">
      <alignment horizontal="center" vertical="center"/>
      <protection locked="0" hidden="1"/>
    </xf>
    <xf numFmtId="0" fontId="6" fillId="0" borderId="26" xfId="0" applyFont="1" applyBorder="1" applyAlignment="1" applyProtection="1">
      <alignment horizontal="center" vertical="center"/>
      <protection locked="0" hidden="1"/>
    </xf>
    <xf numFmtId="0" fontId="6" fillId="0" borderId="24" xfId="0" applyFont="1" applyBorder="1" applyAlignment="1" applyProtection="1">
      <alignment horizontal="center" vertical="center"/>
      <protection locked="0" hidden="1"/>
    </xf>
    <xf numFmtId="0" fontId="6" fillId="0" borderId="27" xfId="0" applyFont="1" applyBorder="1" applyAlignment="1" applyProtection="1">
      <alignment horizontal="center" vertical="center"/>
      <protection locked="0" hidden="1"/>
    </xf>
    <xf numFmtId="0" fontId="6" fillId="0" borderId="24" xfId="0" applyFont="1" applyBorder="1" applyAlignment="1" applyProtection="1">
      <alignment horizontal="center"/>
      <protection locked="0" hidden="1"/>
    </xf>
    <xf numFmtId="0" fontId="6" fillId="0" borderId="26" xfId="0" applyFont="1" applyBorder="1" applyAlignment="1" applyProtection="1">
      <alignment horizontal="center"/>
      <protection locked="0" hidden="1"/>
    </xf>
    <xf numFmtId="0" fontId="0" fillId="2" borderId="17" xfId="0" applyFont="1" applyFill="1" applyBorder="1" applyAlignment="1" applyProtection="1">
      <alignment horizontal="center"/>
      <protection hidden="1"/>
    </xf>
    <xf numFmtId="0" fontId="0" fillId="2" borderId="18" xfId="0" applyFont="1" applyFill="1" applyBorder="1" applyAlignment="1" applyProtection="1">
      <alignment horizontal="center"/>
      <protection hidden="1"/>
    </xf>
    <xf numFmtId="0" fontId="6" fillId="3" borderId="19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/>
      <protection locked="0" hidden="1"/>
    </xf>
    <xf numFmtId="0" fontId="6" fillId="3" borderId="27" xfId="0" applyFont="1" applyFill="1" applyBorder="1" applyAlignment="1" applyProtection="1">
      <alignment horizontal="center"/>
      <protection locked="0" hidden="1"/>
    </xf>
    <xf numFmtId="0" fontId="6" fillId="2" borderId="17" xfId="0" applyFont="1" applyFill="1" applyBorder="1" applyAlignment="1" applyProtection="1">
      <alignment horizontal="center"/>
      <protection locked="0" hidden="1"/>
    </xf>
    <xf numFmtId="0" fontId="6" fillId="2" borderId="19" xfId="0" applyFont="1" applyFill="1" applyBorder="1" applyAlignment="1" applyProtection="1">
      <alignment horizontal="center"/>
      <protection locked="0" hidden="1"/>
    </xf>
    <xf numFmtId="0" fontId="0" fillId="2" borderId="19" xfId="0" applyFont="1" applyFill="1" applyBorder="1" applyAlignment="1" applyProtection="1">
      <alignment horizontal="center"/>
      <protection hidden="1"/>
    </xf>
    <xf numFmtId="0" fontId="6" fillId="2" borderId="18" xfId="0" applyFont="1" applyFill="1" applyBorder="1" applyAlignment="1" applyProtection="1">
      <alignment horizontal="center"/>
      <protection locked="0" hidden="1"/>
    </xf>
    <xf numFmtId="0" fontId="6" fillId="3" borderId="20" xfId="0" applyFont="1" applyFill="1" applyBorder="1" applyAlignment="1" applyProtection="1">
      <alignment horizontal="center" vertical="center"/>
      <protection hidden="1"/>
    </xf>
    <xf numFmtId="0" fontId="6" fillId="3" borderId="21" xfId="0" applyFont="1" applyFill="1" applyBorder="1" applyAlignment="1" applyProtection="1">
      <alignment horizontal="center" vertical="center"/>
      <protection hidden="1"/>
    </xf>
    <xf numFmtId="0" fontId="6" fillId="3" borderId="3" xfId="0" applyFont="1" applyFill="1" applyBorder="1" applyAlignment="1" applyProtection="1">
      <alignment horizontal="center" vertical="center"/>
      <protection hidden="1"/>
    </xf>
    <xf numFmtId="0" fontId="6" fillId="2" borderId="31" xfId="0" applyFont="1" applyFill="1" applyBorder="1" applyAlignment="1" applyProtection="1">
      <alignment horizontal="center"/>
      <protection locked="0" hidden="1"/>
    </xf>
    <xf numFmtId="0" fontId="6" fillId="2" borderId="26" xfId="0" applyFont="1" applyFill="1" applyBorder="1" applyAlignment="1" applyProtection="1">
      <alignment horizontal="center"/>
      <protection locked="0" hidden="1"/>
    </xf>
    <xf numFmtId="0" fontId="0" fillId="0" borderId="0" xfId="0" applyAlignment="1">
      <alignment horizontal="center" vertical="top"/>
    </xf>
    <xf numFmtId="0" fontId="1" fillId="2" borderId="7" xfId="0" applyFont="1" applyFill="1" applyBorder="1" applyAlignment="1" applyProtection="1">
      <alignment horizontal="center"/>
      <protection hidden="1"/>
    </xf>
    <xf numFmtId="0" fontId="1" fillId="2" borderId="8" xfId="0" applyFont="1" applyFill="1" applyBorder="1" applyAlignment="1" applyProtection="1">
      <alignment horizontal="center"/>
      <protection hidden="1"/>
    </xf>
    <xf numFmtId="0" fontId="5" fillId="2" borderId="8" xfId="0" applyFont="1" applyFill="1" applyBorder="1" applyAlignment="1" applyProtection="1">
      <alignment horizontal="center"/>
      <protection hidden="1"/>
    </xf>
    <xf numFmtId="0" fontId="5" fillId="2" borderId="9" xfId="0" applyFont="1" applyFill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center"/>
      <protection locked="0" hidden="1"/>
    </xf>
    <xf numFmtId="0" fontId="6" fillId="0" borderId="8" xfId="0" applyFont="1" applyBorder="1" applyAlignment="1" applyProtection="1">
      <alignment horizontal="center"/>
      <protection locked="0" hidden="1"/>
    </xf>
    <xf numFmtId="0" fontId="6" fillId="0" borderId="9" xfId="0" applyFont="1" applyBorder="1" applyAlignment="1" applyProtection="1">
      <alignment horizontal="center"/>
      <protection locked="0" hidden="1"/>
    </xf>
    <xf numFmtId="0" fontId="1" fillId="2" borderId="9" xfId="0" applyFont="1" applyFill="1" applyBorder="1" applyAlignment="1" applyProtection="1">
      <alignment horizontal="center"/>
      <protection hidden="1"/>
    </xf>
    <xf numFmtId="0" fontId="6" fillId="0" borderId="11" xfId="0" applyFont="1" applyBorder="1" applyAlignment="1" applyProtection="1">
      <alignment horizontal="center"/>
      <protection locked="0" hidden="1"/>
    </xf>
    <xf numFmtId="0" fontId="6" fillId="0" borderId="12" xfId="0" applyFont="1" applyBorder="1" applyAlignment="1" applyProtection="1">
      <alignment horizontal="center"/>
      <protection locked="0" hidden="1"/>
    </xf>
    <xf numFmtId="0" fontId="6" fillId="2" borderId="24" xfId="0" applyFont="1" applyFill="1" applyBorder="1" applyAlignment="1" applyProtection="1">
      <alignment horizontal="center"/>
      <protection hidden="1"/>
    </xf>
    <xf numFmtId="0" fontId="6" fillId="2" borderId="26" xfId="0" applyFont="1" applyFill="1" applyBorder="1" applyAlignment="1" applyProtection="1">
      <alignment horizontal="center"/>
      <protection hidden="1"/>
    </xf>
    <xf numFmtId="0" fontId="6" fillId="2" borderId="24" xfId="0" applyFont="1" applyFill="1" applyBorder="1" applyAlignment="1" applyProtection="1">
      <alignment horizontal="center"/>
      <protection locked="0" hidden="1"/>
    </xf>
    <xf numFmtId="0" fontId="6" fillId="2" borderId="24" xfId="0" applyFont="1" applyFill="1" applyBorder="1" applyAlignment="1" applyProtection="1">
      <alignment horizontal="center" vertical="center"/>
      <protection locked="0" hidden="1"/>
    </xf>
  </cellXfs>
  <cellStyles count="1">
    <cellStyle name="Normal" xfId="0" builtinId="0"/>
  </cellStyles>
  <dxfs count="1">
    <dxf>
      <font>
        <color theme="0"/>
      </font>
      <fill>
        <patternFill>
          <bgColor theme="0"/>
        </patternFill>
      </fill>
      <border>
        <right/>
      </border>
    </dxf>
  </dxfs>
  <tableStyles count="0" defaultTableStyle="TableStyleMedium2" defaultPivotStyle="PivotStyleLight16"/>
  <colors>
    <mruColors>
      <color rgb="FFC4D79B"/>
      <color rgb="FFEBF1DE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266094647802081"/>
          <c:y val="9.063120158760643E-2"/>
          <c:w val="0.69605076354402917"/>
          <c:h val="0.6161823723647447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Sheet2!$T$48</c:f>
              <c:strCache>
                <c:ptCount val="1"/>
                <c:pt idx="0">
                  <c:v>SYNC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6717A78-9DB7-47DF-B2D1-94EC74D717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A7A-4014-8177-A469F52C29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09F4F9-995D-4CEA-A4E3-DB6EC1BD58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7A-4014-8177-A469F52C29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Sheet2!$S$49:$S$52</c15:sqref>
                  </c15:fullRef>
                </c:ext>
              </c:extLst>
              <c:f>Sheet2!$S$49:$S$50</c:f>
              <c:strCache>
                <c:ptCount val="2"/>
                <c:pt idx="0">
                  <c:v>data phase bit time = 0.2us (8Tq, Tq=25ns)</c:v>
                </c:pt>
                <c:pt idx="1">
                  <c:v>arbitration phase bit time = 1us (40Tq, Tq=25ns)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Sheet2!$T$49:$T$52</c15:sqref>
                  </c15:fullRef>
                </c:ext>
              </c:extLst>
              <c:f>Sheet2!$T$49:$T$50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Sheet2!$T$51:$T$52</c15:f>
                <c15:dlblRangeCache>
                  <c:ptCount val="2"/>
                  <c:pt idx="0">
                    <c:v>1</c:v>
                  </c:pt>
                  <c:pt idx="1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A7A-4014-8177-A469F52C2973}"/>
            </c:ext>
          </c:extLst>
        </c:ser>
        <c:ser>
          <c:idx val="1"/>
          <c:order val="1"/>
          <c:tx>
            <c:strRef>
              <c:f>Sheet2!$U$48</c:f>
              <c:strCache>
                <c:ptCount val="1"/>
                <c:pt idx="0">
                  <c:v>PROPSEG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F0C2B3B-672F-4A1B-A1CC-6151319E06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9A7A-4014-8177-A469F52C29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578D4D-8824-4AC2-A350-ACB1E4E9D1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7A-4014-8177-A469F52C29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Sheet2!$S$49:$S$52</c15:sqref>
                  </c15:fullRef>
                </c:ext>
              </c:extLst>
              <c:f>Sheet2!$S$49:$S$50</c:f>
              <c:strCache>
                <c:ptCount val="2"/>
                <c:pt idx="0">
                  <c:v>data phase bit time = 0.2us (8Tq, Tq=25ns)</c:v>
                </c:pt>
                <c:pt idx="1">
                  <c:v>arbitration phase bit time = 1us (40Tq, Tq=25ns)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Sheet2!$U$49:$U$52</c15:sqref>
                  </c15:fullRef>
                </c:ext>
              </c:extLst>
              <c:f>Sheet2!$U$49:$U$50</c:f>
              <c:numCache>
                <c:formatCode>General</c:formatCode>
                <c:ptCount val="2"/>
                <c:pt idx="0">
                  <c:v>50</c:v>
                </c:pt>
                <c:pt idx="1">
                  <c:v>525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Sheet2!$U$51:$U$52</c15:f>
                <c15:dlblRangeCache>
                  <c:ptCount val="2"/>
                  <c:pt idx="0">
                    <c:v>2</c:v>
                  </c:pt>
                  <c:pt idx="1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9A7A-4014-8177-A469F52C2973}"/>
            </c:ext>
          </c:extLst>
        </c:ser>
        <c:ser>
          <c:idx val="2"/>
          <c:order val="2"/>
          <c:tx>
            <c:strRef>
              <c:f>Sheet2!$V$48</c:f>
              <c:strCache>
                <c:ptCount val="1"/>
                <c:pt idx="0">
                  <c:v>PSEG1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E3BB000-9F48-4736-9957-7042D25024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9A7A-4014-8177-A469F52C29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C2A3B3-9C5D-4B7C-B791-580019D8ED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7A-4014-8177-A469F52C29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Sheet2!$S$49:$S$52</c15:sqref>
                  </c15:fullRef>
                </c:ext>
              </c:extLst>
              <c:f>Sheet2!$S$49:$S$50</c:f>
              <c:strCache>
                <c:ptCount val="2"/>
                <c:pt idx="0">
                  <c:v>data phase bit time = 0.2us (8Tq, Tq=25ns)</c:v>
                </c:pt>
                <c:pt idx="1">
                  <c:v>arbitration phase bit time = 1us (40Tq, Tq=25ns)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Sheet2!$V$49:$V$52</c15:sqref>
                  </c15:fullRef>
                </c:ext>
              </c:extLst>
              <c:f>Sheet2!$V$49:$V$50</c:f>
              <c:numCache>
                <c:formatCode>General</c:formatCode>
                <c:ptCount val="2"/>
                <c:pt idx="0">
                  <c:v>75</c:v>
                </c:pt>
                <c:pt idx="1">
                  <c:v>200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Sheet2!$V$51:$V$52</c15:f>
                <c15:dlblRangeCache>
                  <c:ptCount val="2"/>
                  <c:pt idx="0">
                    <c:v>3</c:v>
                  </c:pt>
                  <c:pt idx="1">
                    <c:v>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9A7A-4014-8177-A469F52C2973}"/>
            </c:ext>
          </c:extLst>
        </c:ser>
        <c:ser>
          <c:idx val="3"/>
          <c:order val="3"/>
          <c:tx>
            <c:strRef>
              <c:f>Sheet2!$W$48</c:f>
              <c:strCache>
                <c:ptCount val="1"/>
                <c:pt idx="0">
                  <c:v>PSEG2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EBB508D-1DEF-4BE3-A41C-B31B7BDCE0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A7A-4014-8177-A469F52C29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A4E9B0-2CA7-4F69-BF14-61581C5577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7A-4014-8177-A469F52C29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Sheet2!$S$49:$S$52</c15:sqref>
                  </c15:fullRef>
                </c:ext>
              </c:extLst>
              <c:f>Sheet2!$S$49:$S$50</c:f>
              <c:strCache>
                <c:ptCount val="2"/>
                <c:pt idx="0">
                  <c:v>data phase bit time = 0.2us (8Tq, Tq=25ns)</c:v>
                </c:pt>
                <c:pt idx="1">
                  <c:v>arbitration phase bit time = 1us (40Tq, Tq=25ns)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Sheet2!$W$49:$W$52</c15:sqref>
                  </c15:fullRef>
                </c:ext>
              </c:extLst>
              <c:f>Sheet2!$W$49:$W$50</c:f>
              <c:numCache>
                <c:formatCode>General</c:formatCode>
                <c:ptCount val="2"/>
                <c:pt idx="0">
                  <c:v>50</c:v>
                </c:pt>
                <c:pt idx="1">
                  <c:v>250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Sheet2!$W$51:$W$52</c15:f>
                <c15:dlblRangeCache>
                  <c:ptCount val="2"/>
                  <c:pt idx="0">
                    <c:v>2</c:v>
                  </c:pt>
                  <c:pt idx="1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9A7A-4014-8177-A469F52C2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9283551"/>
        <c:axId val="1424266383"/>
      </c:barChart>
      <c:catAx>
        <c:axId val="13492835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4266383"/>
        <c:crosses val="autoZero"/>
        <c:auto val="1"/>
        <c:lblAlgn val="ctr"/>
        <c:lblOffset val="100"/>
        <c:noMultiLvlLbl val="0"/>
      </c:catAx>
      <c:valAx>
        <c:axId val="1424266383"/>
        <c:scaling>
          <c:orientation val="minMax"/>
        </c:scaling>
        <c:delete val="0"/>
        <c:axPos val="b"/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[ns]</a:t>
                </a:r>
              </a:p>
            </c:rich>
          </c:tx>
          <c:layout>
            <c:manualLayout>
              <c:xMode val="edge"/>
              <c:yMode val="edge"/>
              <c:x val="0.61791113822970567"/>
              <c:y val="0.84663657896421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;\-#,##0" sourceLinked="0"/>
        <c:majorTickMark val="in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8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781669941375243"/>
          <c:y val="4.2680366173740478E-2"/>
          <c:w val="6.3018699912711751E-2"/>
          <c:h val="0.642861160209103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352425</xdr:colOff>
      <xdr:row>0</xdr:row>
      <xdr:rowOff>200025</xdr:rowOff>
    </xdr:from>
    <xdr:to>
      <xdr:col>33</xdr:col>
      <xdr:colOff>476249</xdr:colOff>
      <xdr:row>8</xdr:row>
      <xdr:rowOff>142875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56AFA87-B09A-4C85-91CE-4EE29CA5D9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346F-5654-449A-A21B-E04205412F24}">
  <dimension ref="A1:B38"/>
  <sheetViews>
    <sheetView topLeftCell="A4" workbookViewId="0">
      <selection activeCell="A4" sqref="A1:XFD1048576"/>
    </sheetView>
  </sheetViews>
  <sheetFormatPr defaultRowHeight="15"/>
  <cols>
    <col min="1" max="16384" width="9.140625" style="34"/>
  </cols>
  <sheetData>
    <row r="1" spans="1:1">
      <c r="A1" s="77" t="s">
        <v>187</v>
      </c>
    </row>
    <row r="2" spans="1:1">
      <c r="A2" s="77" t="s">
        <v>188</v>
      </c>
    </row>
    <row r="3" spans="1:1">
      <c r="A3" s="77" t="s">
        <v>189</v>
      </c>
    </row>
    <row r="4" spans="1:1">
      <c r="A4" s="77" t="s">
        <v>190</v>
      </c>
    </row>
    <row r="5" spans="1:1">
      <c r="A5" s="77" t="s">
        <v>191</v>
      </c>
    </row>
    <row r="6" spans="1:1">
      <c r="A6" s="77" t="s">
        <v>192</v>
      </c>
    </row>
    <row r="7" spans="1:1">
      <c r="A7" s="77" t="s">
        <v>193</v>
      </c>
    </row>
    <row r="8" spans="1:1">
      <c r="A8" s="77" t="s">
        <v>194</v>
      </c>
    </row>
    <row r="9" spans="1:1">
      <c r="A9" s="77" t="s">
        <v>195</v>
      </c>
    </row>
    <row r="10" spans="1:1">
      <c r="A10" s="77" t="s">
        <v>196</v>
      </c>
    </row>
    <row r="11" spans="1:1">
      <c r="A11" s="77" t="s">
        <v>197</v>
      </c>
    </row>
    <row r="12" spans="1:1">
      <c r="A12" s="77" t="s">
        <v>198</v>
      </c>
    </row>
    <row r="13" spans="1:1">
      <c r="A13" s="77" t="s">
        <v>199</v>
      </c>
    </row>
    <row r="14" spans="1:1">
      <c r="A14" s="77" t="s">
        <v>200</v>
      </c>
    </row>
    <row r="15" spans="1:1">
      <c r="A15" s="77" t="s">
        <v>201</v>
      </c>
    </row>
    <row r="16" spans="1:1">
      <c r="A16" s="77" t="s">
        <v>202</v>
      </c>
    </row>
    <row r="17" spans="1:2">
      <c r="A17" s="77" t="s">
        <v>203</v>
      </c>
    </row>
    <row r="18" spans="1:2">
      <c r="A18" s="77" t="s">
        <v>204</v>
      </c>
    </row>
    <row r="19" spans="1:2">
      <c r="A19" s="77" t="s">
        <v>205</v>
      </c>
    </row>
    <row r="20" spans="1:2">
      <c r="A20" s="77" t="s">
        <v>206</v>
      </c>
    </row>
    <row r="21" spans="1:2">
      <c r="A21" s="77" t="s">
        <v>191</v>
      </c>
    </row>
    <row r="22" spans="1:2">
      <c r="A22" s="77" t="s">
        <v>207</v>
      </c>
      <c r="B22" s="34" t="s">
        <v>217</v>
      </c>
    </row>
    <row r="23" spans="1:2">
      <c r="A23" s="77" t="s">
        <v>208</v>
      </c>
    </row>
    <row r="24" spans="1:2">
      <c r="A24" s="77" t="s">
        <v>209</v>
      </c>
    </row>
    <row r="25" spans="1:2">
      <c r="A25" s="77" t="s">
        <v>191</v>
      </c>
    </row>
    <row r="26" spans="1:2">
      <c r="A26" s="77" t="s">
        <v>210</v>
      </c>
    </row>
    <row r="27" spans="1:2">
      <c r="A27" s="77"/>
    </row>
    <row r="28" spans="1:2">
      <c r="A28" s="77" t="s">
        <v>213</v>
      </c>
    </row>
    <row r="29" spans="1:2">
      <c r="A29" s="77" t="s">
        <v>215</v>
      </c>
    </row>
    <row r="30" spans="1:2">
      <c r="A30" s="77" t="s">
        <v>214</v>
      </c>
    </row>
    <row r="31" spans="1:2">
      <c r="A31" s="77"/>
    </row>
    <row r="32" spans="1:2">
      <c r="A32" s="78" t="s">
        <v>211</v>
      </c>
    </row>
    <row r="33" spans="1:1">
      <c r="A33" s="77"/>
    </row>
    <row r="34" spans="1:1">
      <c r="A34" s="77" t="s">
        <v>191</v>
      </c>
    </row>
    <row r="35" spans="1:1">
      <c r="A35" s="77"/>
    </row>
    <row r="36" spans="1:1">
      <c r="A36" s="77" t="s">
        <v>212</v>
      </c>
    </row>
    <row r="37" spans="1:1">
      <c r="A37" s="77"/>
    </row>
    <row r="38" spans="1:1">
      <c r="A38" s="79" t="s">
        <v>216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25"/>
  <sheetViews>
    <sheetView tabSelected="1" zoomScaleNormal="100" workbookViewId="0">
      <selection activeCell="B12" sqref="B12:Q12"/>
    </sheetView>
  </sheetViews>
  <sheetFormatPr defaultColWidth="7.140625" defaultRowHeight="15"/>
  <cols>
    <col min="1" max="16384" width="7.140625" style="34"/>
  </cols>
  <sheetData>
    <row r="1" spans="1:34" ht="16.5" customHeight="1" thickBot="1"/>
    <row r="2" spans="1:34" ht="16.5" customHeight="1" thickBot="1">
      <c r="B2" s="89" t="s">
        <v>12</v>
      </c>
      <c r="C2" s="92"/>
      <c r="D2" s="100" t="s">
        <v>47</v>
      </c>
      <c r="E2" s="100"/>
      <c r="F2" s="101"/>
      <c r="G2" s="89" t="s">
        <v>49</v>
      </c>
      <c r="H2" s="90"/>
      <c r="I2" s="92"/>
      <c r="J2" s="97">
        <v>40</v>
      </c>
      <c r="K2" s="98"/>
      <c r="L2" s="99"/>
    </row>
    <row r="3" spans="1:34" ht="15.75" thickBot="1">
      <c r="B3" s="62"/>
      <c r="C3" s="62"/>
      <c r="D3" s="35"/>
      <c r="E3" s="35"/>
      <c r="F3" s="35"/>
      <c r="G3" s="35"/>
      <c r="H3" s="35"/>
      <c r="I3" s="35"/>
      <c r="J3" s="35"/>
      <c r="K3" s="35"/>
      <c r="L3" s="35"/>
    </row>
    <row r="4" spans="1:34" ht="15.75" thickBot="1">
      <c r="B4" s="103" t="s">
        <v>118</v>
      </c>
      <c r="C4" s="104"/>
      <c r="D4" s="119" t="s">
        <v>136</v>
      </c>
      <c r="E4" s="119"/>
      <c r="F4" s="120"/>
      <c r="G4" s="89" t="s">
        <v>50</v>
      </c>
      <c r="H4" s="90"/>
      <c r="I4" s="92"/>
      <c r="J4" s="113">
        <v>1000</v>
      </c>
      <c r="K4" s="114"/>
      <c r="L4" s="115"/>
    </row>
    <row r="5" spans="1:34" ht="17.25" customHeight="1" thickBot="1">
      <c r="B5" s="93" t="s">
        <v>174</v>
      </c>
      <c r="C5" s="94"/>
      <c r="D5" s="121">
        <v>250</v>
      </c>
      <c r="E5" s="122"/>
      <c r="F5" s="123"/>
      <c r="G5" s="103" t="s">
        <v>218</v>
      </c>
      <c r="H5" s="118"/>
      <c r="I5" s="104"/>
      <c r="J5" s="116">
        <v>5000</v>
      </c>
      <c r="K5" s="116"/>
      <c r="L5" s="117"/>
    </row>
    <row r="6" spans="1:34" ht="15.75" thickBot="1">
      <c r="B6" s="95" t="s">
        <v>51</v>
      </c>
      <c r="C6" s="96"/>
      <c r="D6" s="113">
        <v>1</v>
      </c>
      <c r="E6" s="114"/>
      <c r="F6" s="115"/>
      <c r="G6" s="103" t="s">
        <v>116</v>
      </c>
      <c r="H6" s="118"/>
      <c r="I6" s="104"/>
      <c r="J6" s="116">
        <v>75</v>
      </c>
      <c r="K6" s="116"/>
      <c r="L6" s="117"/>
    </row>
    <row r="9" spans="1:34">
      <c r="B9" s="36"/>
      <c r="C9" s="36"/>
      <c r="D9" s="37" t="s">
        <v>173</v>
      </c>
      <c r="E9" s="37"/>
      <c r="F9" s="37"/>
    </row>
    <row r="11" spans="1:34" ht="15.75" thickBot="1"/>
    <row r="12" spans="1:34" ht="15.75" thickBot="1">
      <c r="A12" s="39"/>
      <c r="B12" s="89" t="str">
        <f ca="1">"CANx_BTP = 0x"&amp;DEC2HEX(2^16*H15+2^8*D19+2^4*J19+N19,8)</f>
        <v>CANx_BTP = 0x00001C99</v>
      </c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1"/>
      <c r="R12" s="39"/>
      <c r="S12" s="89" t="str">
        <f ca="1">"CANx_FBTP = 0x"&amp;DEC2HEX(2^24*V15+2^23*AA15+2^16*AD15+2^8*W19+2^4*AB19+AG19,8)</f>
        <v>CANx_FBTP = 0x04800411</v>
      </c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1"/>
    </row>
    <row r="13" spans="1:34">
      <c r="A13" s="39"/>
      <c r="B13" s="5">
        <v>0</v>
      </c>
      <c r="C13" s="6">
        <v>1</v>
      </c>
      <c r="D13" s="6">
        <v>2</v>
      </c>
      <c r="E13" s="6">
        <v>3</v>
      </c>
      <c r="F13" s="6">
        <v>4</v>
      </c>
      <c r="G13" s="6">
        <v>5</v>
      </c>
      <c r="H13" s="6">
        <v>6</v>
      </c>
      <c r="I13" s="6">
        <v>7</v>
      </c>
      <c r="J13" s="6">
        <v>8</v>
      </c>
      <c r="K13" s="6">
        <v>9</v>
      </c>
      <c r="L13" s="6">
        <v>10</v>
      </c>
      <c r="M13" s="6">
        <v>11</v>
      </c>
      <c r="N13" s="6">
        <v>12</v>
      </c>
      <c r="O13" s="6">
        <v>13</v>
      </c>
      <c r="P13" s="6">
        <v>14</v>
      </c>
      <c r="Q13" s="7">
        <v>15</v>
      </c>
      <c r="R13" s="39"/>
      <c r="S13" s="5">
        <v>0</v>
      </c>
      <c r="T13" s="6">
        <v>1</v>
      </c>
      <c r="U13" s="6">
        <v>2</v>
      </c>
      <c r="V13" s="6">
        <v>3</v>
      </c>
      <c r="W13" s="6">
        <v>4</v>
      </c>
      <c r="X13" s="6">
        <v>5</v>
      </c>
      <c r="Y13" s="6">
        <v>6</v>
      </c>
      <c r="Z13" s="6">
        <v>7</v>
      </c>
      <c r="AA13" s="6">
        <v>8</v>
      </c>
      <c r="AB13" s="6">
        <v>9</v>
      </c>
      <c r="AC13" s="6">
        <v>10</v>
      </c>
      <c r="AD13" s="6">
        <v>11</v>
      </c>
      <c r="AE13" s="6">
        <v>12</v>
      </c>
      <c r="AF13" s="6">
        <v>13</v>
      </c>
      <c r="AG13" s="6">
        <v>14</v>
      </c>
      <c r="AH13" s="7">
        <v>15</v>
      </c>
    </row>
    <row r="14" spans="1:34">
      <c r="A14" s="39"/>
      <c r="B14" s="160"/>
      <c r="C14" s="161"/>
      <c r="D14" s="161"/>
      <c r="E14" s="161"/>
      <c r="F14" s="161"/>
      <c r="G14" s="167"/>
      <c r="H14" s="143" t="s">
        <v>77</v>
      </c>
      <c r="I14" s="126"/>
      <c r="J14" s="126"/>
      <c r="K14" s="126"/>
      <c r="L14" s="126"/>
      <c r="M14" s="126"/>
      <c r="N14" s="126"/>
      <c r="O14" s="126"/>
      <c r="P14" s="126"/>
      <c r="Q14" s="128"/>
      <c r="R14" s="39"/>
      <c r="S14" s="160"/>
      <c r="T14" s="161"/>
      <c r="U14" s="161"/>
      <c r="V14" s="143" t="s">
        <v>91</v>
      </c>
      <c r="W14" s="126"/>
      <c r="X14" s="126"/>
      <c r="Y14" s="126"/>
      <c r="Z14" s="127"/>
      <c r="AA14" s="84" t="s">
        <v>92</v>
      </c>
      <c r="AB14" s="143"/>
      <c r="AC14" s="127"/>
      <c r="AD14" s="143" t="s">
        <v>93</v>
      </c>
      <c r="AE14" s="126"/>
      <c r="AF14" s="126"/>
      <c r="AG14" s="126"/>
      <c r="AH14" s="128"/>
    </row>
    <row r="15" spans="1:34">
      <c r="A15" s="39"/>
      <c r="B15" s="165">
        <v>0</v>
      </c>
      <c r="C15" s="168"/>
      <c r="D15" s="168"/>
      <c r="E15" s="168"/>
      <c r="F15" s="168"/>
      <c r="G15" s="166"/>
      <c r="H15" s="169">
        <f ca="1">presc-1</f>
        <v>0</v>
      </c>
      <c r="I15" s="170"/>
      <c r="J15" s="170"/>
      <c r="K15" s="170"/>
      <c r="L15" s="170"/>
      <c r="M15" s="170"/>
      <c r="N15" s="170"/>
      <c r="O15" s="170"/>
      <c r="P15" s="170"/>
      <c r="Q15" s="171"/>
      <c r="R15" s="39"/>
      <c r="S15" s="147">
        <v>0</v>
      </c>
      <c r="T15" s="148"/>
      <c r="U15" s="148"/>
      <c r="V15" s="146">
        <f ca="1">tdc_off</f>
        <v>4</v>
      </c>
      <c r="W15" s="132"/>
      <c r="X15" s="132"/>
      <c r="Y15" s="132"/>
      <c r="Z15" s="162"/>
      <c r="AA15" s="85">
        <f ca="1">tdc_en</f>
        <v>1</v>
      </c>
      <c r="AB15" s="144">
        <v>0</v>
      </c>
      <c r="AC15" s="145"/>
      <c r="AD15" s="146">
        <f ca="1">prescFD-1</f>
        <v>0</v>
      </c>
      <c r="AE15" s="132"/>
      <c r="AF15" s="132"/>
      <c r="AG15" s="132"/>
      <c r="AH15" s="133"/>
    </row>
    <row r="16" spans="1:34">
      <c r="A16" s="39"/>
      <c r="B16" s="50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2">
        <f>1+L15</f>
        <v>1</v>
      </c>
      <c r="N16" s="51"/>
      <c r="O16" s="53"/>
      <c r="P16" s="52">
        <f>1+O15</f>
        <v>1</v>
      </c>
      <c r="Q16" s="54"/>
      <c r="R16" s="39"/>
      <c r="S16" s="50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2">
        <f>1+AC15</f>
        <v>1</v>
      </c>
      <c r="AE16" s="51"/>
      <c r="AF16" s="53"/>
      <c r="AG16" s="52">
        <f>1+AF15</f>
        <v>1</v>
      </c>
      <c r="AH16" s="54"/>
    </row>
    <row r="17" spans="1:34">
      <c r="A17" s="39"/>
      <c r="B17" s="5">
        <v>16</v>
      </c>
      <c r="C17" s="6">
        <v>17</v>
      </c>
      <c r="D17" s="6">
        <v>18</v>
      </c>
      <c r="E17" s="6">
        <v>19</v>
      </c>
      <c r="F17" s="6">
        <v>20</v>
      </c>
      <c r="G17" s="6">
        <v>21</v>
      </c>
      <c r="H17" s="6">
        <v>22</v>
      </c>
      <c r="I17" s="6">
        <v>23</v>
      </c>
      <c r="J17" s="6">
        <v>24</v>
      </c>
      <c r="K17" s="6">
        <v>25</v>
      </c>
      <c r="L17" s="6">
        <v>26</v>
      </c>
      <c r="M17" s="6">
        <v>27</v>
      </c>
      <c r="N17" s="6">
        <v>28</v>
      </c>
      <c r="O17" s="6">
        <v>29</v>
      </c>
      <c r="P17" s="6">
        <v>30</v>
      </c>
      <c r="Q17" s="7">
        <v>31</v>
      </c>
      <c r="R17" s="39"/>
      <c r="S17" s="5">
        <v>16</v>
      </c>
      <c r="T17" s="6">
        <v>17</v>
      </c>
      <c r="U17" s="6">
        <v>18</v>
      </c>
      <c r="V17" s="6">
        <v>19</v>
      </c>
      <c r="W17" s="6">
        <v>20</v>
      </c>
      <c r="X17" s="6">
        <v>21</v>
      </c>
      <c r="Y17" s="6">
        <v>22</v>
      </c>
      <c r="Z17" s="6">
        <v>23</v>
      </c>
      <c r="AA17" s="6">
        <v>24</v>
      </c>
      <c r="AB17" s="6">
        <v>25</v>
      </c>
      <c r="AC17" s="6">
        <v>26</v>
      </c>
      <c r="AD17" s="6">
        <v>27</v>
      </c>
      <c r="AE17" s="6">
        <v>28</v>
      </c>
      <c r="AF17" s="6">
        <v>29</v>
      </c>
      <c r="AG17" s="6">
        <v>30</v>
      </c>
      <c r="AH17" s="7">
        <v>31</v>
      </c>
    </row>
    <row r="18" spans="1:34">
      <c r="A18" s="39"/>
      <c r="B18" s="134"/>
      <c r="C18" s="136"/>
      <c r="D18" s="150" t="s">
        <v>78</v>
      </c>
      <c r="E18" s="135"/>
      <c r="F18" s="135"/>
      <c r="G18" s="135"/>
      <c r="H18" s="135"/>
      <c r="I18" s="136"/>
      <c r="J18" s="150" t="s">
        <v>79</v>
      </c>
      <c r="K18" s="135"/>
      <c r="L18" s="135"/>
      <c r="M18" s="136"/>
      <c r="N18" s="150" t="s">
        <v>80</v>
      </c>
      <c r="O18" s="135"/>
      <c r="P18" s="135"/>
      <c r="Q18" s="137"/>
      <c r="R18" s="39"/>
      <c r="S18" s="134"/>
      <c r="T18" s="135"/>
      <c r="U18" s="135"/>
      <c r="V18" s="136"/>
      <c r="W18" s="150" t="s">
        <v>94</v>
      </c>
      <c r="X18" s="135"/>
      <c r="Y18" s="135"/>
      <c r="Z18" s="136"/>
      <c r="AA18" s="12"/>
      <c r="AB18" s="150" t="s">
        <v>95</v>
      </c>
      <c r="AC18" s="135"/>
      <c r="AD18" s="136"/>
      <c r="AE18" s="150"/>
      <c r="AF18" s="136"/>
      <c r="AG18" s="150" t="s">
        <v>96</v>
      </c>
      <c r="AH18" s="137"/>
    </row>
    <row r="19" spans="1:34" ht="15.75" thickBot="1">
      <c r="A19" s="39"/>
      <c r="B19" s="172">
        <v>0</v>
      </c>
      <c r="C19" s="173"/>
      <c r="D19" s="158">
        <f ca="1">prop+pseg1-1</f>
        <v>28</v>
      </c>
      <c r="E19" s="141"/>
      <c r="F19" s="141"/>
      <c r="G19" s="141"/>
      <c r="H19" s="141"/>
      <c r="I19" s="159"/>
      <c r="J19" s="158">
        <f ca="1">pseg2-1</f>
        <v>9</v>
      </c>
      <c r="K19" s="141"/>
      <c r="L19" s="141"/>
      <c r="M19" s="159"/>
      <c r="N19" s="158">
        <f ca="1">rjw-1</f>
        <v>9</v>
      </c>
      <c r="O19" s="141"/>
      <c r="P19" s="141"/>
      <c r="Q19" s="142"/>
      <c r="R19" s="39"/>
      <c r="S19" s="151">
        <v>0</v>
      </c>
      <c r="T19" s="152"/>
      <c r="U19" s="152"/>
      <c r="V19" s="153"/>
      <c r="W19" s="156">
        <f ca="1">pseg1FD+propFD-1</f>
        <v>4</v>
      </c>
      <c r="X19" s="154"/>
      <c r="Y19" s="154"/>
      <c r="Z19" s="155"/>
      <c r="AA19" s="28">
        <v>0</v>
      </c>
      <c r="AB19" s="156">
        <f ca="1">pseg2FD-1</f>
        <v>1</v>
      </c>
      <c r="AC19" s="154"/>
      <c r="AD19" s="155"/>
      <c r="AE19" s="188">
        <v>0</v>
      </c>
      <c r="AF19" s="153"/>
      <c r="AG19" s="156">
        <f ca="1">rjwFD-1</f>
        <v>1</v>
      </c>
      <c r="AH19" s="157"/>
    </row>
    <row r="20" spans="1:34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</row>
    <row r="21" spans="1:34" ht="15.75" thickBot="1">
      <c r="A21"/>
      <c r="B21" s="75" t="str">
        <f ca="1">Calculate_Bit_Timing!$B$12&amp;";  // bitrate="&amp;bitrate&amp;"kbps, CPI clk="&amp;cpiclock&amp;" MHz; Prescaler= "&amp;presc&amp;", PROPSEG="&amp;prop&amp;", PSEG1="&amp;pseg1&amp;", PSEG2="&amp;pseg2&amp;", RJW="&amp;rjw&amp;", smp="&amp;100-pseg2/(1+prop+pseg1+pseg2)*100&amp;"%"</f>
        <v>CANx_BTP = 0x00001C99;  // bitrate=1000kbps, CPI clk=40 MHz; Prescaler= 1, PROPSEG=21, PSEG1=8, PSEG2=10, RJW=10, smp=75%</v>
      </c>
      <c r="R21" s="18"/>
      <c r="S21" s="76" t="str">
        <f ca="1">Calculate_Bit_Timing!$S$12&amp;";  // bitrateFD="&amp;bitrate_fd&amp;"kbps, CPI clk="&amp;cpiclock&amp;" MHz; fPrescaler= "&amp;prescFD&amp;", fPROPSEG="&amp;propFD&amp;", fPSEG1="&amp;pseg1FD&amp;", fPSEG2="&amp;pseg2FD&amp;", fRJW="&amp;rjwFD&amp;", smp="&amp;100-pseg2FD/(1+propFD+pseg1FD+pseg2FD)*100&amp;"%"</f>
        <v>CANx_FBTP = 0x04800411;  // bitrateFD=5000kbps, CPI clk=40 MHz; fPrescaler= 1, fPROPSEG=2, fPSEG1=3, fPSEG2=2, fRJW=2, smp=75%</v>
      </c>
    </row>
    <row r="22" spans="1:34">
      <c r="A22" s="67"/>
      <c r="B22" s="55" t="s">
        <v>69</v>
      </c>
      <c r="C22" s="56" t="s">
        <v>70</v>
      </c>
      <c r="D22" s="56" t="s">
        <v>71</v>
      </c>
      <c r="E22" s="56" t="s">
        <v>72</v>
      </c>
      <c r="F22" s="56" t="s">
        <v>66</v>
      </c>
      <c r="G22" s="56" t="s">
        <v>53</v>
      </c>
      <c r="H22" s="56" t="s">
        <v>54</v>
      </c>
      <c r="I22" s="56" t="s">
        <v>9</v>
      </c>
      <c r="J22" s="68"/>
      <c r="K22" s="74" t="s">
        <v>186</v>
      </c>
      <c r="L22" s="57"/>
      <c r="M22" s="105" t="s">
        <v>102</v>
      </c>
      <c r="N22" s="105"/>
      <c r="O22" s="57"/>
      <c r="P22" s="105" t="str">
        <f ca="1">LEFT(Calculate_Bit_Timing!$B$12,LEN(Calculate_Bit_Timing!$B$12)-13)</f>
        <v>CANx_BTP</v>
      </c>
      <c r="Q22" s="106"/>
      <c r="R22" s="37"/>
      <c r="S22" s="73" t="s">
        <v>106</v>
      </c>
      <c r="T22" s="56" t="s">
        <v>109</v>
      </c>
      <c r="U22" s="56" t="s">
        <v>110</v>
      </c>
      <c r="V22" s="56" t="s">
        <v>107</v>
      </c>
      <c r="W22" s="56" t="s">
        <v>111</v>
      </c>
      <c r="X22" s="56" t="s">
        <v>112</v>
      </c>
      <c r="Y22" s="56" t="s">
        <v>113</v>
      </c>
      <c r="Z22" s="56" t="s">
        <v>114</v>
      </c>
      <c r="AA22" s="68"/>
      <c r="AB22" s="82" t="s">
        <v>169</v>
      </c>
      <c r="AC22" s="82" t="s">
        <v>170</v>
      </c>
      <c r="AD22" s="105" t="s">
        <v>102</v>
      </c>
      <c r="AE22" s="105"/>
      <c r="AF22" s="60"/>
      <c r="AG22" s="105" t="str">
        <f ca="1">LEFT(Calculate_Bit_Timing!$S$12,LEN(Calculate_Bit_Timing!$S$12)-13)</f>
        <v>CANx_FBTP</v>
      </c>
      <c r="AH22" s="106"/>
    </row>
    <row r="23" spans="1:34" ht="15.75" thickBot="1">
      <c r="A23" s="67"/>
      <c r="B23" s="58" t="s">
        <v>73</v>
      </c>
      <c r="C23" s="59" t="s">
        <v>74</v>
      </c>
      <c r="D23" s="59" t="s">
        <v>75</v>
      </c>
      <c r="E23" s="59" t="s">
        <v>76</v>
      </c>
      <c r="F23" s="59" t="s">
        <v>76</v>
      </c>
      <c r="G23" s="59" t="s">
        <v>76</v>
      </c>
      <c r="H23" s="59" t="s">
        <v>76</v>
      </c>
      <c r="I23" s="59" t="s">
        <v>76</v>
      </c>
      <c r="J23" s="69"/>
      <c r="K23" s="86" t="s">
        <v>103</v>
      </c>
      <c r="L23" s="64"/>
      <c r="M23" s="107" t="s">
        <v>103</v>
      </c>
      <c r="N23" s="107"/>
      <c r="O23" s="64"/>
      <c r="P23" s="108" t="s">
        <v>104</v>
      </c>
      <c r="Q23" s="109"/>
      <c r="R23" s="37"/>
      <c r="S23" s="58" t="s">
        <v>73</v>
      </c>
      <c r="T23" s="59" t="s">
        <v>74</v>
      </c>
      <c r="U23" s="59" t="s">
        <v>75</v>
      </c>
      <c r="V23" s="59" t="s">
        <v>76</v>
      </c>
      <c r="W23" s="59" t="s">
        <v>76</v>
      </c>
      <c r="X23" s="59" t="s">
        <v>76</v>
      </c>
      <c r="Y23" s="59" t="s">
        <v>76</v>
      </c>
      <c r="Z23" s="59" t="s">
        <v>76</v>
      </c>
      <c r="AA23" s="69"/>
      <c r="AB23" s="83" t="s">
        <v>73</v>
      </c>
      <c r="AC23" s="83" t="s">
        <v>73</v>
      </c>
      <c r="AD23" s="108" t="s">
        <v>103</v>
      </c>
      <c r="AE23" s="108"/>
      <c r="AF23" s="61"/>
      <c r="AG23" s="108" t="s">
        <v>104</v>
      </c>
      <c r="AH23" s="109"/>
    </row>
    <row r="24" spans="1:34">
      <c r="A24" s="70">
        <v>1</v>
      </c>
      <c r="B24" s="80">
        <v>1</v>
      </c>
      <c r="C24" s="80">
        <f t="shared" ref="C24:C27" si="0">IF(ISNUMBER(B24),cpiclock/B24,"")</f>
        <v>40</v>
      </c>
      <c r="D24" s="80">
        <f>IF(ISNUMBER(B24),1000/C24,"")</f>
        <v>25</v>
      </c>
      <c r="E24" s="80">
        <v>40</v>
      </c>
      <c r="F24" s="80">
        <v>21</v>
      </c>
      <c r="G24" s="80">
        <v>8</v>
      </c>
      <c r="H24" s="80">
        <v>10</v>
      </c>
      <c r="I24" s="80">
        <v>10</v>
      </c>
      <c r="J24" s="80"/>
      <c r="K24" s="80">
        <f>IF(ISNUMBER(B24),MIN(I24/20/E24*100,MIN(G24,H24)/2/(13*E24-H24)*100),"")</f>
        <v>0.78431372549019607</v>
      </c>
      <c r="L24" s="80"/>
      <c r="M24" s="110">
        <f>IF(ISNUMBER(B24),100-H24/E24*100,"")</f>
        <v>75</v>
      </c>
      <c r="N24" s="110"/>
      <c r="O24" s="80"/>
      <c r="P24" s="110" t="str">
        <f>INDEX(Sheet2!$R$20:$U$20,1,selected_reg)</f>
        <v>0x00001B99</v>
      </c>
      <c r="Q24" s="111"/>
      <c r="R24" s="71">
        <v>1</v>
      </c>
      <c r="S24" s="87">
        <v>1</v>
      </c>
      <c r="T24" s="80">
        <f t="shared" ref="T24:T25" si="1">IF(ISNUMBER(R24),cpiclock/S24,"")</f>
        <v>40</v>
      </c>
      <c r="U24" s="80">
        <f>IF(ISNUMBER(R24),1000/T24,"")</f>
        <v>25</v>
      </c>
      <c r="V24" s="80">
        <v>8</v>
      </c>
      <c r="W24" s="80">
        <v>2</v>
      </c>
      <c r="X24" s="80">
        <v>3</v>
      </c>
      <c r="Y24" s="80">
        <v>2</v>
      </c>
      <c r="Z24" s="80">
        <v>2</v>
      </c>
      <c r="AA24" s="80"/>
      <c r="AB24" s="80">
        <v>1</v>
      </c>
      <c r="AC24" s="80">
        <f t="shared" ref="AC24:AC25" si="2">IF(ISNUMBER(R24),IF(AB24=0,0,cpiclock/(2*bitrate_fd/1000)),"")</f>
        <v>4</v>
      </c>
      <c r="AD24" s="81"/>
      <c r="AE24" s="80">
        <f t="shared" ref="AE24:AE25" si="3">IF(ISNUMBER(S24),100-Y24/V24*100,"")</f>
        <v>75</v>
      </c>
      <c r="AF24" s="80"/>
      <c r="AG24" s="110" t="str">
        <f>INDEX(Sheet2!$AM$20:$AP$20,1,selected_regFD-4)</f>
        <v>0x04800411</v>
      </c>
      <c r="AH24" s="110"/>
    </row>
    <row r="25" spans="1:34">
      <c r="A25" s="70">
        <v>2</v>
      </c>
      <c r="B25" s="70">
        <v>2</v>
      </c>
      <c r="C25" s="70">
        <f t="shared" si="0"/>
        <v>20</v>
      </c>
      <c r="D25" s="70">
        <f t="shared" ref="D25:D27" si="4">IF(ISNUMBER(B25),1000/C25,"")</f>
        <v>50</v>
      </c>
      <c r="E25" s="70">
        <v>20</v>
      </c>
      <c r="F25" s="70">
        <v>11</v>
      </c>
      <c r="G25" s="70">
        <v>3</v>
      </c>
      <c r="H25" s="70">
        <v>5</v>
      </c>
      <c r="I25" s="70">
        <v>5</v>
      </c>
      <c r="J25" s="70"/>
      <c r="K25" s="70">
        <f t="shared" ref="K25:K27" si="5">IF(ISNUMBER(B25),MIN(I25/20/E25*100,MIN(G25,H25)/2/(13*E25-H25)*100),"")</f>
        <v>0.58823529411764708</v>
      </c>
      <c r="L25" s="70"/>
      <c r="M25" s="112">
        <f t="shared" ref="M25:M27" si="6">IF(ISNUMBER(B25),100-H25/E25*100,"")</f>
        <v>75</v>
      </c>
      <c r="N25" s="112"/>
      <c r="O25" s="70"/>
      <c r="P25" s="112" t="str">
        <f>INDEX(Sheet2!$R$21:$U$21,1,selected_reg)</f>
        <v>0x00010C44</v>
      </c>
      <c r="Q25" s="112"/>
      <c r="R25" s="71">
        <v>2</v>
      </c>
      <c r="S25" s="71">
        <v>2</v>
      </c>
      <c r="T25" s="70">
        <f t="shared" si="1"/>
        <v>20</v>
      </c>
      <c r="U25" s="70">
        <f t="shared" ref="U25" si="7">IF(ISNUMBER(R25),1000/T25,"")</f>
        <v>50</v>
      </c>
      <c r="V25" s="70">
        <v>4</v>
      </c>
      <c r="W25" s="70">
        <v>0</v>
      </c>
      <c r="X25" s="70">
        <v>2</v>
      </c>
      <c r="Y25" s="70">
        <v>1</v>
      </c>
      <c r="Z25" s="70">
        <v>1</v>
      </c>
      <c r="AA25" s="70"/>
      <c r="AB25" s="70">
        <v>1</v>
      </c>
      <c r="AC25" s="70">
        <f t="shared" si="2"/>
        <v>4</v>
      </c>
      <c r="AD25" s="67"/>
      <c r="AE25" s="70">
        <f t="shared" si="3"/>
        <v>75</v>
      </c>
      <c r="AF25" s="70"/>
      <c r="AG25" s="112" t="str">
        <f>INDEX(Sheet2!$AM$21:$AP$21,1,selected_regFD-4)</f>
        <v>0x04810100</v>
      </c>
      <c r="AH25" s="112"/>
    </row>
    <row r="26" spans="1:34">
      <c r="A26" s="70">
        <v>3</v>
      </c>
      <c r="B26" s="70">
        <v>4</v>
      </c>
      <c r="C26" s="70">
        <f t="shared" si="0"/>
        <v>10</v>
      </c>
      <c r="D26" s="70">
        <f t="shared" si="4"/>
        <v>100</v>
      </c>
      <c r="E26" s="70">
        <v>10</v>
      </c>
      <c r="F26" s="70">
        <v>6</v>
      </c>
      <c r="G26" s="70">
        <v>1</v>
      </c>
      <c r="H26" s="70">
        <v>2</v>
      </c>
      <c r="I26" s="70">
        <v>2</v>
      </c>
      <c r="J26" s="70"/>
      <c r="K26" s="70">
        <f t="shared" si="5"/>
        <v>0.390625</v>
      </c>
      <c r="L26" s="70"/>
      <c r="M26" s="112">
        <f t="shared" si="6"/>
        <v>80</v>
      </c>
      <c r="N26" s="112"/>
      <c r="O26" s="70"/>
      <c r="P26" s="112" t="str">
        <f>INDEX(Sheet2!$R$22:$U$22,1,selected_reg)</f>
        <v>0x00030511</v>
      </c>
      <c r="Q26" s="112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</row>
    <row r="27" spans="1:34">
      <c r="A27" s="70">
        <v>4</v>
      </c>
      <c r="B27" s="70">
        <v>5</v>
      </c>
      <c r="C27" s="70">
        <f t="shared" si="0"/>
        <v>8</v>
      </c>
      <c r="D27" s="70">
        <f t="shared" si="4"/>
        <v>125</v>
      </c>
      <c r="E27" s="70">
        <v>8</v>
      </c>
      <c r="F27" s="70">
        <v>5</v>
      </c>
      <c r="G27" s="70">
        <v>1</v>
      </c>
      <c r="H27" s="70">
        <v>1</v>
      </c>
      <c r="I27" s="70">
        <v>1</v>
      </c>
      <c r="J27" s="70"/>
      <c r="K27" s="70">
        <f t="shared" si="5"/>
        <v>0.48543689320388345</v>
      </c>
      <c r="L27" s="70"/>
      <c r="M27" s="112">
        <f t="shared" si="6"/>
        <v>87.5</v>
      </c>
      <c r="N27" s="112"/>
      <c r="O27" s="70"/>
      <c r="P27" s="112" t="str">
        <f>INDEX(Sheet2!$R$23:$U$23,1,selected_reg)</f>
        <v>0x00040400</v>
      </c>
      <c r="Q27" s="112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</row>
    <row r="28" spans="1:34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</row>
    <row r="29" spans="1:34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</row>
    <row r="30" spans="1:34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</row>
    <row r="31" spans="1:34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</row>
    <row r="32" spans="1:34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</row>
    <row r="33" spans="1:34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</row>
    <row r="34" spans="1:34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</row>
    <row r="35" spans="1:34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</row>
    <row r="36" spans="1:34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</row>
    <row r="37" spans="1:34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</row>
    <row r="38" spans="1:34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</row>
    <row r="39" spans="1:34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</row>
    <row r="40" spans="1:34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</row>
    <row r="41" spans="1:34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</row>
    <row r="42" spans="1:34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</row>
    <row r="43" spans="1:34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</row>
    <row r="44" spans="1:34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</row>
    <row r="45" spans="1:34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</row>
    <row r="46" spans="1:34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</row>
    <row r="47" spans="1:34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</row>
    <row r="48" spans="1:34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</row>
    <row r="49" spans="1:34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</row>
    <row r="50" spans="1:34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</row>
    <row r="51" spans="1:34"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88"/>
      <c r="N51" s="88"/>
      <c r="O51" s="41"/>
      <c r="P51" s="88"/>
      <c r="Q51" s="102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</row>
    <row r="52" spans="1:34"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88"/>
      <c r="N52" s="88"/>
      <c r="O52" s="41"/>
      <c r="P52" s="88"/>
      <c r="Q52" s="102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</row>
    <row r="53" spans="1:34"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88"/>
      <c r="N53" s="88"/>
      <c r="O53" s="41"/>
      <c r="P53" s="88"/>
      <c r="Q53" s="102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</row>
    <row r="54" spans="1:34"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88"/>
      <c r="N54" s="88"/>
      <c r="O54" s="41"/>
      <c r="P54" s="88"/>
      <c r="Q54" s="102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</row>
    <row r="55" spans="1:34"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88"/>
      <c r="N55" s="88"/>
      <c r="O55" s="41"/>
      <c r="P55" s="88"/>
      <c r="Q55" s="102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</row>
    <row r="56" spans="1:34"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88"/>
      <c r="N56" s="88"/>
      <c r="O56" s="41"/>
      <c r="P56" s="88"/>
      <c r="Q56" s="102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</row>
    <row r="57" spans="1:34"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88"/>
      <c r="N57" s="88"/>
      <c r="O57" s="41"/>
      <c r="P57" s="88"/>
      <c r="Q57" s="102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</row>
    <row r="58" spans="1:34"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88"/>
      <c r="N58" s="88"/>
      <c r="O58" s="41"/>
      <c r="P58" s="88"/>
      <c r="Q58" s="102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</row>
    <row r="59" spans="1:34"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88"/>
      <c r="N59" s="88"/>
      <c r="O59" s="41"/>
      <c r="P59" s="88"/>
      <c r="Q59" s="102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</row>
    <row r="60" spans="1:34"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88"/>
      <c r="N60" s="88"/>
      <c r="O60" s="41"/>
      <c r="P60" s="88"/>
      <c r="Q60" s="102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</row>
    <row r="61" spans="1:34"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88"/>
      <c r="N61" s="88"/>
      <c r="O61" s="41"/>
      <c r="P61" s="88"/>
      <c r="Q61" s="102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</row>
    <row r="62" spans="1:34"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88"/>
      <c r="N62" s="88"/>
      <c r="O62" s="41"/>
      <c r="P62" s="88"/>
      <c r="Q62" s="102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</row>
    <row r="63" spans="1:34"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88"/>
      <c r="N63" s="88"/>
      <c r="O63" s="41"/>
      <c r="P63" s="88"/>
      <c r="Q63" s="102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</row>
    <row r="64" spans="1:34"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88"/>
      <c r="N64" s="88"/>
      <c r="O64" s="41"/>
      <c r="P64" s="88"/>
      <c r="Q64" s="102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</row>
    <row r="65" spans="2:34"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88"/>
      <c r="N65" s="88"/>
      <c r="O65" s="41"/>
      <c r="P65" s="88"/>
      <c r="Q65" s="102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</row>
    <row r="66" spans="2:34"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88"/>
      <c r="N66" s="88"/>
      <c r="O66" s="41"/>
      <c r="P66" s="88"/>
      <c r="Q66" s="102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</row>
    <row r="67" spans="2:34"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88"/>
      <c r="N67" s="88"/>
      <c r="O67" s="41"/>
      <c r="P67" s="88"/>
      <c r="Q67" s="102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</row>
    <row r="68" spans="2:34"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88"/>
      <c r="N68" s="88"/>
      <c r="O68" s="41"/>
      <c r="P68" s="88"/>
      <c r="Q68" s="102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</row>
    <row r="69" spans="2:34"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88"/>
      <c r="N69" s="88"/>
      <c r="O69" s="41"/>
      <c r="P69" s="88"/>
      <c r="Q69" s="102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</row>
    <row r="70" spans="2:34"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88"/>
      <c r="N70" s="88"/>
      <c r="O70" s="41"/>
      <c r="P70" s="88"/>
      <c r="Q70" s="102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</row>
    <row r="71" spans="2:34"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88"/>
      <c r="N71" s="88"/>
      <c r="O71" s="41"/>
      <c r="P71" s="88"/>
      <c r="Q71" s="102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</row>
    <row r="72" spans="2:34"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88"/>
      <c r="N72" s="88"/>
      <c r="O72" s="41"/>
      <c r="P72" s="88"/>
      <c r="Q72" s="102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</row>
    <row r="73" spans="2:34"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88"/>
      <c r="N73" s="88"/>
      <c r="O73" s="41"/>
      <c r="P73" s="88"/>
      <c r="Q73" s="102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</row>
    <row r="74" spans="2:34"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88"/>
      <c r="N74" s="88"/>
      <c r="O74" s="41"/>
      <c r="P74" s="88"/>
      <c r="Q74" s="102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</row>
    <row r="75" spans="2:34"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88"/>
      <c r="N75" s="88"/>
      <c r="O75" s="41"/>
      <c r="P75" s="88"/>
      <c r="Q75" s="102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</row>
    <row r="76" spans="2:34"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88"/>
      <c r="N76" s="88"/>
      <c r="O76" s="41"/>
      <c r="P76" s="88"/>
      <c r="Q76" s="102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</row>
    <row r="77" spans="2:34"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88"/>
      <c r="N77" s="88"/>
      <c r="O77" s="41"/>
      <c r="P77" s="88"/>
      <c r="Q77" s="102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</row>
    <row r="78" spans="2:34"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88"/>
      <c r="N78" s="88"/>
      <c r="O78" s="41"/>
      <c r="P78" s="88"/>
      <c r="Q78" s="102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</row>
    <row r="79" spans="2:34"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88"/>
      <c r="N79" s="88"/>
      <c r="O79" s="41"/>
      <c r="P79" s="88"/>
      <c r="Q79" s="102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</row>
    <row r="80" spans="2:34"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88"/>
      <c r="N80" s="88"/>
      <c r="O80" s="41"/>
      <c r="P80" s="88"/>
      <c r="Q80" s="102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</row>
    <row r="81" spans="2:34"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88"/>
      <c r="N81" s="88"/>
      <c r="O81" s="41"/>
      <c r="P81" s="88"/>
      <c r="Q81" s="102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</row>
    <row r="82" spans="2:34"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88"/>
      <c r="N82" s="88"/>
      <c r="O82" s="41"/>
      <c r="P82" s="88"/>
      <c r="Q82" s="102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</row>
    <row r="83" spans="2:34"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88"/>
      <c r="N83" s="88"/>
      <c r="O83" s="41"/>
      <c r="P83" s="88"/>
      <c r="Q83" s="102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</row>
    <row r="84" spans="2:34"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88"/>
      <c r="N84" s="88"/>
      <c r="O84" s="41"/>
      <c r="P84" s="88"/>
      <c r="Q84" s="102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</row>
    <row r="85" spans="2:34"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88"/>
      <c r="N85" s="88"/>
      <c r="O85" s="41"/>
      <c r="P85" s="88"/>
      <c r="Q85" s="102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</row>
    <row r="86" spans="2:34"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88"/>
      <c r="N86" s="88"/>
      <c r="O86" s="41"/>
      <c r="P86" s="88"/>
      <c r="Q86" s="102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</row>
    <row r="87" spans="2:34"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88"/>
      <c r="N87" s="88"/>
      <c r="O87" s="41"/>
      <c r="P87" s="88"/>
      <c r="Q87" s="102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</row>
    <row r="88" spans="2:34"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88"/>
      <c r="N88" s="88"/>
      <c r="O88" s="41"/>
      <c r="P88" s="88"/>
      <c r="Q88" s="102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</row>
    <row r="89" spans="2:34"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88"/>
      <c r="N89" s="88"/>
      <c r="O89" s="41"/>
      <c r="P89" s="88"/>
      <c r="Q89" s="102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</row>
    <row r="90" spans="2:34"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88"/>
      <c r="N90" s="88"/>
      <c r="O90" s="41"/>
      <c r="P90" s="88"/>
      <c r="Q90" s="102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</row>
    <row r="91" spans="2:34"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88"/>
      <c r="N91" s="88"/>
      <c r="O91" s="41"/>
      <c r="P91" s="88"/>
      <c r="Q91" s="102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</row>
    <row r="92" spans="2:34"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88"/>
      <c r="N92" s="88"/>
      <c r="O92" s="41"/>
      <c r="P92" s="88"/>
      <c r="Q92" s="102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</row>
    <row r="93" spans="2:34"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88"/>
      <c r="N93" s="88"/>
      <c r="O93" s="41"/>
      <c r="P93" s="88"/>
      <c r="Q93" s="102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</row>
    <row r="94" spans="2:34"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88"/>
      <c r="N94" s="88"/>
      <c r="O94" s="41"/>
      <c r="P94" s="88"/>
      <c r="Q94" s="102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</row>
    <row r="95" spans="2:34"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88"/>
      <c r="N95" s="88"/>
      <c r="O95" s="41"/>
      <c r="P95" s="88"/>
      <c r="Q95" s="102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</row>
    <row r="96" spans="2:34"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88"/>
      <c r="N96" s="88"/>
      <c r="O96" s="41"/>
      <c r="P96" s="88"/>
      <c r="Q96" s="102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</row>
    <row r="97" spans="2:34"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88"/>
      <c r="N97" s="88"/>
      <c r="O97" s="41"/>
      <c r="P97" s="88"/>
      <c r="Q97" s="102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</row>
    <row r="98" spans="2:34"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88"/>
      <c r="N98" s="88"/>
      <c r="O98" s="41"/>
      <c r="P98" s="88"/>
      <c r="Q98" s="102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</row>
    <row r="99" spans="2:34"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88"/>
      <c r="N99" s="88"/>
      <c r="O99" s="41"/>
      <c r="P99" s="88"/>
      <c r="Q99" s="102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</row>
    <row r="100" spans="2:34"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88"/>
      <c r="N100" s="88"/>
      <c r="O100" s="41"/>
      <c r="P100" s="88"/>
      <c r="Q100" s="102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</row>
    <row r="101" spans="2:34">
      <c r="K101" s="34" t="str">
        <f t="shared" ref="K101:K125" si="8">IF(ISNUMBER(B101),MIN(I101/20/E101*100,MIN(G101,H101)/2/(13*E101-H101)*100),"")</f>
        <v/>
      </c>
      <c r="M101" s="124" t="str">
        <f t="shared" ref="M101:M125" si="9">IF(ISNUMBER(B101),100-H101/E101*100,"")</f>
        <v/>
      </c>
      <c r="N101" s="124"/>
      <c r="O101" s="38"/>
      <c r="P101" s="124"/>
      <c r="Q101" s="124"/>
    </row>
    <row r="102" spans="2:34">
      <c r="K102" s="34" t="str">
        <f t="shared" si="8"/>
        <v/>
      </c>
      <c r="M102" s="124" t="str">
        <f t="shared" si="9"/>
        <v/>
      </c>
      <c r="N102" s="124"/>
      <c r="O102" s="38"/>
      <c r="P102" s="124"/>
      <c r="Q102" s="124"/>
    </row>
    <row r="103" spans="2:34">
      <c r="K103" s="34" t="str">
        <f t="shared" si="8"/>
        <v/>
      </c>
      <c r="M103" s="124" t="str">
        <f t="shared" si="9"/>
        <v/>
      </c>
      <c r="N103" s="124"/>
      <c r="O103" s="38"/>
      <c r="P103" s="124"/>
      <c r="Q103" s="124"/>
    </row>
    <row r="104" spans="2:34">
      <c r="K104" s="34" t="str">
        <f t="shared" si="8"/>
        <v/>
      </c>
      <c r="M104" s="124" t="str">
        <f t="shared" si="9"/>
        <v/>
      </c>
      <c r="N104" s="124"/>
      <c r="O104" s="38"/>
      <c r="P104" s="124"/>
      <c r="Q104" s="124"/>
    </row>
    <row r="105" spans="2:34">
      <c r="K105" s="34" t="str">
        <f t="shared" si="8"/>
        <v/>
      </c>
      <c r="M105" s="124" t="str">
        <f t="shared" si="9"/>
        <v/>
      </c>
      <c r="N105" s="124"/>
      <c r="O105" s="38"/>
      <c r="P105" s="124"/>
      <c r="Q105" s="124"/>
    </row>
    <row r="106" spans="2:34">
      <c r="K106" s="34" t="str">
        <f t="shared" si="8"/>
        <v/>
      </c>
      <c r="M106" s="124" t="str">
        <f t="shared" si="9"/>
        <v/>
      </c>
      <c r="N106" s="124"/>
      <c r="O106" s="38"/>
      <c r="P106" s="124"/>
      <c r="Q106" s="124"/>
    </row>
    <row r="107" spans="2:34">
      <c r="K107" s="34" t="str">
        <f t="shared" si="8"/>
        <v/>
      </c>
      <c r="M107" s="124" t="str">
        <f t="shared" si="9"/>
        <v/>
      </c>
      <c r="N107" s="124"/>
      <c r="O107" s="38"/>
      <c r="P107" s="124"/>
      <c r="Q107" s="124"/>
    </row>
    <row r="108" spans="2:34">
      <c r="K108" s="34" t="str">
        <f t="shared" si="8"/>
        <v/>
      </c>
      <c r="M108" s="124" t="str">
        <f t="shared" si="9"/>
        <v/>
      </c>
      <c r="N108" s="124"/>
      <c r="O108" s="38"/>
      <c r="P108" s="124"/>
      <c r="Q108" s="124"/>
    </row>
    <row r="109" spans="2:34">
      <c r="K109" s="34" t="str">
        <f t="shared" si="8"/>
        <v/>
      </c>
      <c r="M109" s="124" t="str">
        <f t="shared" si="9"/>
        <v/>
      </c>
      <c r="N109" s="124"/>
      <c r="O109" s="38"/>
      <c r="P109" s="124"/>
      <c r="Q109" s="124"/>
    </row>
    <row r="110" spans="2:34">
      <c r="K110" s="34" t="str">
        <f t="shared" si="8"/>
        <v/>
      </c>
      <c r="M110" s="124" t="str">
        <f t="shared" si="9"/>
        <v/>
      </c>
      <c r="N110" s="124"/>
      <c r="O110" s="38"/>
      <c r="P110" s="124"/>
      <c r="Q110" s="124"/>
    </row>
    <row r="111" spans="2:34">
      <c r="K111" s="34" t="str">
        <f t="shared" si="8"/>
        <v/>
      </c>
      <c r="M111" s="124" t="str">
        <f t="shared" si="9"/>
        <v/>
      </c>
      <c r="N111" s="124"/>
      <c r="O111" s="38"/>
      <c r="P111" s="124"/>
      <c r="Q111" s="124"/>
    </row>
    <row r="112" spans="2:34">
      <c r="K112" s="34" t="str">
        <f t="shared" si="8"/>
        <v/>
      </c>
      <c r="M112" s="124" t="str">
        <f t="shared" si="9"/>
        <v/>
      </c>
      <c r="N112" s="124"/>
      <c r="O112" s="38"/>
      <c r="P112" s="124"/>
      <c r="Q112" s="124"/>
    </row>
    <row r="113" spans="11:17">
      <c r="K113" s="34" t="str">
        <f t="shared" si="8"/>
        <v/>
      </c>
      <c r="M113" s="124" t="str">
        <f t="shared" si="9"/>
        <v/>
      </c>
      <c r="N113" s="124"/>
      <c r="O113" s="38"/>
      <c r="P113" s="124"/>
      <c r="Q113" s="124"/>
    </row>
    <row r="114" spans="11:17">
      <c r="K114" s="34" t="str">
        <f t="shared" si="8"/>
        <v/>
      </c>
      <c r="M114" s="124" t="str">
        <f t="shared" si="9"/>
        <v/>
      </c>
      <c r="N114" s="124"/>
      <c r="O114" s="38"/>
      <c r="P114" s="124"/>
      <c r="Q114" s="124"/>
    </row>
    <row r="115" spans="11:17">
      <c r="K115" s="34" t="str">
        <f t="shared" si="8"/>
        <v/>
      </c>
      <c r="M115" s="124" t="str">
        <f t="shared" si="9"/>
        <v/>
      </c>
      <c r="N115" s="124"/>
      <c r="O115" s="38"/>
      <c r="P115" s="124"/>
      <c r="Q115" s="124"/>
    </row>
    <row r="116" spans="11:17">
      <c r="K116" s="34" t="str">
        <f t="shared" si="8"/>
        <v/>
      </c>
      <c r="M116" s="124" t="str">
        <f t="shared" si="9"/>
        <v/>
      </c>
      <c r="N116" s="124"/>
      <c r="O116" s="38"/>
      <c r="P116" s="124"/>
      <c r="Q116" s="124"/>
    </row>
    <row r="117" spans="11:17">
      <c r="K117" s="34" t="str">
        <f t="shared" si="8"/>
        <v/>
      </c>
      <c r="M117" s="124" t="str">
        <f t="shared" si="9"/>
        <v/>
      </c>
      <c r="N117" s="124"/>
      <c r="O117" s="38"/>
      <c r="P117" s="124"/>
      <c r="Q117" s="124"/>
    </row>
    <row r="118" spans="11:17">
      <c r="K118" s="34" t="str">
        <f t="shared" si="8"/>
        <v/>
      </c>
      <c r="M118" s="124" t="str">
        <f t="shared" si="9"/>
        <v/>
      </c>
      <c r="N118" s="124"/>
      <c r="O118" s="38"/>
      <c r="P118" s="124"/>
      <c r="Q118" s="124"/>
    </row>
    <row r="119" spans="11:17">
      <c r="K119" s="34" t="str">
        <f t="shared" si="8"/>
        <v/>
      </c>
      <c r="M119" s="124" t="str">
        <f t="shared" si="9"/>
        <v/>
      </c>
      <c r="N119" s="124"/>
      <c r="O119" s="38"/>
      <c r="P119" s="124"/>
      <c r="Q119" s="124"/>
    </row>
    <row r="120" spans="11:17">
      <c r="K120" s="34" t="str">
        <f t="shared" si="8"/>
        <v/>
      </c>
      <c r="M120" s="124" t="str">
        <f t="shared" si="9"/>
        <v/>
      </c>
      <c r="N120" s="124"/>
      <c r="O120" s="38"/>
      <c r="P120" s="124"/>
      <c r="Q120" s="124"/>
    </row>
    <row r="121" spans="11:17">
      <c r="K121" s="34" t="str">
        <f t="shared" si="8"/>
        <v/>
      </c>
      <c r="M121" s="124" t="str">
        <f t="shared" si="9"/>
        <v/>
      </c>
      <c r="N121" s="124"/>
      <c r="O121" s="38"/>
      <c r="P121" s="124"/>
      <c r="Q121" s="124"/>
    </row>
    <row r="122" spans="11:17">
      <c r="K122" s="34" t="str">
        <f t="shared" si="8"/>
        <v/>
      </c>
      <c r="M122" s="124" t="str">
        <f t="shared" si="9"/>
        <v/>
      </c>
      <c r="N122" s="124"/>
      <c r="O122" s="38"/>
      <c r="P122" s="124"/>
      <c r="Q122" s="124"/>
    </row>
    <row r="123" spans="11:17">
      <c r="K123" s="34" t="str">
        <f t="shared" si="8"/>
        <v/>
      </c>
      <c r="M123" s="124" t="str">
        <f t="shared" si="9"/>
        <v/>
      </c>
      <c r="N123" s="124"/>
      <c r="O123" s="38"/>
      <c r="P123" s="124"/>
      <c r="Q123" s="124"/>
    </row>
    <row r="124" spans="11:17">
      <c r="K124" s="34" t="str">
        <f t="shared" si="8"/>
        <v/>
      </c>
      <c r="M124" s="124" t="str">
        <f t="shared" si="9"/>
        <v/>
      </c>
      <c r="N124" s="124"/>
      <c r="O124" s="38"/>
      <c r="P124" s="124"/>
      <c r="Q124" s="124"/>
    </row>
    <row r="125" spans="11:17">
      <c r="K125" s="34" t="str">
        <f t="shared" si="8"/>
        <v/>
      </c>
      <c r="M125" s="124" t="str">
        <f t="shared" si="9"/>
        <v/>
      </c>
      <c r="N125" s="124"/>
      <c r="O125" s="38"/>
      <c r="P125" s="124"/>
      <c r="Q125" s="124"/>
    </row>
  </sheetData>
  <sheetProtection algorithmName="SHA-512" hashValue="Wl6qlf9VKBm0/8vSx8r3t657w3o35DY6K6XV5UzL2f5MnfvfqpALpbgD95pur+lXR/soukOTBZE58Zb1+Nh2Gw==" saltValue="ehG7bPnyIKUeV1rG3YjDnw==" spinCount="100000" sheet="1" objects="1" scenarios="1"/>
  <dataConsolidate/>
  <mergeCells count="216">
    <mergeCell ref="S19:V19"/>
    <mergeCell ref="W19:Z19"/>
    <mergeCell ref="AB19:AD19"/>
    <mergeCell ref="AE19:AF19"/>
    <mergeCell ref="AG19:AH19"/>
    <mergeCell ref="S14:U14"/>
    <mergeCell ref="V14:Z14"/>
    <mergeCell ref="S15:U15"/>
    <mergeCell ref="V15:Z15"/>
    <mergeCell ref="S18:V18"/>
    <mergeCell ref="W18:Z18"/>
    <mergeCell ref="AB18:AD18"/>
    <mergeCell ref="AE18:AF18"/>
    <mergeCell ref="AG18:AH18"/>
    <mergeCell ref="H14:Q14"/>
    <mergeCell ref="B15:G15"/>
    <mergeCell ref="H15:Q15"/>
    <mergeCell ref="B18:C18"/>
    <mergeCell ref="D18:I18"/>
    <mergeCell ref="J18:M18"/>
    <mergeCell ref="N18:Q18"/>
    <mergeCell ref="B19:C19"/>
    <mergeCell ref="D19:I19"/>
    <mergeCell ref="J19:M19"/>
    <mergeCell ref="N19:Q19"/>
    <mergeCell ref="AG22:AH22"/>
    <mergeCell ref="AD23:AE23"/>
    <mergeCell ref="AG23:AH23"/>
    <mergeCell ref="AG24:AH24"/>
    <mergeCell ref="AG25:AH25"/>
    <mergeCell ref="AD22:AE22"/>
    <mergeCell ref="P26:Q26"/>
    <mergeCell ref="M27:N27"/>
    <mergeCell ref="P27:Q27"/>
    <mergeCell ref="P25:Q25"/>
    <mergeCell ref="M26:N26"/>
    <mergeCell ref="S12:AH12"/>
    <mergeCell ref="AB14:AC14"/>
    <mergeCell ref="AD14:AH14"/>
    <mergeCell ref="AB15:AC15"/>
    <mergeCell ref="AD15:AH15"/>
    <mergeCell ref="B14:G14"/>
    <mergeCell ref="P64:Q64"/>
    <mergeCell ref="P65:Q65"/>
    <mergeCell ref="P54:Q54"/>
    <mergeCell ref="P55:Q55"/>
    <mergeCell ref="P56:Q56"/>
    <mergeCell ref="P57:Q57"/>
    <mergeCell ref="P59:Q59"/>
    <mergeCell ref="P60:Q60"/>
    <mergeCell ref="P61:Q61"/>
    <mergeCell ref="P62:Q62"/>
    <mergeCell ref="P63:Q63"/>
    <mergeCell ref="P58:Q58"/>
    <mergeCell ref="M59:N59"/>
    <mergeCell ref="M60:N60"/>
    <mergeCell ref="M61:N61"/>
    <mergeCell ref="M62:N62"/>
    <mergeCell ref="M67:N67"/>
    <mergeCell ref="M63:N63"/>
    <mergeCell ref="M64:N64"/>
    <mergeCell ref="M65:N65"/>
    <mergeCell ref="M57:N57"/>
    <mergeCell ref="M58:N58"/>
    <mergeCell ref="M89:N89"/>
    <mergeCell ref="M83:N83"/>
    <mergeCell ref="M84:N84"/>
    <mergeCell ref="M85:N85"/>
    <mergeCell ref="M86:N86"/>
    <mergeCell ref="M87:N87"/>
    <mergeCell ref="M90:N90"/>
    <mergeCell ref="M91:N91"/>
    <mergeCell ref="M66:N66"/>
    <mergeCell ref="M78:N78"/>
    <mergeCell ref="M68:N68"/>
    <mergeCell ref="M69:N69"/>
    <mergeCell ref="M70:N70"/>
    <mergeCell ref="M71:N71"/>
    <mergeCell ref="M79:N79"/>
    <mergeCell ref="M73:N73"/>
    <mergeCell ref="M74:N74"/>
    <mergeCell ref="M75:N75"/>
    <mergeCell ref="M76:N76"/>
    <mergeCell ref="M77:N77"/>
    <mergeCell ref="M72:N72"/>
    <mergeCell ref="M81:N81"/>
    <mergeCell ref="M82:N82"/>
    <mergeCell ref="M88:N88"/>
    <mergeCell ref="M92:N92"/>
    <mergeCell ref="M112:N112"/>
    <mergeCell ref="M103:N103"/>
    <mergeCell ref="M104:N104"/>
    <mergeCell ref="M105:N105"/>
    <mergeCell ref="M106:N106"/>
    <mergeCell ref="M107:N107"/>
    <mergeCell ref="M101:N101"/>
    <mergeCell ref="M102:N102"/>
    <mergeCell ref="M98:N98"/>
    <mergeCell ref="M99:N99"/>
    <mergeCell ref="M100:N100"/>
    <mergeCell ref="M108:N108"/>
    <mergeCell ref="M110:N110"/>
    <mergeCell ref="M111:N111"/>
    <mergeCell ref="M109:N109"/>
    <mergeCell ref="M97:N97"/>
    <mergeCell ref="M93:N93"/>
    <mergeCell ref="M94:N94"/>
    <mergeCell ref="M95:N95"/>
    <mergeCell ref="M96:N96"/>
    <mergeCell ref="M124:N124"/>
    <mergeCell ref="M125:N125"/>
    <mergeCell ref="M118:N118"/>
    <mergeCell ref="M119:N119"/>
    <mergeCell ref="M120:N120"/>
    <mergeCell ref="M121:N121"/>
    <mergeCell ref="M122:N122"/>
    <mergeCell ref="M113:N113"/>
    <mergeCell ref="M114:N114"/>
    <mergeCell ref="M115:N115"/>
    <mergeCell ref="M116:N116"/>
    <mergeCell ref="M117:N117"/>
    <mergeCell ref="M123:N123"/>
    <mergeCell ref="P124:Q124"/>
    <mergeCell ref="P125:Q125"/>
    <mergeCell ref="P119:Q119"/>
    <mergeCell ref="P120:Q120"/>
    <mergeCell ref="P121:Q121"/>
    <mergeCell ref="P122:Q122"/>
    <mergeCell ref="P123:Q123"/>
    <mergeCell ref="P114:Q114"/>
    <mergeCell ref="P95:Q95"/>
    <mergeCell ref="P96:Q96"/>
    <mergeCell ref="P97:Q97"/>
    <mergeCell ref="P98:Q98"/>
    <mergeCell ref="P115:Q115"/>
    <mergeCell ref="P116:Q116"/>
    <mergeCell ref="P117:Q117"/>
    <mergeCell ref="P118:Q118"/>
    <mergeCell ref="P109:Q109"/>
    <mergeCell ref="P110:Q110"/>
    <mergeCell ref="P111:Q111"/>
    <mergeCell ref="P112:Q112"/>
    <mergeCell ref="P113:Q113"/>
    <mergeCell ref="P104:Q104"/>
    <mergeCell ref="P105:Q105"/>
    <mergeCell ref="P106:Q106"/>
    <mergeCell ref="P107:Q107"/>
    <mergeCell ref="P108:Q108"/>
    <mergeCell ref="P99:Q99"/>
    <mergeCell ref="P100:Q100"/>
    <mergeCell ref="P101:Q101"/>
    <mergeCell ref="P102:Q102"/>
    <mergeCell ref="P103:Q103"/>
    <mergeCell ref="P94:Q94"/>
    <mergeCell ref="P79:Q79"/>
    <mergeCell ref="P80:Q80"/>
    <mergeCell ref="P81:Q81"/>
    <mergeCell ref="P82:Q82"/>
    <mergeCell ref="P83:Q83"/>
    <mergeCell ref="P89:Q89"/>
    <mergeCell ref="P90:Q90"/>
    <mergeCell ref="P91:Q91"/>
    <mergeCell ref="P92:Q92"/>
    <mergeCell ref="P93:Q93"/>
    <mergeCell ref="P84:Q84"/>
    <mergeCell ref="P85:Q85"/>
    <mergeCell ref="P86:Q86"/>
    <mergeCell ref="P87:Q87"/>
    <mergeCell ref="P88:Q88"/>
    <mergeCell ref="P74:Q74"/>
    <mergeCell ref="P75:Q75"/>
    <mergeCell ref="P76:Q76"/>
    <mergeCell ref="P77:Q77"/>
    <mergeCell ref="P78:Q78"/>
    <mergeCell ref="M80:N80"/>
    <mergeCell ref="P66:Q66"/>
    <mergeCell ref="P67:Q67"/>
    <mergeCell ref="P68:Q68"/>
    <mergeCell ref="P69:Q69"/>
    <mergeCell ref="P70:Q70"/>
    <mergeCell ref="P71:Q71"/>
    <mergeCell ref="P72:Q72"/>
    <mergeCell ref="P73:Q73"/>
    <mergeCell ref="J4:L4"/>
    <mergeCell ref="J6:L6"/>
    <mergeCell ref="J5:L5"/>
    <mergeCell ref="G6:I6"/>
    <mergeCell ref="D4:F4"/>
    <mergeCell ref="G5:I5"/>
    <mergeCell ref="G4:I4"/>
    <mergeCell ref="D5:F5"/>
    <mergeCell ref="D6:F6"/>
    <mergeCell ref="M53:N53"/>
    <mergeCell ref="M54:N54"/>
    <mergeCell ref="M55:N55"/>
    <mergeCell ref="M56:N56"/>
    <mergeCell ref="B12:Q12"/>
    <mergeCell ref="B2:C2"/>
    <mergeCell ref="B5:C5"/>
    <mergeCell ref="B6:C6"/>
    <mergeCell ref="G2:I2"/>
    <mergeCell ref="J2:L2"/>
    <mergeCell ref="D2:F2"/>
    <mergeCell ref="P51:Q51"/>
    <mergeCell ref="P52:Q52"/>
    <mergeCell ref="P53:Q53"/>
    <mergeCell ref="B4:C4"/>
    <mergeCell ref="M51:N51"/>
    <mergeCell ref="M52:N52"/>
    <mergeCell ref="M22:N22"/>
    <mergeCell ref="P22:Q22"/>
    <mergeCell ref="M23:N23"/>
    <mergeCell ref="P23:Q23"/>
    <mergeCell ref="M24:N24"/>
    <mergeCell ref="P24:Q24"/>
    <mergeCell ref="M25:N25"/>
  </mergeCells>
  <conditionalFormatting sqref="G5:L5">
    <cfRule type="expression" dxfId="0" priority="1">
      <formula>selected_regFD=0</formula>
    </cfRule>
  </conditionalFormatting>
  <dataValidations count="6">
    <dataValidation type="list" allowBlank="1" showInputMessage="1" showErrorMessage="1" sqref="D4:F4" xr:uid="{8DD23413-B0F7-406B-904E-DD08AB50C653}">
      <formula1>OFFSET(transceiver1,0,0,COUNTA(transceiver_list))</formula1>
    </dataValidation>
    <dataValidation type="list" allowBlank="1" showInputMessage="1" showErrorMessage="1" sqref="D2:F2" xr:uid="{B4A73E83-BEF4-4103-907B-9ADA537B3278}">
      <formula1>OFFSET(device1,0,0,COUNTA(Device_list))</formula1>
    </dataValidation>
    <dataValidation type="custom" allowBlank="1" showInputMessage="1" showErrorMessage="1" error="Put decimal numbers only" sqref="J6:L6" xr:uid="{38DC4C69-1F13-489A-BE24-EAFF67964C08}">
      <formula1>ISNUMBER(J6)</formula1>
    </dataValidation>
    <dataValidation type="custom" allowBlank="1" showInputMessage="1" showErrorMessage="1" error="Put decimal number only" sqref="D5:F5" xr:uid="{E9ECA846-EA85-4440-92A4-7EBEC0B7F7AD}">
      <formula1>ISNUMBER(D5)</formula1>
    </dataValidation>
    <dataValidation type="custom" allowBlank="1" showInputMessage="1" showErrorMessage="1" error="Put decimal value only" sqref="D6:F6" xr:uid="{3E47A0D3-F531-4889-959D-317770EBD6ED}">
      <formula1>ISNUMBER(D6)</formula1>
    </dataValidation>
    <dataValidation type="custom" allowBlank="1" showInputMessage="1" showErrorMessage="1" error="Put decimal value only" sqref="J2:L2 J4:L5" xr:uid="{1E11DA82-AB34-4823-8F2F-0A4343E3B5F1}">
      <formula1>ISNUMBER(J2)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AP74"/>
  <sheetViews>
    <sheetView topLeftCell="A29" zoomScale="85" zoomScaleNormal="85" workbookViewId="0">
      <selection activeCell="B50" sqref="B50"/>
    </sheetView>
  </sheetViews>
  <sheetFormatPr defaultRowHeight="15"/>
  <cols>
    <col min="2" max="2" width="15" customWidth="1"/>
    <col min="3" max="3" width="12.7109375" customWidth="1"/>
    <col min="9" max="9" width="9.5703125" customWidth="1"/>
    <col min="11" max="12" width="8.140625" customWidth="1"/>
    <col min="13" max="13" width="12.28515625" customWidth="1"/>
    <col min="16" max="16" width="11.5703125" customWidth="1"/>
    <col min="23" max="23" width="13.7109375" customWidth="1"/>
    <col min="39" max="39" width="11.28515625" customWidth="1"/>
    <col min="40" max="40" width="11.7109375" customWidth="1"/>
    <col min="41" max="41" width="11" customWidth="1"/>
  </cols>
  <sheetData>
    <row r="2" spans="2:30">
      <c r="B2" t="s">
        <v>0</v>
      </c>
      <c r="C2">
        <f>cpiclock</f>
        <v>40</v>
      </c>
    </row>
    <row r="3" spans="2:30">
      <c r="B3" t="s">
        <v>10</v>
      </c>
      <c r="C3">
        <f>bitrate</f>
        <v>1000</v>
      </c>
      <c r="E3" t="s">
        <v>105</v>
      </c>
      <c r="F3">
        <f>bitrate_fd</f>
        <v>5000</v>
      </c>
    </row>
    <row r="4" spans="2:30">
      <c r="B4" t="s">
        <v>11</v>
      </c>
      <c r="C4">
        <f>2*($F$4+bus_length*5)</f>
        <v>510</v>
      </c>
      <c r="E4" t="s">
        <v>108</v>
      </c>
      <c r="F4">
        <f>Calculate_Bit_Timing!D5</f>
        <v>250</v>
      </c>
      <c r="H4" t="s">
        <v>117</v>
      </c>
      <c r="I4">
        <f>req_smp</f>
        <v>75</v>
      </c>
      <c r="X4">
        <f>COUNTA(A20:A40)</f>
        <v>4</v>
      </c>
    </row>
    <row r="6" spans="2:30">
      <c r="B6" t="s">
        <v>8</v>
      </c>
      <c r="C6">
        <f ca="1">INDIRECT("Sheet3!AC"&amp;( 10*Sheet3!$C$3+ROW(C6)-5))</f>
        <v>0</v>
      </c>
      <c r="W6" t="s">
        <v>8</v>
      </c>
      <c r="X6">
        <f ca="1">IF(Sheet3!$C$4&gt;0,INDIRECT("Sheet3!AC"&amp;( 10*Sheet3!$C$4+ROW(C6)-5)),0)</f>
        <v>0</v>
      </c>
    </row>
    <row r="7" spans="2:30">
      <c r="B7" t="s">
        <v>1</v>
      </c>
      <c r="C7">
        <f ca="1">INDIRECT("Sheet3!AC"&amp;( 10*Sheet3!$C$3+ROW(C7)-5))</f>
        <v>4</v>
      </c>
      <c r="G7">
        <v>1</v>
      </c>
      <c r="W7" t="s">
        <v>1</v>
      </c>
      <c r="X7">
        <f ca="1">IF(Sheet3!$C$4&gt;0,INDIRECT("Sheet3!AC"&amp;( 10*Sheet3!$C$4+ROW(C7)-5)),0)</f>
        <v>4</v>
      </c>
      <c r="AB7">
        <v>1</v>
      </c>
    </row>
    <row r="8" spans="2:30">
      <c r="B8" t="s">
        <v>2</v>
      </c>
      <c r="C8">
        <f ca="1">INDIRECT("Sheet3!AC"&amp;( 10*Sheet3!$C$3+ROW(C8)-5))</f>
        <v>81</v>
      </c>
      <c r="W8" t="s">
        <v>2</v>
      </c>
      <c r="X8">
        <f ca="1">IF(Sheet3!$C$4&gt;0,INDIRECT("Sheet3!AC"&amp;( 10*Sheet3!$C$4+ROW(C8)-5)),0)</f>
        <v>81</v>
      </c>
    </row>
    <row r="9" spans="2:30">
      <c r="B9" t="s">
        <v>3</v>
      </c>
      <c r="C9">
        <f ca="1">INDIRECT("Sheet3!AC"&amp;( 10*Sheet3!$C$3+ROW(C9)-5))</f>
        <v>1</v>
      </c>
      <c r="W9" t="s">
        <v>3</v>
      </c>
      <c r="X9">
        <f ca="1">IF(Sheet3!$C$4&gt;0,INDIRECT("Sheet3!AC"&amp;( 10*Sheet3!$C$4+ROW(C9)-5)),0)</f>
        <v>1</v>
      </c>
    </row>
    <row r="10" spans="2:30">
      <c r="B10" t="s">
        <v>4</v>
      </c>
      <c r="C10">
        <f ca="1">INDIRECT("Sheet3!AC"&amp;( 10*Sheet3!$C$3+ROW(C10)-5))</f>
        <v>1024</v>
      </c>
      <c r="G10">
        <f ca="1">INDIRECT("B"&amp;(19+selrow))</f>
        <v>1</v>
      </c>
      <c r="W10" t="s">
        <v>4</v>
      </c>
      <c r="X10">
        <f ca="1">IF(Sheet3!$C$4&gt;0,INDIRECT("Sheet3!AC"&amp;( 10*Sheet3!$C$4+ROW(C10)-5)),0)</f>
        <v>1024</v>
      </c>
      <c r="AB10">
        <f ca="1">INDIRECT("w"&amp;(19+selrowFD))</f>
        <v>1</v>
      </c>
    </row>
    <row r="11" spans="2:30">
      <c r="B11" t="s">
        <v>5</v>
      </c>
      <c r="C11">
        <f ca="1">INDIRECT("Sheet3!AC"&amp;( 10*Sheet3!$C$3+ROW(C11)-5))</f>
        <v>48</v>
      </c>
      <c r="G11">
        <f ca="1">INDIRECT("F"&amp;(19+selrow))</f>
        <v>21</v>
      </c>
      <c r="W11" t="s">
        <v>5</v>
      </c>
      <c r="X11">
        <f ca="1">IF(Sheet3!$C$4&gt;0,INDIRECT("Sheet3!AC"&amp;( 10*Sheet3!$C$4+ROW(C11)-5)),0)</f>
        <v>48</v>
      </c>
      <c r="AB11">
        <f ca="1">INDIRECT("aa"&amp;(19+selrowFD))</f>
        <v>2</v>
      </c>
    </row>
    <row r="12" spans="2:30">
      <c r="B12" t="s">
        <v>6</v>
      </c>
      <c r="C12">
        <f ca="1">INDIRECT("Sheet3!AC"&amp;( 10*Sheet3!$C$3+ROW(C12)-5))</f>
        <v>16</v>
      </c>
      <c r="G12">
        <f ca="1">INDIRECT("G"&amp;(19+selrow))</f>
        <v>8</v>
      </c>
      <c r="H12" s="19"/>
      <c r="I12" s="19"/>
      <c r="J12" s="19"/>
      <c r="K12" s="19"/>
      <c r="L12" s="19"/>
      <c r="M12" s="19"/>
      <c r="N12" s="19"/>
      <c r="O12" s="19"/>
      <c r="P12" s="20"/>
      <c r="Q12" s="21"/>
      <c r="R12" s="21"/>
      <c r="S12" s="21"/>
      <c r="T12" s="21"/>
      <c r="U12" s="21"/>
      <c r="V12" s="21"/>
      <c r="W12" t="s">
        <v>6</v>
      </c>
      <c r="X12">
        <f ca="1">IF(Sheet3!$C$4&gt;0,INDIRECT("Sheet3!AC"&amp;( 10*Sheet3!$C$4+ROW(C12)-5)),0)</f>
        <v>16</v>
      </c>
      <c r="AB12">
        <f ca="1">INDIRECT("ab"&amp;(19+selrowFD))</f>
        <v>3</v>
      </c>
    </row>
    <row r="13" spans="2:30">
      <c r="B13" t="s">
        <v>7</v>
      </c>
      <c r="C13">
        <f ca="1">INDIRECT("Sheet3!AC"&amp;( 10*Sheet3!$C$3+ROW(C13)-5))</f>
        <v>16</v>
      </c>
      <c r="G13">
        <f ca="1">INDIRECT("H"&amp;(19+selrow))</f>
        <v>10</v>
      </c>
      <c r="H13" s="19"/>
      <c r="I13" s="19"/>
      <c r="J13" s="19"/>
      <c r="K13" s="19"/>
      <c r="L13" s="19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t="s">
        <v>7</v>
      </c>
      <c r="X13">
        <f ca="1">IF(Sheet3!$C$4&gt;0,INDIRECT("Sheet3!AC"&amp;( 10*Sheet3!$C$4+ROW(C13)-5)),0)</f>
        <v>16</v>
      </c>
      <c r="AB13">
        <f ca="1">INDIRECT("ac"&amp;(19+selrowFD))</f>
        <v>2</v>
      </c>
    </row>
    <row r="14" spans="2:30">
      <c r="B14" t="s">
        <v>9</v>
      </c>
      <c r="C14">
        <f ca="1">INDIRECT("Sheet3!AC"&amp;( 10*Sheet3!$C$3+ROW(C14)-5))</f>
        <v>16</v>
      </c>
      <c r="G14">
        <f ca="1">INDIRECT("I"&amp;(19+selrow))</f>
        <v>10</v>
      </c>
      <c r="H14" s="19"/>
      <c r="I14" s="19"/>
      <c r="J14" s="19"/>
      <c r="K14" s="19" t="s">
        <v>171</v>
      </c>
      <c r="L14" s="19"/>
      <c r="M14" s="20">
        <f t="array" aca="1" ref="M14" ca="1">INDEX(A20:A40,MATCH(MAX(IF(M20:M40=$N$15,K20:K40)),K20:K40,0))</f>
        <v>1</v>
      </c>
      <c r="N14" s="32">
        <f ca="1">IF(ISNUMBER(M47), M47,M14)</f>
        <v>1</v>
      </c>
      <c r="O14" s="20"/>
      <c r="P14" s="20"/>
      <c r="Q14" s="20"/>
      <c r="R14" s="20"/>
      <c r="S14" s="20"/>
      <c r="T14" s="20"/>
      <c r="U14" s="20"/>
      <c r="V14" s="20"/>
      <c r="W14" t="s">
        <v>9</v>
      </c>
      <c r="X14">
        <f ca="1">IF(Sheet3!$C$4&gt;0,INDIRECT("Sheet3!AC"&amp;( 10*Sheet3!$C$4+ROW(C14)-5)),0)</f>
        <v>16</v>
      </c>
      <c r="AB14">
        <f ca="1">INDIRECT("ad"&amp;(19+selrowFD))</f>
        <v>2</v>
      </c>
    </row>
    <row r="15" spans="2:30">
      <c r="G15">
        <f ca="1">INDIRECT("D"&amp;(19+selrow))</f>
        <v>25</v>
      </c>
      <c r="H15" s="19"/>
      <c r="I15" s="19"/>
      <c r="J15" s="19"/>
      <c r="K15" s="19"/>
      <c r="L15" s="19"/>
      <c r="M15" s="20">
        <f t="array" aca="1" ref="M15" ca="1">INDEX(INDIRECT("M20:M"&amp;(19+COUNT(M20:M40))),MATCH(MIN(ABS(INDIRECT("M20:M"&amp;(19+COUNT(M20:M40)))-I4)),ABS(INDIRECT("M20:M"&amp;(19+COUNT(M20:M40)))-I4),0))</f>
        <v>75</v>
      </c>
      <c r="N15" s="20">
        <f ca="1">IF(COUNT(A20:A40)=1,M20,M15)</f>
        <v>75</v>
      </c>
      <c r="O15" s="29" t="str">
        <f t="array" ref="O15">IF((N41:N51=$I$4),K20:K40,"")</f>
        <v/>
      </c>
      <c r="P15" s="29"/>
      <c r="Q15" s="29"/>
      <c r="R15" s="29"/>
      <c r="S15" s="20"/>
      <c r="T15" s="20"/>
      <c r="U15" s="20"/>
      <c r="V15" s="20"/>
      <c r="W15" s="20"/>
      <c r="AB15">
        <f ca="1">INDIRECT("af"&amp;(19+selrowFD))</f>
        <v>1</v>
      </c>
      <c r="AD15">
        <f ca="1">INDIRECT("Y"&amp;(19+selrowFD))</f>
        <v>25</v>
      </c>
    </row>
    <row r="16" spans="2:30">
      <c r="G16">
        <f ca="1">INDIRECT("E"&amp;(19+selrow))</f>
        <v>40</v>
      </c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 t="str">
        <f t="shared" ref="W16" si="0">IF(ISNUMBER(N16),MIN(U16/20/Q16*100,MIN(S16,T16)/2/(13*Q16-T16)*100),"")</f>
        <v/>
      </c>
      <c r="AB16">
        <f ca="1">INDIRECT("ag"&amp;(19+selrowFD))</f>
        <v>4</v>
      </c>
      <c r="AD16">
        <f ca="1">INDIRECT("z"&amp;(19+selrowFD))</f>
        <v>8</v>
      </c>
    </row>
    <row r="17" spans="1:42" ht="15.75" thickBot="1">
      <c r="B17" s="75" t="str">
        <f ca="1">Calculate_Bit_Timing!$B$12&amp;";  // bitrate="&amp;bitrate&amp;"kbps, CPI clk="&amp;cpiclock&amp;" MHz; Prescaler= "&amp;presc&amp;", PROPSEG="&amp;prop&amp;", PSEG1="&amp;pseg1&amp;", PSEG2="&amp;pseg2&amp;", RJW="&amp;rjw&amp;", smp="&amp;100-pseg2/(1+prop+pseg1+pseg2)*100&amp;"%"</f>
        <v>CANx_BTP = 0x00001C99;  // bitrate=1000kbps, CPI clk=40 MHz; Prescaler= 1, PROPSEG=21, PSEG1=8, PSEG2=10, RJW=10, smp=75%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S17" s="1"/>
      <c r="T17" s="1"/>
      <c r="V17" s="18"/>
      <c r="W17" s="76" t="str">
        <f ca="1">Calculate_Bit_Timing!$S$12&amp;";  // bitrateFD="&amp;bitrate_fd&amp;"kbps, CPI clk="&amp;cpiclock&amp;" MHz; fPrescaler= "&amp;prescFD&amp;", fPROPSEG="&amp;propFD&amp;", fPSEG1="&amp;pseg1FD&amp;", fPSEG2="&amp;pseg2FD&amp;", fRJW="&amp;rjwFD&amp;", smp="&amp;100-pseg2FD/(1+propFD+pseg1FD+pseg2FD)*100&amp;"%"</f>
        <v>CANx_FBTP = 0x04800411;  // bitrateFD=5000kbps, CPI clk=40 MHz; fPrescaler= 1, fPROPSEG=2, fPSEG1=3, fPSEG2=2, fRJW=2, smp=75%</v>
      </c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</row>
    <row r="18" spans="1:42">
      <c r="A18" s="67"/>
      <c r="B18" s="55" t="s">
        <v>69</v>
      </c>
      <c r="C18" s="56" t="s">
        <v>70</v>
      </c>
      <c r="D18" s="56" t="s">
        <v>71</v>
      </c>
      <c r="E18" s="56" t="s">
        <v>72</v>
      </c>
      <c r="F18" s="56" t="s">
        <v>66</v>
      </c>
      <c r="G18" s="56" t="s">
        <v>53</v>
      </c>
      <c r="H18" s="56" t="s">
        <v>54</v>
      </c>
      <c r="I18" s="56" t="s">
        <v>9</v>
      </c>
      <c r="J18" s="68"/>
      <c r="K18" s="74" t="s">
        <v>186</v>
      </c>
      <c r="L18" s="57"/>
      <c r="M18" s="105" t="s">
        <v>102</v>
      </c>
      <c r="N18" s="105"/>
      <c r="O18" s="57"/>
      <c r="P18" s="105" t="str">
        <f ca="1">LEFT(Calculate_Bit_Timing!$B$12,LEN(Calculate_Bit_Timing!$B$12)-13)</f>
        <v>CANx_BTP</v>
      </c>
      <c r="Q18" s="106"/>
      <c r="R18" t="s">
        <v>176</v>
      </c>
      <c r="S18" t="s">
        <v>177</v>
      </c>
      <c r="T18" t="s">
        <v>178</v>
      </c>
      <c r="U18" t="s">
        <v>179</v>
      </c>
      <c r="V18" s="37"/>
      <c r="W18" s="73" t="s">
        <v>106</v>
      </c>
      <c r="X18" s="56" t="s">
        <v>109</v>
      </c>
      <c r="Y18" s="56" t="s">
        <v>110</v>
      </c>
      <c r="Z18" s="56" t="s">
        <v>107</v>
      </c>
      <c r="AA18" s="56" t="s">
        <v>111</v>
      </c>
      <c r="AB18" s="56" t="s">
        <v>112</v>
      </c>
      <c r="AC18" s="56" t="s">
        <v>113</v>
      </c>
      <c r="AD18" s="56" t="s">
        <v>114</v>
      </c>
      <c r="AE18" s="68"/>
      <c r="AF18" s="65" t="s">
        <v>169</v>
      </c>
      <c r="AG18" s="65" t="s">
        <v>170</v>
      </c>
      <c r="AH18" s="105" t="s">
        <v>102</v>
      </c>
      <c r="AI18" s="105"/>
      <c r="AJ18" s="60"/>
      <c r="AK18" s="105" t="str">
        <f ca="1">LEFT(Calculate_Bit_Timing!$S$12,LEN(Calculate_Bit_Timing!$S$12)-13)</f>
        <v>CANx_FBTP</v>
      </c>
      <c r="AL18" s="106"/>
      <c r="AM18" t="s">
        <v>180</v>
      </c>
      <c r="AN18" t="s">
        <v>182</v>
      </c>
      <c r="AO18" t="s">
        <v>182</v>
      </c>
      <c r="AP18" t="s">
        <v>181</v>
      </c>
    </row>
    <row r="19" spans="1:42" ht="15.75" thickBot="1">
      <c r="A19" s="67"/>
      <c r="B19" s="58" t="s">
        <v>73</v>
      </c>
      <c r="C19" s="59" t="s">
        <v>74</v>
      </c>
      <c r="D19" s="59" t="s">
        <v>75</v>
      </c>
      <c r="E19" s="59" t="s">
        <v>76</v>
      </c>
      <c r="F19" s="59" t="s">
        <v>76</v>
      </c>
      <c r="G19" s="59" t="s">
        <v>76</v>
      </c>
      <c r="H19" s="59" t="s">
        <v>76</v>
      </c>
      <c r="I19" s="59" t="s">
        <v>76</v>
      </c>
      <c r="J19" s="69"/>
      <c r="K19" s="63" t="s">
        <v>103</v>
      </c>
      <c r="L19" s="64"/>
      <c r="M19" s="107" t="s">
        <v>103</v>
      </c>
      <c r="N19" s="107"/>
      <c r="O19" s="64"/>
      <c r="P19" s="108" t="s">
        <v>104</v>
      </c>
      <c r="Q19" s="109"/>
      <c r="S19" s="4" t="str">
        <f t="shared" ref="S19" si="1">IF(ISNUMBER(H19),100-N19/K19*100,"")</f>
        <v/>
      </c>
      <c r="T19" s="4"/>
      <c r="V19" s="37"/>
      <c r="W19" s="58" t="s">
        <v>73</v>
      </c>
      <c r="X19" s="59" t="s">
        <v>74</v>
      </c>
      <c r="Y19" s="59" t="s">
        <v>75</v>
      </c>
      <c r="Z19" s="59" t="s">
        <v>76</v>
      </c>
      <c r="AA19" s="59" t="s">
        <v>76</v>
      </c>
      <c r="AB19" s="59" t="s">
        <v>76</v>
      </c>
      <c r="AC19" s="59" t="s">
        <v>76</v>
      </c>
      <c r="AD19" s="59" t="s">
        <v>76</v>
      </c>
      <c r="AE19" s="69"/>
      <c r="AF19" s="66" t="s">
        <v>73</v>
      </c>
      <c r="AG19" s="66" t="s">
        <v>73</v>
      </c>
      <c r="AH19" s="108" t="s">
        <v>103</v>
      </c>
      <c r="AI19" s="108"/>
      <c r="AJ19" s="61"/>
      <c r="AK19" s="108" t="s">
        <v>104</v>
      </c>
      <c r="AL19" s="109"/>
    </row>
    <row r="20" spans="1:42">
      <c r="A20" s="70">
        <v>1</v>
      </c>
      <c r="B20" s="70">
        <v>1</v>
      </c>
      <c r="C20" s="70">
        <f t="shared" ref="C20:C40" si="2">IF(ISNUMBER(B20),cpiclock/B20,"")</f>
        <v>40</v>
      </c>
      <c r="D20" s="70">
        <f>IF(ISNUMBER(B20),1000/C20,"")</f>
        <v>25</v>
      </c>
      <c r="E20" s="70">
        <v>40</v>
      </c>
      <c r="F20" s="70">
        <v>21</v>
      </c>
      <c r="G20" s="70">
        <v>8</v>
      </c>
      <c r="H20" s="70">
        <v>10</v>
      </c>
      <c r="I20" s="70">
        <v>10</v>
      </c>
      <c r="J20" s="70"/>
      <c r="K20" s="70">
        <f>IF(ISNUMBER(B20),MIN(I20/20/E20*100,MIN(G20,H20)/2/(13*E20-H20)*100),"")</f>
        <v>0.78431372549019607</v>
      </c>
      <c r="L20" s="70"/>
      <c r="M20" s="111">
        <f>IF(ISNUMBER(B20),100-H20/E20*100,"")</f>
        <v>75</v>
      </c>
      <c r="N20" s="111"/>
      <c r="O20" s="70"/>
      <c r="P20" s="111" t="str">
        <f>INDEX(Sheet2!$R$20:$U$20,1,selected_reg)</f>
        <v>0x00001B99</v>
      </c>
      <c r="Q20" s="111"/>
      <c r="R20" t="str">
        <f>IF(ISNUMBER(B20),"0x"&amp;DEC2HEX((POWER(2,24)*(B20-1))+((I20-1)*POWER(2,22))+((G20-1)*POWER(2,19))+((H20-1)*POWER(2,16))+(F20-1)+0,8),"")</f>
        <v>0x02810014</v>
      </c>
      <c r="S20" s="4" t="str">
        <f>IF(ISNUMBER(B20),"0x"&amp;DEC2HEX((POWER(2,16)*(B20-1))+((F20+G20-2)*POWER(2,8))+((H20-1)*POWER(2,4))+(I20-1)+0,8),"")</f>
        <v>0x00001B99</v>
      </c>
      <c r="T20" s="4" t="str">
        <f>IF(ISNUMBER(B20),"0x"&amp;DEC2HEX(POWER(2,31)+(POWER(2,21)*(B20-1))+((I20-1)*POWER(2,16))+((G20-1)*POWER(2,5))+((H20-1))+(F20-1)*POWER(2,10)+0,8),"")</f>
        <v>0x800950E9</v>
      </c>
      <c r="U20" t="str">
        <f>IF(ISNUMBER(B20),"0x"&amp;DEC2HEX(((I20-1)*POWER(2,25))+(POWER(2,16)*(B20-1))+((F20+G20-1)*POWER(2,8))+((H20-1))+0,8),"")</f>
        <v>0x12001C09</v>
      </c>
      <c r="V20" s="71">
        <v>1</v>
      </c>
      <c r="W20" s="71">
        <v>1</v>
      </c>
      <c r="X20" s="70">
        <f t="shared" ref="X20:X21" si="3">IF(ISNUMBER(V20),cpiclock/W20,"")</f>
        <v>40</v>
      </c>
      <c r="Y20" s="70">
        <f>IF(ISNUMBER(V20),1000/X20,"")</f>
        <v>25</v>
      </c>
      <c r="Z20" s="70">
        <v>8</v>
      </c>
      <c r="AA20" s="70">
        <v>2</v>
      </c>
      <c r="AB20" s="70">
        <v>3</v>
      </c>
      <c r="AC20" s="70">
        <v>2</v>
      </c>
      <c r="AD20" s="70">
        <v>2</v>
      </c>
      <c r="AE20" s="70"/>
      <c r="AF20" s="70">
        <v>1</v>
      </c>
      <c r="AG20" s="70">
        <f t="shared" ref="AG20:AG41" si="4">IF(ISNUMBER(V20),IF(AF20=0,0,cpiclock/(2*bitrate_fd/1000)),"")</f>
        <v>4</v>
      </c>
      <c r="AH20" s="67"/>
      <c r="AI20" s="70">
        <f t="shared" ref="AI20:AI41" si="5">IF(ISNUMBER(W20),100-AC20/Z20*100,"")</f>
        <v>75</v>
      </c>
      <c r="AJ20" s="70"/>
      <c r="AK20" s="111" t="str">
        <f>INDEX(Sheet2!$AM$20:$AP$20,1,selected_regFD-4)</f>
        <v>0x04800411</v>
      </c>
      <c r="AL20" s="111"/>
      <c r="AM20" t="str">
        <f>IF(ISNUMBER(V20),"0x"&amp;DEC2HEX(2^24*AG20+2^23*AF20+2^16*(W20-1)+2^8*(AA20+AB20-1)+2^4*(AC20-1)+(AD20-1),8),"")</f>
        <v>0x04800411</v>
      </c>
      <c r="AN20" t="str">
        <f>IF(ISNUMBER(V20),"0x"&amp;DEC2HEX(2^20*(W20-1)+2^10*(AA20)+2^5*(AB20-1)+(AC20-1)+2^16*(AD20-1),8),"")</f>
        <v>0x00010841</v>
      </c>
      <c r="AO20" t="str">
        <f>IF(ISNUMBER(V20),"0x"&amp;DEC2HEX(2^20*(W20-1)+2^10*(AA20)+2^5*(AB20-1)+(AC20-1)+2^16*(AD20-1),8),"")</f>
        <v>0x00010841</v>
      </c>
      <c r="AP20" t="str">
        <f>IF(ISNUMBER(V20),"0x"&amp;DEC2HEX(2^23*AF20+2^16*(W20-1)+2^8*(AA20+AB20-1)+2^4*(AC20-1)+(AD20-1),8),"")</f>
        <v>0x00800411</v>
      </c>
    </row>
    <row r="21" spans="1:42">
      <c r="A21" s="70">
        <v>2</v>
      </c>
      <c r="B21" s="70">
        <v>2</v>
      </c>
      <c r="C21" s="70">
        <f t="shared" si="2"/>
        <v>20</v>
      </c>
      <c r="D21" s="70">
        <f t="shared" ref="D21:D40" si="6">IF(ISNUMBER(B21),1000/C21,"")</f>
        <v>50</v>
      </c>
      <c r="E21" s="70">
        <v>20</v>
      </c>
      <c r="F21" s="70">
        <v>11</v>
      </c>
      <c r="G21" s="70">
        <v>3</v>
      </c>
      <c r="H21" s="70">
        <v>5</v>
      </c>
      <c r="I21" s="70">
        <v>5</v>
      </c>
      <c r="J21" s="70"/>
      <c r="K21" s="70">
        <f t="shared" ref="K21:K40" si="7">IF(ISNUMBER(B21),MIN(I21/20/E21*100,MIN(G21,H21)/2/(13*E21-H21)*100),"")</f>
        <v>0.58823529411764708</v>
      </c>
      <c r="L21" s="70"/>
      <c r="M21" s="112">
        <f t="shared" ref="M21:M40" si="8">IF(ISNUMBER(B21),100-H21/E21*100,"")</f>
        <v>75</v>
      </c>
      <c r="N21" s="112"/>
      <c r="O21" s="70"/>
      <c r="P21" s="112" t="str">
        <f>INDEX(Sheet2!$R$21:$U$21,1,selected_reg)</f>
        <v>0x00010C44</v>
      </c>
      <c r="Q21" s="112"/>
      <c r="R21" t="str">
        <f t="shared" ref="R21:R40" si="9">IF(ISNUMBER(B21),"0x"&amp;DEC2HEX((POWER(2,24)*(B21-1))+((I21-1)*POWER(2,22))+((G21-1)*POWER(2,19))+((H21-1)*POWER(2,16))+(F21-1)+0,8),"")</f>
        <v>0x0214000A</v>
      </c>
      <c r="S21" s="4" t="str">
        <f t="shared" ref="S21:S40" si="10">IF(ISNUMBER(B21),"0x"&amp;DEC2HEX((POWER(2,16)*(B21-1))+((F21+G21-2)*POWER(2,8))+((H21-1)*POWER(2,4))+(I21-1)+0,8),"")</f>
        <v>0x00010C44</v>
      </c>
      <c r="T21" s="4" t="str">
        <f t="shared" ref="T21:T40" si="11">IF(ISNUMBER(B21),"0x"&amp;DEC2HEX(POWER(2,31)+(POWER(2,21)*(B21-1))+((I21-1)*POWER(2,16))+((G21-1)*POWER(2,5))+((H21-1))+(F21-1)*POWER(2,10)+0,8),"")</f>
        <v>0x80242844</v>
      </c>
      <c r="U21" t="str">
        <f t="shared" ref="U21:U40" si="12">IF(ISNUMBER(B21),"0x"&amp;DEC2HEX(((I21-1)*POWER(2,25))+(POWER(2,16)*(B21-1))+((F21+G21-1)*POWER(2,8))+((H21-1))+0,8),"")</f>
        <v>0x08010D04</v>
      </c>
      <c r="V21" s="71">
        <v>2</v>
      </c>
      <c r="W21" s="71">
        <v>2</v>
      </c>
      <c r="X21" s="70">
        <f t="shared" si="3"/>
        <v>20</v>
      </c>
      <c r="Y21" s="70">
        <f t="shared" ref="Y21" si="13">IF(ISNUMBER(V21),1000/X21,"")</f>
        <v>50</v>
      </c>
      <c r="Z21" s="70">
        <v>4</v>
      </c>
      <c r="AA21" s="70">
        <v>0</v>
      </c>
      <c r="AB21" s="70">
        <v>2</v>
      </c>
      <c r="AC21" s="70">
        <v>1</v>
      </c>
      <c r="AD21" s="70">
        <v>1</v>
      </c>
      <c r="AE21" s="70"/>
      <c r="AF21" s="70">
        <v>1</v>
      </c>
      <c r="AG21" s="70">
        <f t="shared" si="4"/>
        <v>4</v>
      </c>
      <c r="AH21" s="67"/>
      <c r="AI21" s="70">
        <f t="shared" si="5"/>
        <v>75</v>
      </c>
      <c r="AJ21" s="70"/>
      <c r="AK21" s="112" t="str">
        <f>INDEX(Sheet2!$AM$21:$AP$21,1,selected_regFD-4)</f>
        <v>0x04810100</v>
      </c>
      <c r="AL21" s="112"/>
      <c r="AM21" t="str">
        <f t="shared" ref="AM21:AM40" si="14">IF(ISNUMBER(V21),"0x"&amp;DEC2HEX(2^24*AG21+2^23*AF21+2^16*(W21-1)+2^8*(AA21+AB21-1)+2^4*(AC21-1)+(AD21-1),8),"")</f>
        <v>0x04810100</v>
      </c>
      <c r="AN21" t="str">
        <f t="shared" ref="AN21" si="15">IF(ISNUMBER(V21),"0x"&amp;DEC2HEX(2^20*(W21-1)+2^10*(AA21)+2^5*(AB21-1)+(AC21-1)+2^16*(AD21-1),8),"")</f>
        <v>0x00100020</v>
      </c>
      <c r="AO21" t="str">
        <f t="shared" ref="AO21" si="16">IF(ISNUMBER(V21),"0x"&amp;DEC2HEX(2^20*(W21-1)+2^10*(AA21)+2^5*(AB21-1)+(AC21-1)+2^16*(AD21-1),8),"")</f>
        <v>0x00100020</v>
      </c>
      <c r="AP21" t="str">
        <f t="shared" ref="AP21:AP40" si="17">IF(ISNUMBER(V21),"0x"&amp;DEC2HEX(2^23*AF21+2^16*(W21-1)+2^8*(AA21+AB21-1)+2^4*(AC21-1)+(AD21-1),8),"")</f>
        <v>0x00810100</v>
      </c>
    </row>
    <row r="22" spans="1:42">
      <c r="A22" s="70">
        <v>3</v>
      </c>
      <c r="B22" s="70">
        <v>4</v>
      </c>
      <c r="C22" s="70">
        <f t="shared" si="2"/>
        <v>10</v>
      </c>
      <c r="D22" s="70">
        <f t="shared" si="6"/>
        <v>100</v>
      </c>
      <c r="E22" s="70">
        <v>10</v>
      </c>
      <c r="F22" s="70">
        <v>6</v>
      </c>
      <c r="G22" s="70">
        <v>1</v>
      </c>
      <c r="H22" s="70">
        <v>2</v>
      </c>
      <c r="I22" s="70">
        <v>2</v>
      </c>
      <c r="J22" s="70"/>
      <c r="K22" s="70">
        <f t="shared" si="7"/>
        <v>0.390625</v>
      </c>
      <c r="L22" s="70"/>
      <c r="M22" s="112">
        <f t="shared" si="8"/>
        <v>80</v>
      </c>
      <c r="N22" s="112"/>
      <c r="O22" s="70"/>
      <c r="P22" s="112" t="str">
        <f>INDEX(Sheet2!$R$22:$U$22,1,selected_reg)</f>
        <v>0x00030511</v>
      </c>
      <c r="Q22" s="112"/>
      <c r="R22" t="str">
        <f t="shared" si="9"/>
        <v>0x03410005</v>
      </c>
      <c r="S22" s="4" t="str">
        <f t="shared" si="10"/>
        <v>0x00030511</v>
      </c>
      <c r="T22" s="4" t="str">
        <f t="shared" si="11"/>
        <v>0x80611401</v>
      </c>
      <c r="U22" t="str">
        <f t="shared" si="12"/>
        <v>0x02030601</v>
      </c>
      <c r="V22" s="70"/>
      <c r="W22" s="70"/>
      <c r="X22" s="70" t="str">
        <f t="shared" ref="X22:X40" si="18">IF(ISNUMBER(V22),cpiclock/W22,"")</f>
        <v/>
      </c>
      <c r="Y22" s="70" t="str">
        <f t="shared" ref="Y22:Y40" si="19">IF(ISNUMBER(V22),1000/X22,"")</f>
        <v/>
      </c>
      <c r="Z22" s="70"/>
      <c r="AA22" s="70"/>
      <c r="AB22" s="70"/>
      <c r="AC22" s="70"/>
      <c r="AD22" s="70"/>
      <c r="AE22" s="70"/>
      <c r="AF22" s="70"/>
      <c r="AG22" s="70" t="str">
        <f t="shared" si="4"/>
        <v/>
      </c>
      <c r="AH22" s="67"/>
      <c r="AI22" s="70" t="str">
        <f t="shared" si="5"/>
        <v/>
      </c>
      <c r="AJ22" s="70"/>
      <c r="AK22" s="112" t="str">
        <f>INDEX(Sheet2!$AM$22:$AP$22,1,selected_regFD-4)</f>
        <v/>
      </c>
      <c r="AL22" s="112"/>
      <c r="AM22" t="str">
        <f t="shared" si="14"/>
        <v/>
      </c>
      <c r="AN22" t="str">
        <f t="shared" ref="AN22:AN40" si="20">IF(ISNUMBER(V22),"0x"&amp;DEC2HEX(2^20*(W22-1)+2^10*(AA22)+2^5*(AB22-1)+(AC22-1)+2^16*(AD22-1),8),"")</f>
        <v/>
      </c>
      <c r="AO22" t="str">
        <f t="shared" ref="AO22:AO40" si="21">IF(ISNUMBER(V22),"0x"&amp;DEC2HEX(2^20*(W22-1)+2^10*(AA22)+2^5*(AB22-1)+(AC22-1)+2^16*(AD22-1),8),"")</f>
        <v/>
      </c>
      <c r="AP22" t="str">
        <f t="shared" si="17"/>
        <v/>
      </c>
    </row>
    <row r="23" spans="1:42">
      <c r="A23" s="70">
        <v>4</v>
      </c>
      <c r="B23" s="70">
        <v>5</v>
      </c>
      <c r="C23" s="70">
        <f t="shared" si="2"/>
        <v>8</v>
      </c>
      <c r="D23" s="70">
        <f t="shared" si="6"/>
        <v>125</v>
      </c>
      <c r="E23" s="70">
        <v>8</v>
      </c>
      <c r="F23" s="70">
        <v>5</v>
      </c>
      <c r="G23" s="70">
        <v>1</v>
      </c>
      <c r="H23" s="70">
        <v>1</v>
      </c>
      <c r="I23" s="70">
        <v>1</v>
      </c>
      <c r="J23" s="70"/>
      <c r="K23" s="70">
        <f t="shared" si="7"/>
        <v>0.48543689320388345</v>
      </c>
      <c r="L23" s="70"/>
      <c r="M23" s="112">
        <f t="shared" si="8"/>
        <v>87.5</v>
      </c>
      <c r="N23" s="112"/>
      <c r="O23" s="70"/>
      <c r="P23" s="112" t="str">
        <f>INDEX(Sheet2!$R$23:$U$23,1,selected_reg)</f>
        <v>0x00040400</v>
      </c>
      <c r="Q23" s="112"/>
      <c r="R23" t="str">
        <f t="shared" si="9"/>
        <v>0x04000004</v>
      </c>
      <c r="S23" s="4" t="str">
        <f t="shared" si="10"/>
        <v>0x00040400</v>
      </c>
      <c r="T23" s="4" t="str">
        <f t="shared" si="11"/>
        <v>0x80801000</v>
      </c>
      <c r="U23" t="str">
        <f t="shared" si="12"/>
        <v>0x00040500</v>
      </c>
      <c r="V23" s="70"/>
      <c r="W23" s="70"/>
      <c r="X23" s="70" t="str">
        <f t="shared" si="18"/>
        <v/>
      </c>
      <c r="Y23" s="70" t="str">
        <f t="shared" si="19"/>
        <v/>
      </c>
      <c r="Z23" s="70"/>
      <c r="AA23" s="70"/>
      <c r="AB23" s="70"/>
      <c r="AC23" s="70"/>
      <c r="AD23" s="70"/>
      <c r="AE23" s="70"/>
      <c r="AF23" s="70"/>
      <c r="AG23" s="70" t="str">
        <f t="shared" si="4"/>
        <v/>
      </c>
      <c r="AH23" s="67"/>
      <c r="AI23" s="70" t="str">
        <f t="shared" si="5"/>
        <v/>
      </c>
      <c r="AJ23" s="70"/>
      <c r="AK23" s="112" t="str">
        <f>INDEX(Sheet2!$AM$23:$AP$23,1,selected_regFD-4)</f>
        <v/>
      </c>
      <c r="AL23" s="112"/>
      <c r="AM23" t="str">
        <f t="shared" si="14"/>
        <v/>
      </c>
      <c r="AN23" t="str">
        <f t="shared" si="20"/>
        <v/>
      </c>
      <c r="AO23" t="str">
        <f t="shared" si="21"/>
        <v/>
      </c>
      <c r="AP23" t="str">
        <f t="shared" si="17"/>
        <v/>
      </c>
    </row>
    <row r="24" spans="1:42">
      <c r="A24" s="70"/>
      <c r="B24" s="70"/>
      <c r="C24" s="70" t="str">
        <f t="shared" si="2"/>
        <v/>
      </c>
      <c r="D24" s="70" t="str">
        <f t="shared" si="6"/>
        <v/>
      </c>
      <c r="E24" s="70"/>
      <c r="F24" s="70"/>
      <c r="G24" s="70"/>
      <c r="H24" s="70"/>
      <c r="I24" s="70"/>
      <c r="J24" s="70"/>
      <c r="K24" s="70" t="str">
        <f t="shared" si="7"/>
        <v/>
      </c>
      <c r="L24" s="70"/>
      <c r="M24" s="112" t="str">
        <f t="shared" si="8"/>
        <v/>
      </c>
      <c r="N24" s="112"/>
      <c r="O24" s="70"/>
      <c r="P24" s="112" t="str">
        <f>INDEX(Sheet2!$R$24:$U$24,1,selected_reg)</f>
        <v/>
      </c>
      <c r="Q24" s="112"/>
      <c r="R24" t="str">
        <f t="shared" si="9"/>
        <v/>
      </c>
      <c r="S24" s="4" t="str">
        <f t="shared" si="10"/>
        <v/>
      </c>
      <c r="T24" s="4" t="str">
        <f t="shared" si="11"/>
        <v/>
      </c>
      <c r="U24" t="str">
        <f t="shared" si="12"/>
        <v/>
      </c>
      <c r="V24" s="70"/>
      <c r="W24" s="70"/>
      <c r="X24" s="70" t="str">
        <f t="shared" si="18"/>
        <v/>
      </c>
      <c r="Y24" s="70" t="str">
        <f t="shared" si="19"/>
        <v/>
      </c>
      <c r="Z24" s="70"/>
      <c r="AA24" s="70"/>
      <c r="AB24" s="70"/>
      <c r="AC24" s="70"/>
      <c r="AD24" s="70"/>
      <c r="AE24" s="70"/>
      <c r="AF24" s="70"/>
      <c r="AG24" s="70" t="str">
        <f t="shared" si="4"/>
        <v/>
      </c>
      <c r="AH24" s="67"/>
      <c r="AI24" s="70" t="str">
        <f t="shared" si="5"/>
        <v/>
      </c>
      <c r="AJ24" s="70"/>
      <c r="AK24" s="112" t="str">
        <f>INDEX(Sheet2!$AM$24:$AP$24,1,selected_regFD-4)</f>
        <v/>
      </c>
      <c r="AL24" s="112"/>
      <c r="AM24" t="str">
        <f t="shared" si="14"/>
        <v/>
      </c>
      <c r="AN24" t="str">
        <f t="shared" si="20"/>
        <v/>
      </c>
      <c r="AO24" t="str">
        <f t="shared" si="21"/>
        <v/>
      </c>
      <c r="AP24" t="str">
        <f t="shared" si="17"/>
        <v/>
      </c>
    </row>
    <row r="25" spans="1:42">
      <c r="A25" s="70"/>
      <c r="B25" s="70"/>
      <c r="C25" s="70" t="str">
        <f t="shared" si="2"/>
        <v/>
      </c>
      <c r="D25" s="70" t="str">
        <f t="shared" si="6"/>
        <v/>
      </c>
      <c r="E25" s="70"/>
      <c r="F25" s="70"/>
      <c r="G25" s="70"/>
      <c r="H25" s="70"/>
      <c r="I25" s="70"/>
      <c r="J25" s="70"/>
      <c r="K25" s="70" t="str">
        <f t="shared" si="7"/>
        <v/>
      </c>
      <c r="L25" s="70"/>
      <c r="M25" s="112" t="str">
        <f t="shared" si="8"/>
        <v/>
      </c>
      <c r="N25" s="112"/>
      <c r="O25" s="70"/>
      <c r="P25" s="112" t="str">
        <f>INDEX(Sheet2!$R$25:$U$25,1,selected_reg)</f>
        <v/>
      </c>
      <c r="Q25" s="112"/>
      <c r="R25" t="str">
        <f t="shared" si="9"/>
        <v/>
      </c>
      <c r="S25" s="4" t="str">
        <f t="shared" si="10"/>
        <v/>
      </c>
      <c r="T25" s="4" t="str">
        <f t="shared" si="11"/>
        <v/>
      </c>
      <c r="U25" t="str">
        <f t="shared" si="12"/>
        <v/>
      </c>
      <c r="V25" s="70"/>
      <c r="W25" s="70"/>
      <c r="X25" s="70" t="str">
        <f t="shared" si="18"/>
        <v/>
      </c>
      <c r="Y25" s="70" t="str">
        <f t="shared" si="19"/>
        <v/>
      </c>
      <c r="Z25" s="70"/>
      <c r="AA25" s="70"/>
      <c r="AB25" s="70"/>
      <c r="AC25" s="70"/>
      <c r="AD25" s="70"/>
      <c r="AE25" s="70"/>
      <c r="AF25" s="70"/>
      <c r="AG25" s="70" t="str">
        <f t="shared" si="4"/>
        <v/>
      </c>
      <c r="AH25" s="67"/>
      <c r="AI25" s="70" t="str">
        <f t="shared" si="5"/>
        <v/>
      </c>
      <c r="AJ25" s="70"/>
      <c r="AK25" s="112" t="str">
        <f>INDEX(Sheet2!$AM$25:$AP$25,1,selected_regFD-4)</f>
        <v/>
      </c>
      <c r="AL25" s="112"/>
      <c r="AM25" t="str">
        <f t="shared" si="14"/>
        <v/>
      </c>
      <c r="AN25" t="str">
        <f t="shared" si="20"/>
        <v/>
      </c>
      <c r="AO25" t="str">
        <f t="shared" si="21"/>
        <v/>
      </c>
      <c r="AP25" t="str">
        <f t="shared" si="17"/>
        <v/>
      </c>
    </row>
    <row r="26" spans="1:42">
      <c r="A26" s="70"/>
      <c r="B26" s="70"/>
      <c r="C26" s="70" t="str">
        <f t="shared" si="2"/>
        <v/>
      </c>
      <c r="D26" s="70" t="str">
        <f t="shared" si="6"/>
        <v/>
      </c>
      <c r="E26" s="70"/>
      <c r="F26" s="70"/>
      <c r="G26" s="70"/>
      <c r="H26" s="70"/>
      <c r="I26" s="70"/>
      <c r="J26" s="70"/>
      <c r="K26" s="70" t="str">
        <f t="shared" si="7"/>
        <v/>
      </c>
      <c r="L26" s="70"/>
      <c r="M26" s="112" t="str">
        <f t="shared" si="8"/>
        <v/>
      </c>
      <c r="N26" s="112"/>
      <c r="O26" s="70"/>
      <c r="P26" s="112" t="str">
        <f>INDEX(Sheet2!$R$26:$U$26,1,selected_reg)</f>
        <v/>
      </c>
      <c r="Q26" s="112"/>
      <c r="R26" t="str">
        <f t="shared" si="9"/>
        <v/>
      </c>
      <c r="S26" s="4" t="str">
        <f t="shared" si="10"/>
        <v/>
      </c>
      <c r="T26" s="4" t="str">
        <f t="shared" si="11"/>
        <v/>
      </c>
      <c r="U26" t="str">
        <f t="shared" si="12"/>
        <v/>
      </c>
      <c r="V26" s="70"/>
      <c r="W26" s="70"/>
      <c r="X26" s="70" t="str">
        <f t="shared" si="18"/>
        <v/>
      </c>
      <c r="Y26" s="70" t="str">
        <f t="shared" si="19"/>
        <v/>
      </c>
      <c r="Z26" s="70"/>
      <c r="AA26" s="70"/>
      <c r="AB26" s="70"/>
      <c r="AC26" s="70"/>
      <c r="AD26" s="70"/>
      <c r="AE26" s="70"/>
      <c r="AF26" s="70"/>
      <c r="AG26" s="70" t="str">
        <f t="shared" si="4"/>
        <v/>
      </c>
      <c r="AH26" s="67"/>
      <c r="AI26" s="70" t="str">
        <f t="shared" si="5"/>
        <v/>
      </c>
      <c r="AJ26" s="70"/>
      <c r="AK26" s="112" t="str">
        <f>INDEX(Sheet2!$AM$26:$AP$26,1,selected_regFD-4)</f>
        <v/>
      </c>
      <c r="AL26" s="112"/>
      <c r="AM26" t="str">
        <f t="shared" si="14"/>
        <v/>
      </c>
      <c r="AN26" t="str">
        <f t="shared" si="20"/>
        <v/>
      </c>
      <c r="AO26" t="str">
        <f t="shared" si="21"/>
        <v/>
      </c>
      <c r="AP26" t="str">
        <f t="shared" si="17"/>
        <v/>
      </c>
    </row>
    <row r="27" spans="1:42">
      <c r="A27" s="70"/>
      <c r="B27" s="70"/>
      <c r="C27" s="70" t="str">
        <f t="shared" si="2"/>
        <v/>
      </c>
      <c r="D27" s="70" t="str">
        <f t="shared" si="6"/>
        <v/>
      </c>
      <c r="E27" s="70"/>
      <c r="F27" s="70"/>
      <c r="G27" s="70"/>
      <c r="H27" s="70"/>
      <c r="I27" s="70"/>
      <c r="J27" s="70"/>
      <c r="K27" s="70" t="str">
        <f t="shared" si="7"/>
        <v/>
      </c>
      <c r="L27" s="70"/>
      <c r="M27" s="112" t="str">
        <f t="shared" si="8"/>
        <v/>
      </c>
      <c r="N27" s="112"/>
      <c r="O27" s="70"/>
      <c r="P27" s="112" t="str">
        <f>INDEX(Sheet2!$R$27:$U$27,1,selected_reg)</f>
        <v/>
      </c>
      <c r="Q27" s="112"/>
      <c r="R27" t="str">
        <f t="shared" si="9"/>
        <v/>
      </c>
      <c r="S27" s="4" t="str">
        <f t="shared" si="10"/>
        <v/>
      </c>
      <c r="T27" s="4" t="str">
        <f t="shared" si="11"/>
        <v/>
      </c>
      <c r="U27" t="str">
        <f t="shared" si="12"/>
        <v/>
      </c>
      <c r="V27" s="70"/>
      <c r="W27" s="70"/>
      <c r="X27" s="70" t="str">
        <f t="shared" si="18"/>
        <v/>
      </c>
      <c r="Y27" s="70" t="str">
        <f t="shared" si="19"/>
        <v/>
      </c>
      <c r="Z27" s="70"/>
      <c r="AA27" s="70"/>
      <c r="AB27" s="70"/>
      <c r="AC27" s="70"/>
      <c r="AD27" s="70"/>
      <c r="AE27" s="70"/>
      <c r="AF27" s="70"/>
      <c r="AG27" s="70" t="str">
        <f t="shared" si="4"/>
        <v/>
      </c>
      <c r="AH27" s="67"/>
      <c r="AI27" s="70" t="str">
        <f t="shared" si="5"/>
        <v/>
      </c>
      <c r="AJ27" s="70"/>
      <c r="AK27" s="112" t="str">
        <f>INDEX(Sheet2!$AM$27:$AP$27,1,selected_regFD-4)</f>
        <v/>
      </c>
      <c r="AL27" s="112"/>
      <c r="AM27" t="str">
        <f t="shared" si="14"/>
        <v/>
      </c>
      <c r="AN27" t="str">
        <f t="shared" si="20"/>
        <v/>
      </c>
      <c r="AO27" t="str">
        <f t="shared" si="21"/>
        <v/>
      </c>
      <c r="AP27" t="str">
        <f t="shared" si="17"/>
        <v/>
      </c>
    </row>
    <row r="28" spans="1:42">
      <c r="A28" s="70"/>
      <c r="B28" s="70"/>
      <c r="C28" s="70" t="str">
        <f t="shared" si="2"/>
        <v/>
      </c>
      <c r="D28" s="70" t="str">
        <f t="shared" si="6"/>
        <v/>
      </c>
      <c r="E28" s="70"/>
      <c r="F28" s="70"/>
      <c r="G28" s="70"/>
      <c r="H28" s="70"/>
      <c r="I28" s="70"/>
      <c r="J28" s="70"/>
      <c r="K28" s="70" t="str">
        <f t="shared" si="7"/>
        <v/>
      </c>
      <c r="L28" s="70"/>
      <c r="M28" s="112" t="str">
        <f t="shared" si="8"/>
        <v/>
      </c>
      <c r="N28" s="112"/>
      <c r="O28" s="70"/>
      <c r="P28" s="112" t="str">
        <f>INDEX(Sheet2!$R$28:$U$28,1,selected_reg)</f>
        <v/>
      </c>
      <c r="Q28" s="112"/>
      <c r="R28" t="str">
        <f t="shared" si="9"/>
        <v/>
      </c>
      <c r="S28" s="4" t="str">
        <f t="shared" si="10"/>
        <v/>
      </c>
      <c r="T28" s="4" t="str">
        <f t="shared" si="11"/>
        <v/>
      </c>
      <c r="U28" t="str">
        <f t="shared" si="12"/>
        <v/>
      </c>
      <c r="V28" s="70"/>
      <c r="W28" s="70"/>
      <c r="X28" s="70" t="str">
        <f t="shared" si="18"/>
        <v/>
      </c>
      <c r="Y28" s="70" t="str">
        <f t="shared" si="19"/>
        <v/>
      </c>
      <c r="Z28" s="70"/>
      <c r="AA28" s="70"/>
      <c r="AB28" s="70"/>
      <c r="AC28" s="70"/>
      <c r="AD28" s="70"/>
      <c r="AE28" s="70"/>
      <c r="AF28" s="70"/>
      <c r="AG28" s="70" t="str">
        <f t="shared" si="4"/>
        <v/>
      </c>
      <c r="AH28" s="67"/>
      <c r="AI28" s="70" t="str">
        <f t="shared" si="5"/>
        <v/>
      </c>
      <c r="AJ28" s="70"/>
      <c r="AK28" s="112" t="str">
        <f>INDEX(Sheet2!$AM$28:$AP$28,1,selected_regFD-4)</f>
        <v/>
      </c>
      <c r="AL28" s="112"/>
      <c r="AM28" t="str">
        <f t="shared" si="14"/>
        <v/>
      </c>
      <c r="AN28" t="str">
        <f t="shared" si="20"/>
        <v/>
      </c>
      <c r="AO28" t="str">
        <f t="shared" si="21"/>
        <v/>
      </c>
      <c r="AP28" t="str">
        <f t="shared" si="17"/>
        <v/>
      </c>
    </row>
    <row r="29" spans="1:42">
      <c r="A29" s="70"/>
      <c r="B29" s="70"/>
      <c r="C29" s="70" t="str">
        <f t="shared" si="2"/>
        <v/>
      </c>
      <c r="D29" s="70" t="str">
        <f t="shared" si="6"/>
        <v/>
      </c>
      <c r="E29" s="70"/>
      <c r="F29" s="70"/>
      <c r="G29" s="70"/>
      <c r="H29" s="70"/>
      <c r="I29" s="70"/>
      <c r="J29" s="70"/>
      <c r="K29" s="70" t="str">
        <f t="shared" si="7"/>
        <v/>
      </c>
      <c r="L29" s="70"/>
      <c r="M29" s="112" t="str">
        <f t="shared" si="8"/>
        <v/>
      </c>
      <c r="N29" s="112"/>
      <c r="O29" s="70"/>
      <c r="P29" s="112" t="str">
        <f>INDEX(Sheet2!$R$29:$U$29,1,selected_reg)</f>
        <v/>
      </c>
      <c r="Q29" s="112"/>
      <c r="R29" t="str">
        <f t="shared" si="9"/>
        <v/>
      </c>
      <c r="S29" s="4" t="str">
        <f t="shared" si="10"/>
        <v/>
      </c>
      <c r="T29" s="4" t="str">
        <f t="shared" si="11"/>
        <v/>
      </c>
      <c r="U29" t="str">
        <f t="shared" si="12"/>
        <v/>
      </c>
      <c r="V29" s="70"/>
      <c r="W29" s="70"/>
      <c r="X29" s="70" t="str">
        <f t="shared" si="18"/>
        <v/>
      </c>
      <c r="Y29" s="70" t="str">
        <f t="shared" si="19"/>
        <v/>
      </c>
      <c r="Z29" s="70"/>
      <c r="AA29" s="70"/>
      <c r="AB29" s="70"/>
      <c r="AC29" s="70"/>
      <c r="AD29" s="70"/>
      <c r="AE29" s="70"/>
      <c r="AF29" s="70"/>
      <c r="AG29" s="70" t="str">
        <f t="shared" si="4"/>
        <v/>
      </c>
      <c r="AH29" s="67"/>
      <c r="AI29" s="70" t="str">
        <f t="shared" si="5"/>
        <v/>
      </c>
      <c r="AJ29" s="70"/>
      <c r="AK29" s="112" t="str">
        <f>INDEX(Sheet2!$AM$29:$AP$29,1,selected_regFD-4)</f>
        <v/>
      </c>
      <c r="AL29" s="112"/>
      <c r="AM29" t="str">
        <f t="shared" si="14"/>
        <v/>
      </c>
      <c r="AN29" t="str">
        <f t="shared" si="20"/>
        <v/>
      </c>
      <c r="AO29" t="str">
        <f t="shared" si="21"/>
        <v/>
      </c>
      <c r="AP29" t="str">
        <f t="shared" si="17"/>
        <v/>
      </c>
    </row>
    <row r="30" spans="1:42">
      <c r="A30" s="70"/>
      <c r="B30" s="70"/>
      <c r="C30" s="70" t="str">
        <f t="shared" si="2"/>
        <v/>
      </c>
      <c r="D30" s="70" t="str">
        <f t="shared" si="6"/>
        <v/>
      </c>
      <c r="E30" s="70"/>
      <c r="F30" s="70"/>
      <c r="G30" s="70"/>
      <c r="H30" s="70"/>
      <c r="I30" s="70"/>
      <c r="J30" s="70"/>
      <c r="K30" s="70" t="str">
        <f t="shared" si="7"/>
        <v/>
      </c>
      <c r="L30" s="70"/>
      <c r="M30" s="112" t="str">
        <f t="shared" si="8"/>
        <v/>
      </c>
      <c r="N30" s="112"/>
      <c r="O30" s="70"/>
      <c r="P30" s="112" t="str">
        <f>INDEX(Sheet2!$R$30:$U$30,1,selected_reg)</f>
        <v/>
      </c>
      <c r="Q30" s="112"/>
      <c r="R30" t="str">
        <f t="shared" si="9"/>
        <v/>
      </c>
      <c r="S30" s="4" t="str">
        <f t="shared" si="10"/>
        <v/>
      </c>
      <c r="T30" s="4" t="str">
        <f t="shared" si="11"/>
        <v/>
      </c>
      <c r="U30" t="str">
        <f t="shared" si="12"/>
        <v/>
      </c>
      <c r="V30" s="70"/>
      <c r="W30" s="70"/>
      <c r="X30" s="70" t="str">
        <f t="shared" si="18"/>
        <v/>
      </c>
      <c r="Y30" s="70" t="str">
        <f t="shared" si="19"/>
        <v/>
      </c>
      <c r="Z30" s="70"/>
      <c r="AA30" s="70"/>
      <c r="AB30" s="70"/>
      <c r="AC30" s="70"/>
      <c r="AD30" s="70"/>
      <c r="AE30" s="70"/>
      <c r="AF30" s="70"/>
      <c r="AG30" s="70" t="str">
        <f t="shared" si="4"/>
        <v/>
      </c>
      <c r="AH30" s="67"/>
      <c r="AI30" s="70" t="str">
        <f t="shared" si="5"/>
        <v/>
      </c>
      <c r="AJ30" s="70"/>
      <c r="AK30" s="112" t="str">
        <f>INDEX(Sheet2!$AM$30:$AP$30,1,selected_regFD-4)</f>
        <v/>
      </c>
      <c r="AL30" s="112"/>
      <c r="AM30" t="str">
        <f t="shared" si="14"/>
        <v/>
      </c>
      <c r="AN30" t="str">
        <f t="shared" si="20"/>
        <v/>
      </c>
      <c r="AO30" t="str">
        <f t="shared" si="21"/>
        <v/>
      </c>
      <c r="AP30" t="str">
        <f t="shared" si="17"/>
        <v/>
      </c>
    </row>
    <row r="31" spans="1:42">
      <c r="A31" s="70"/>
      <c r="B31" s="70"/>
      <c r="C31" s="70" t="str">
        <f t="shared" si="2"/>
        <v/>
      </c>
      <c r="D31" s="70" t="str">
        <f t="shared" si="6"/>
        <v/>
      </c>
      <c r="E31" s="70"/>
      <c r="F31" s="70"/>
      <c r="G31" s="70"/>
      <c r="H31" s="70"/>
      <c r="I31" s="70"/>
      <c r="J31" s="70"/>
      <c r="K31" s="70" t="str">
        <f t="shared" si="7"/>
        <v/>
      </c>
      <c r="L31" s="70"/>
      <c r="M31" s="112" t="str">
        <f t="shared" si="8"/>
        <v/>
      </c>
      <c r="N31" s="112"/>
      <c r="O31" s="70"/>
      <c r="P31" s="112" t="str">
        <f>INDEX(Sheet2!$R$31:$U$31,1,selected_reg)</f>
        <v/>
      </c>
      <c r="Q31" s="112"/>
      <c r="R31" t="str">
        <f t="shared" si="9"/>
        <v/>
      </c>
      <c r="S31" s="4" t="str">
        <f t="shared" si="10"/>
        <v/>
      </c>
      <c r="T31" s="4" t="str">
        <f t="shared" si="11"/>
        <v/>
      </c>
      <c r="U31" t="str">
        <f t="shared" si="12"/>
        <v/>
      </c>
      <c r="V31" s="70"/>
      <c r="W31" s="70"/>
      <c r="X31" s="70" t="str">
        <f t="shared" si="18"/>
        <v/>
      </c>
      <c r="Y31" s="70" t="str">
        <f t="shared" si="19"/>
        <v/>
      </c>
      <c r="Z31" s="70"/>
      <c r="AA31" s="70"/>
      <c r="AB31" s="70"/>
      <c r="AC31" s="70"/>
      <c r="AD31" s="70"/>
      <c r="AE31" s="70"/>
      <c r="AF31" s="70"/>
      <c r="AG31" s="70" t="str">
        <f t="shared" si="4"/>
        <v/>
      </c>
      <c r="AH31" s="67"/>
      <c r="AI31" s="70" t="str">
        <f t="shared" si="5"/>
        <v/>
      </c>
      <c r="AJ31" s="70"/>
      <c r="AK31" s="112" t="str">
        <f>INDEX(Sheet2!$AM$31:$AP$31,1,selected_regFD-4)</f>
        <v/>
      </c>
      <c r="AL31" s="112"/>
      <c r="AM31" t="str">
        <f t="shared" si="14"/>
        <v/>
      </c>
      <c r="AN31" t="str">
        <f t="shared" si="20"/>
        <v/>
      </c>
      <c r="AO31" t="str">
        <f t="shared" si="21"/>
        <v/>
      </c>
      <c r="AP31" t="str">
        <f t="shared" si="17"/>
        <v/>
      </c>
    </row>
    <row r="32" spans="1:42">
      <c r="A32" s="70"/>
      <c r="B32" s="70"/>
      <c r="C32" s="70" t="str">
        <f t="shared" si="2"/>
        <v/>
      </c>
      <c r="D32" s="70" t="str">
        <f t="shared" si="6"/>
        <v/>
      </c>
      <c r="E32" s="70"/>
      <c r="F32" s="70"/>
      <c r="G32" s="70"/>
      <c r="H32" s="70"/>
      <c r="I32" s="70"/>
      <c r="J32" s="70"/>
      <c r="K32" s="70" t="str">
        <f t="shared" si="7"/>
        <v/>
      </c>
      <c r="L32" s="70"/>
      <c r="M32" s="112" t="str">
        <f t="shared" si="8"/>
        <v/>
      </c>
      <c r="N32" s="112"/>
      <c r="O32" s="70"/>
      <c r="P32" s="112" t="str">
        <f>INDEX(Sheet2!$R$32:$U$32,1,selected_reg)</f>
        <v/>
      </c>
      <c r="Q32" s="112"/>
      <c r="R32" t="str">
        <f t="shared" si="9"/>
        <v/>
      </c>
      <c r="S32" s="4" t="str">
        <f t="shared" si="10"/>
        <v/>
      </c>
      <c r="T32" s="4" t="str">
        <f t="shared" si="11"/>
        <v/>
      </c>
      <c r="U32" t="str">
        <f t="shared" si="12"/>
        <v/>
      </c>
      <c r="V32" s="70"/>
      <c r="W32" s="70"/>
      <c r="X32" s="70" t="str">
        <f t="shared" si="18"/>
        <v/>
      </c>
      <c r="Y32" s="70" t="str">
        <f t="shared" si="19"/>
        <v/>
      </c>
      <c r="Z32" s="70"/>
      <c r="AA32" s="70"/>
      <c r="AB32" s="70"/>
      <c r="AC32" s="70"/>
      <c r="AD32" s="70"/>
      <c r="AE32" s="70"/>
      <c r="AF32" s="70"/>
      <c r="AG32" s="70" t="str">
        <f t="shared" si="4"/>
        <v/>
      </c>
      <c r="AH32" s="67"/>
      <c r="AI32" s="70" t="str">
        <f t="shared" si="5"/>
        <v/>
      </c>
      <c r="AJ32" s="70"/>
      <c r="AK32" s="112" t="str">
        <f>INDEX(Sheet2!$AM$32:$AP$32,1,selected_regFD-4)</f>
        <v/>
      </c>
      <c r="AL32" s="112"/>
      <c r="AM32" t="str">
        <f t="shared" si="14"/>
        <v/>
      </c>
      <c r="AN32" t="str">
        <f t="shared" si="20"/>
        <v/>
      </c>
      <c r="AO32" t="str">
        <f t="shared" si="21"/>
        <v/>
      </c>
      <c r="AP32" t="str">
        <f t="shared" si="17"/>
        <v/>
      </c>
    </row>
    <row r="33" spans="1:42">
      <c r="A33" s="70"/>
      <c r="B33" s="70"/>
      <c r="C33" s="70" t="str">
        <f t="shared" si="2"/>
        <v/>
      </c>
      <c r="D33" s="70" t="str">
        <f t="shared" si="6"/>
        <v/>
      </c>
      <c r="E33" s="70"/>
      <c r="F33" s="70"/>
      <c r="G33" s="70"/>
      <c r="H33" s="70"/>
      <c r="I33" s="70"/>
      <c r="J33" s="70"/>
      <c r="K33" s="70" t="str">
        <f t="shared" si="7"/>
        <v/>
      </c>
      <c r="L33" s="70"/>
      <c r="M33" s="112" t="str">
        <f t="shared" si="8"/>
        <v/>
      </c>
      <c r="N33" s="112"/>
      <c r="O33" s="70"/>
      <c r="P33" s="112" t="str">
        <f>INDEX(Sheet2!$R$33:$U$33,1,selected_reg)</f>
        <v/>
      </c>
      <c r="Q33" s="112"/>
      <c r="R33" t="str">
        <f t="shared" si="9"/>
        <v/>
      </c>
      <c r="S33" s="4" t="str">
        <f t="shared" si="10"/>
        <v/>
      </c>
      <c r="T33" s="4" t="str">
        <f t="shared" si="11"/>
        <v/>
      </c>
      <c r="U33" t="str">
        <f t="shared" si="12"/>
        <v/>
      </c>
      <c r="V33" s="70"/>
      <c r="W33" s="70"/>
      <c r="X33" s="70" t="str">
        <f t="shared" si="18"/>
        <v/>
      </c>
      <c r="Y33" s="70" t="str">
        <f t="shared" si="19"/>
        <v/>
      </c>
      <c r="Z33" s="70"/>
      <c r="AA33" s="70"/>
      <c r="AB33" s="70"/>
      <c r="AC33" s="70"/>
      <c r="AD33" s="70"/>
      <c r="AE33" s="70"/>
      <c r="AF33" s="70"/>
      <c r="AG33" s="70" t="str">
        <f t="shared" si="4"/>
        <v/>
      </c>
      <c r="AH33" s="67"/>
      <c r="AI33" s="70" t="str">
        <f t="shared" si="5"/>
        <v/>
      </c>
      <c r="AJ33" s="70"/>
      <c r="AK33" s="112" t="str">
        <f>INDEX(Sheet2!$AM$33:$AP$33,1,selected_regFD-4)</f>
        <v/>
      </c>
      <c r="AL33" s="112"/>
      <c r="AM33" t="str">
        <f t="shared" si="14"/>
        <v/>
      </c>
      <c r="AN33" t="str">
        <f t="shared" si="20"/>
        <v/>
      </c>
      <c r="AO33" t="str">
        <f t="shared" si="21"/>
        <v/>
      </c>
      <c r="AP33" t="str">
        <f t="shared" si="17"/>
        <v/>
      </c>
    </row>
    <row r="34" spans="1:42">
      <c r="A34" s="70"/>
      <c r="B34" s="70"/>
      <c r="C34" s="70" t="str">
        <f t="shared" si="2"/>
        <v/>
      </c>
      <c r="D34" s="70" t="str">
        <f t="shared" si="6"/>
        <v/>
      </c>
      <c r="E34" s="70"/>
      <c r="F34" s="70"/>
      <c r="G34" s="70"/>
      <c r="H34" s="70"/>
      <c r="I34" s="70"/>
      <c r="J34" s="70"/>
      <c r="K34" s="70" t="str">
        <f t="shared" si="7"/>
        <v/>
      </c>
      <c r="L34" s="70"/>
      <c r="M34" s="112" t="str">
        <f t="shared" si="8"/>
        <v/>
      </c>
      <c r="N34" s="112"/>
      <c r="O34" s="70"/>
      <c r="P34" s="112" t="str">
        <f>INDEX(Sheet2!$R$34:$U$34,1,selected_reg)</f>
        <v/>
      </c>
      <c r="Q34" s="112"/>
      <c r="R34" t="str">
        <f t="shared" si="9"/>
        <v/>
      </c>
      <c r="S34" s="4" t="str">
        <f t="shared" si="10"/>
        <v/>
      </c>
      <c r="T34" s="4" t="str">
        <f t="shared" si="11"/>
        <v/>
      </c>
      <c r="U34" t="str">
        <f t="shared" si="12"/>
        <v/>
      </c>
      <c r="V34" s="70"/>
      <c r="W34" s="70"/>
      <c r="X34" s="70" t="str">
        <f t="shared" si="18"/>
        <v/>
      </c>
      <c r="Y34" s="70" t="str">
        <f t="shared" si="19"/>
        <v/>
      </c>
      <c r="Z34" s="70"/>
      <c r="AA34" s="70"/>
      <c r="AB34" s="70"/>
      <c r="AC34" s="70"/>
      <c r="AD34" s="70"/>
      <c r="AE34" s="70"/>
      <c r="AF34" s="70"/>
      <c r="AG34" s="70" t="str">
        <f t="shared" si="4"/>
        <v/>
      </c>
      <c r="AH34" s="67"/>
      <c r="AI34" s="70" t="str">
        <f t="shared" si="5"/>
        <v/>
      </c>
      <c r="AJ34" s="70"/>
      <c r="AK34" s="112" t="str">
        <f>INDEX(Sheet2!$AM$34:$AP$34,1,selected_regFD-4)</f>
        <v/>
      </c>
      <c r="AL34" s="112"/>
      <c r="AM34" t="str">
        <f t="shared" si="14"/>
        <v/>
      </c>
      <c r="AN34" t="str">
        <f t="shared" si="20"/>
        <v/>
      </c>
      <c r="AO34" t="str">
        <f t="shared" si="21"/>
        <v/>
      </c>
      <c r="AP34" t="str">
        <f t="shared" si="17"/>
        <v/>
      </c>
    </row>
    <row r="35" spans="1:42">
      <c r="A35" s="70"/>
      <c r="B35" s="70"/>
      <c r="C35" s="70" t="str">
        <f t="shared" si="2"/>
        <v/>
      </c>
      <c r="D35" s="70" t="str">
        <f t="shared" si="6"/>
        <v/>
      </c>
      <c r="E35" s="70"/>
      <c r="F35" s="70"/>
      <c r="G35" s="70"/>
      <c r="H35" s="70"/>
      <c r="I35" s="70"/>
      <c r="J35" s="70"/>
      <c r="K35" s="70" t="str">
        <f t="shared" si="7"/>
        <v/>
      </c>
      <c r="L35" s="70"/>
      <c r="M35" s="112" t="str">
        <f t="shared" si="8"/>
        <v/>
      </c>
      <c r="N35" s="112"/>
      <c r="O35" s="70"/>
      <c r="P35" s="112" t="str">
        <f>INDEX(Sheet2!$R$35:$U$35,1,selected_reg)</f>
        <v/>
      </c>
      <c r="Q35" s="112"/>
      <c r="R35" t="str">
        <f t="shared" si="9"/>
        <v/>
      </c>
      <c r="S35" s="4" t="str">
        <f t="shared" si="10"/>
        <v/>
      </c>
      <c r="T35" s="4" t="str">
        <f t="shared" si="11"/>
        <v/>
      </c>
      <c r="U35" t="str">
        <f t="shared" si="12"/>
        <v/>
      </c>
      <c r="V35" s="70"/>
      <c r="W35" s="70"/>
      <c r="X35" s="70" t="str">
        <f t="shared" si="18"/>
        <v/>
      </c>
      <c r="Y35" s="70" t="str">
        <f t="shared" si="19"/>
        <v/>
      </c>
      <c r="Z35" s="70"/>
      <c r="AA35" s="70"/>
      <c r="AB35" s="70"/>
      <c r="AC35" s="70"/>
      <c r="AD35" s="70"/>
      <c r="AE35" s="70"/>
      <c r="AF35" s="70"/>
      <c r="AG35" s="70" t="str">
        <f t="shared" si="4"/>
        <v/>
      </c>
      <c r="AH35" s="67"/>
      <c r="AI35" s="70" t="str">
        <f t="shared" si="5"/>
        <v/>
      </c>
      <c r="AJ35" s="70"/>
      <c r="AK35" s="112" t="str">
        <f>INDEX(Sheet2!$AM$35:$AP$35,1,selected_regFD-4)</f>
        <v/>
      </c>
      <c r="AL35" s="112"/>
      <c r="AM35" t="str">
        <f t="shared" si="14"/>
        <v/>
      </c>
      <c r="AN35" t="str">
        <f t="shared" si="20"/>
        <v/>
      </c>
      <c r="AO35" t="str">
        <f t="shared" si="21"/>
        <v/>
      </c>
      <c r="AP35" t="str">
        <f t="shared" si="17"/>
        <v/>
      </c>
    </row>
    <row r="36" spans="1:42">
      <c r="A36" s="70"/>
      <c r="B36" s="70"/>
      <c r="C36" s="70" t="str">
        <f t="shared" si="2"/>
        <v/>
      </c>
      <c r="D36" s="70" t="str">
        <f t="shared" si="6"/>
        <v/>
      </c>
      <c r="E36" s="70"/>
      <c r="F36" s="70"/>
      <c r="G36" s="70"/>
      <c r="H36" s="70"/>
      <c r="I36" s="70"/>
      <c r="J36" s="70"/>
      <c r="K36" s="70" t="str">
        <f t="shared" si="7"/>
        <v/>
      </c>
      <c r="L36" s="70"/>
      <c r="M36" s="112" t="str">
        <f t="shared" si="8"/>
        <v/>
      </c>
      <c r="N36" s="112"/>
      <c r="O36" s="70"/>
      <c r="P36" s="112" t="str">
        <f>INDEX(Sheet2!$R$36:$U$36,1,selected_reg)</f>
        <v/>
      </c>
      <c r="Q36" s="112"/>
      <c r="R36" t="str">
        <f t="shared" si="9"/>
        <v/>
      </c>
      <c r="S36" s="4" t="str">
        <f t="shared" si="10"/>
        <v/>
      </c>
      <c r="T36" s="4" t="str">
        <f t="shared" si="11"/>
        <v/>
      </c>
      <c r="U36" t="str">
        <f t="shared" si="12"/>
        <v/>
      </c>
      <c r="V36" s="70"/>
      <c r="W36" s="70"/>
      <c r="X36" s="70" t="str">
        <f t="shared" si="18"/>
        <v/>
      </c>
      <c r="Y36" s="70" t="str">
        <f t="shared" si="19"/>
        <v/>
      </c>
      <c r="Z36" s="70"/>
      <c r="AA36" s="70"/>
      <c r="AB36" s="70"/>
      <c r="AC36" s="70"/>
      <c r="AD36" s="70"/>
      <c r="AE36" s="70"/>
      <c r="AF36" s="70"/>
      <c r="AG36" s="70" t="str">
        <f t="shared" si="4"/>
        <v/>
      </c>
      <c r="AH36" s="67"/>
      <c r="AI36" s="70" t="str">
        <f t="shared" si="5"/>
        <v/>
      </c>
      <c r="AJ36" s="70"/>
      <c r="AK36" s="112" t="str">
        <f>INDEX(Sheet2!$AM$36:$AP$36,1,selected_regFD-4)</f>
        <v/>
      </c>
      <c r="AL36" s="112"/>
      <c r="AM36" t="str">
        <f t="shared" si="14"/>
        <v/>
      </c>
      <c r="AN36" t="str">
        <f t="shared" si="20"/>
        <v/>
      </c>
      <c r="AO36" t="str">
        <f t="shared" si="21"/>
        <v/>
      </c>
      <c r="AP36" t="str">
        <f t="shared" si="17"/>
        <v/>
      </c>
    </row>
    <row r="37" spans="1:42">
      <c r="A37" s="70"/>
      <c r="B37" s="70"/>
      <c r="C37" s="70" t="str">
        <f t="shared" si="2"/>
        <v/>
      </c>
      <c r="D37" s="70" t="str">
        <f t="shared" si="6"/>
        <v/>
      </c>
      <c r="E37" s="70"/>
      <c r="F37" s="70"/>
      <c r="G37" s="70"/>
      <c r="H37" s="70"/>
      <c r="I37" s="70"/>
      <c r="J37" s="70"/>
      <c r="K37" s="70" t="str">
        <f t="shared" si="7"/>
        <v/>
      </c>
      <c r="L37" s="70"/>
      <c r="M37" s="112" t="str">
        <f t="shared" si="8"/>
        <v/>
      </c>
      <c r="N37" s="112"/>
      <c r="O37" s="70"/>
      <c r="P37" s="112" t="str">
        <f>INDEX(Sheet2!$R$37:$U$37,1,selected_reg)</f>
        <v/>
      </c>
      <c r="Q37" s="112"/>
      <c r="R37" t="str">
        <f t="shared" si="9"/>
        <v/>
      </c>
      <c r="S37" s="4" t="str">
        <f t="shared" si="10"/>
        <v/>
      </c>
      <c r="T37" s="4" t="str">
        <f t="shared" si="11"/>
        <v/>
      </c>
      <c r="U37" t="str">
        <f t="shared" si="12"/>
        <v/>
      </c>
      <c r="V37" s="70"/>
      <c r="W37" s="70"/>
      <c r="X37" s="70" t="str">
        <f t="shared" si="18"/>
        <v/>
      </c>
      <c r="Y37" s="70" t="str">
        <f t="shared" si="19"/>
        <v/>
      </c>
      <c r="Z37" s="70"/>
      <c r="AA37" s="70"/>
      <c r="AB37" s="70"/>
      <c r="AC37" s="70"/>
      <c r="AD37" s="70"/>
      <c r="AE37" s="70"/>
      <c r="AF37" s="70"/>
      <c r="AG37" s="70" t="str">
        <f t="shared" si="4"/>
        <v/>
      </c>
      <c r="AH37" s="67"/>
      <c r="AI37" s="70" t="str">
        <f t="shared" si="5"/>
        <v/>
      </c>
      <c r="AJ37" s="70"/>
      <c r="AK37" s="112" t="str">
        <f>INDEX(Sheet2!$AM$37:$AP$37,1,selected_regFD-4)</f>
        <v/>
      </c>
      <c r="AL37" s="112"/>
      <c r="AM37" t="str">
        <f t="shared" si="14"/>
        <v/>
      </c>
      <c r="AN37" t="str">
        <f t="shared" si="20"/>
        <v/>
      </c>
      <c r="AO37" t="str">
        <f t="shared" si="21"/>
        <v/>
      </c>
      <c r="AP37" t="str">
        <f t="shared" si="17"/>
        <v/>
      </c>
    </row>
    <row r="38" spans="1:42">
      <c r="A38" s="70"/>
      <c r="B38" s="70"/>
      <c r="C38" s="70" t="str">
        <f t="shared" si="2"/>
        <v/>
      </c>
      <c r="D38" s="70" t="str">
        <f t="shared" si="6"/>
        <v/>
      </c>
      <c r="E38" s="70"/>
      <c r="F38" s="70"/>
      <c r="G38" s="70"/>
      <c r="H38" s="70"/>
      <c r="I38" s="70"/>
      <c r="J38" s="70"/>
      <c r="K38" s="70" t="str">
        <f t="shared" si="7"/>
        <v/>
      </c>
      <c r="L38" s="70"/>
      <c r="M38" s="112" t="str">
        <f t="shared" si="8"/>
        <v/>
      </c>
      <c r="N38" s="112"/>
      <c r="O38" s="70"/>
      <c r="P38" s="112" t="str">
        <f>INDEX(Sheet2!$R$38:$U$38,1,selected_reg)</f>
        <v/>
      </c>
      <c r="Q38" s="112"/>
      <c r="R38" t="str">
        <f t="shared" si="9"/>
        <v/>
      </c>
      <c r="S38" s="4" t="str">
        <f t="shared" si="10"/>
        <v/>
      </c>
      <c r="T38" s="4" t="str">
        <f t="shared" si="11"/>
        <v/>
      </c>
      <c r="U38" t="str">
        <f t="shared" si="12"/>
        <v/>
      </c>
      <c r="V38" s="70"/>
      <c r="W38" s="70"/>
      <c r="X38" s="70" t="str">
        <f t="shared" si="18"/>
        <v/>
      </c>
      <c r="Y38" s="70" t="str">
        <f t="shared" si="19"/>
        <v/>
      </c>
      <c r="Z38" s="70"/>
      <c r="AA38" s="70"/>
      <c r="AB38" s="70"/>
      <c r="AC38" s="70"/>
      <c r="AD38" s="70"/>
      <c r="AE38" s="70"/>
      <c r="AF38" s="70"/>
      <c r="AG38" s="70" t="str">
        <f t="shared" si="4"/>
        <v/>
      </c>
      <c r="AH38" s="67"/>
      <c r="AI38" s="70" t="str">
        <f t="shared" si="5"/>
        <v/>
      </c>
      <c r="AJ38" s="70"/>
      <c r="AK38" s="112" t="str">
        <f>INDEX(Sheet2!$AM$38:$AP$38,1,selected_regFD-4)</f>
        <v/>
      </c>
      <c r="AL38" s="112"/>
      <c r="AM38" t="str">
        <f t="shared" si="14"/>
        <v/>
      </c>
      <c r="AN38" t="str">
        <f t="shared" si="20"/>
        <v/>
      </c>
      <c r="AO38" t="str">
        <f t="shared" si="21"/>
        <v/>
      </c>
      <c r="AP38" t="str">
        <f t="shared" si="17"/>
        <v/>
      </c>
    </row>
    <row r="39" spans="1:42">
      <c r="A39" s="70"/>
      <c r="B39" s="70"/>
      <c r="C39" s="70" t="str">
        <f t="shared" si="2"/>
        <v/>
      </c>
      <c r="D39" s="70" t="str">
        <f t="shared" si="6"/>
        <v/>
      </c>
      <c r="E39" s="70"/>
      <c r="F39" s="70"/>
      <c r="G39" s="70"/>
      <c r="H39" s="70"/>
      <c r="I39" s="70"/>
      <c r="J39" s="70"/>
      <c r="K39" s="70" t="str">
        <f t="shared" si="7"/>
        <v/>
      </c>
      <c r="L39" s="70"/>
      <c r="M39" s="112" t="str">
        <f t="shared" si="8"/>
        <v/>
      </c>
      <c r="N39" s="112"/>
      <c r="O39" s="70"/>
      <c r="P39" s="112" t="str">
        <f>INDEX(Sheet2!$R$39:$U$39,1,selected_reg)</f>
        <v/>
      </c>
      <c r="Q39" s="112"/>
      <c r="R39" t="str">
        <f t="shared" si="9"/>
        <v/>
      </c>
      <c r="S39" s="4" t="str">
        <f t="shared" si="10"/>
        <v/>
      </c>
      <c r="T39" s="4" t="str">
        <f t="shared" si="11"/>
        <v/>
      </c>
      <c r="U39" t="str">
        <f t="shared" si="12"/>
        <v/>
      </c>
      <c r="V39" s="70"/>
      <c r="W39" s="70"/>
      <c r="X39" s="70" t="str">
        <f t="shared" si="18"/>
        <v/>
      </c>
      <c r="Y39" s="70" t="str">
        <f t="shared" si="19"/>
        <v/>
      </c>
      <c r="Z39" s="70"/>
      <c r="AA39" s="70"/>
      <c r="AB39" s="70"/>
      <c r="AC39" s="70"/>
      <c r="AD39" s="70"/>
      <c r="AE39" s="70"/>
      <c r="AF39" s="70"/>
      <c r="AG39" s="70" t="str">
        <f t="shared" si="4"/>
        <v/>
      </c>
      <c r="AH39" s="67"/>
      <c r="AI39" s="70" t="str">
        <f t="shared" si="5"/>
        <v/>
      </c>
      <c r="AJ39" s="70"/>
      <c r="AK39" s="112" t="str">
        <f>INDEX(Sheet2!$AM$39:$AP$39,1,selected_regFD-4)</f>
        <v/>
      </c>
      <c r="AL39" s="112"/>
      <c r="AM39" t="str">
        <f t="shared" si="14"/>
        <v/>
      </c>
      <c r="AN39" t="str">
        <f t="shared" si="20"/>
        <v/>
      </c>
      <c r="AO39" t="str">
        <f t="shared" si="21"/>
        <v/>
      </c>
      <c r="AP39" t="str">
        <f t="shared" si="17"/>
        <v/>
      </c>
    </row>
    <row r="40" spans="1:42">
      <c r="A40" s="70"/>
      <c r="B40" s="70"/>
      <c r="C40" s="70" t="str">
        <f t="shared" si="2"/>
        <v/>
      </c>
      <c r="D40" s="70" t="str">
        <f t="shared" si="6"/>
        <v/>
      </c>
      <c r="E40" s="70"/>
      <c r="F40" s="70"/>
      <c r="G40" s="70"/>
      <c r="H40" s="70"/>
      <c r="I40" s="70"/>
      <c r="J40" s="70"/>
      <c r="K40" s="70" t="str">
        <f t="shared" si="7"/>
        <v/>
      </c>
      <c r="L40" s="70"/>
      <c r="M40" s="112" t="str">
        <f t="shared" si="8"/>
        <v/>
      </c>
      <c r="N40" s="112"/>
      <c r="O40" s="70"/>
      <c r="P40" s="112" t="str">
        <f>INDEX(Sheet2!$R$40:$U$40,1,selected_reg)</f>
        <v/>
      </c>
      <c r="Q40" s="112"/>
      <c r="R40" t="str">
        <f t="shared" si="9"/>
        <v/>
      </c>
      <c r="S40" s="4" t="str">
        <f t="shared" si="10"/>
        <v/>
      </c>
      <c r="T40" s="4" t="str">
        <f t="shared" si="11"/>
        <v/>
      </c>
      <c r="U40" t="str">
        <f t="shared" si="12"/>
        <v/>
      </c>
      <c r="V40" s="70"/>
      <c r="W40" s="70"/>
      <c r="X40" s="70" t="str">
        <f t="shared" si="18"/>
        <v/>
      </c>
      <c r="Y40" s="70" t="str">
        <f t="shared" si="19"/>
        <v/>
      </c>
      <c r="Z40" s="70"/>
      <c r="AA40" s="70"/>
      <c r="AB40" s="70"/>
      <c r="AC40" s="70"/>
      <c r="AD40" s="70"/>
      <c r="AE40" s="70"/>
      <c r="AF40" s="70"/>
      <c r="AG40" s="70" t="str">
        <f t="shared" si="4"/>
        <v/>
      </c>
      <c r="AH40" s="67"/>
      <c r="AI40" s="70" t="str">
        <f t="shared" si="5"/>
        <v/>
      </c>
      <c r="AJ40" s="70"/>
      <c r="AK40" s="112" t="str">
        <f>INDEX(Sheet2!$AM$40:$AP$40,1,selected_regFD-4)</f>
        <v/>
      </c>
      <c r="AL40" s="112"/>
      <c r="AM40" t="str">
        <f t="shared" si="14"/>
        <v/>
      </c>
      <c r="AN40" t="str">
        <f t="shared" si="20"/>
        <v/>
      </c>
      <c r="AO40" t="str">
        <f t="shared" si="21"/>
        <v/>
      </c>
      <c r="AP40" t="str">
        <f t="shared" si="17"/>
        <v/>
      </c>
    </row>
    <row r="41" spans="1:42">
      <c r="M41" t="str">
        <f t="shared" ref="M41:M46" si="22">IF(ISNUMBER(B41),"0x"&amp;DEC2HEX(POWER(2,31)+(POWER(2,21)*(B41-1))+((I41-1)*POWER(2,16))+((G41-1)*POWER(2,5))+((H41-1))+(F41-1)*POWER(2,10)+0,8),"")</f>
        <v/>
      </c>
      <c r="V41" s="67"/>
      <c r="W41" s="67"/>
      <c r="X41" s="67"/>
      <c r="Y41" s="67" t="str">
        <f t="shared" ref="Y41" si="23">IF(ISNUMBER(B41),$C$2*1000/$F$3/W41,"")</f>
        <v/>
      </c>
      <c r="Z41" s="67"/>
      <c r="AA41" s="67"/>
      <c r="AB41" s="67"/>
      <c r="AC41" s="67"/>
      <c r="AD41" s="67"/>
      <c r="AE41" s="67"/>
      <c r="AF41" s="67"/>
      <c r="AG41" s="70" t="str">
        <f t="shared" si="4"/>
        <v/>
      </c>
      <c r="AH41" s="67"/>
      <c r="AI41" s="70" t="str">
        <f t="shared" si="5"/>
        <v/>
      </c>
      <c r="AJ41" s="67"/>
      <c r="AK41" s="67"/>
      <c r="AL41" s="67"/>
    </row>
    <row r="42" spans="1:42">
      <c r="L42" t="str">
        <f t="shared" ref="L42:L54" si="24">IF(ISNUMBER(B42),"0x"&amp;DEC2HEX((POWER(2,16)*(B42-1))+((F42+G42-2)*POWER(2,8))+((H42-1)*POWER(2,4))+(I42-1)+0,8),"")</f>
        <v/>
      </c>
      <c r="M42" t="str">
        <f t="shared" si="22"/>
        <v/>
      </c>
    </row>
    <row r="43" spans="1:42">
      <c r="L43" t="str">
        <f t="shared" si="24"/>
        <v/>
      </c>
      <c r="M43" t="str">
        <f t="shared" si="22"/>
        <v/>
      </c>
    </row>
    <row r="44" spans="1:42">
      <c r="L44" t="str">
        <f t="shared" si="24"/>
        <v/>
      </c>
      <c r="M44" t="str">
        <f t="shared" si="22"/>
        <v/>
      </c>
    </row>
    <row r="45" spans="1:42">
      <c r="L45" t="str">
        <f>IF(ISNUMBER(B45),"0x"&amp;DEC2HEX((POWER(2,16)*(B45-1))+((F45+G45-2)*POWER(2,8))+((H45-1)*POWER(2,4))+(I45-1)+0,8),"")</f>
        <v/>
      </c>
      <c r="M45" t="str">
        <f t="shared" si="22"/>
        <v/>
      </c>
    </row>
    <row r="46" spans="1:42">
      <c r="L46" t="str">
        <f t="shared" si="24"/>
        <v/>
      </c>
      <c r="M46" t="str">
        <f t="shared" si="22"/>
        <v/>
      </c>
    </row>
    <row r="47" spans="1:42">
      <c r="A47">
        <f>MATCH(B47,transceiver_list,0)</f>
        <v>12</v>
      </c>
      <c r="B47" t="str">
        <f>Calculate_Bit_Timing!D4</f>
        <v>TJA1051</v>
      </c>
      <c r="C47">
        <f>INDEX(C50:C74,A47,1)</f>
        <v>5000</v>
      </c>
      <c r="D47">
        <f>INDEX(D50:D74,A47,1)</f>
        <v>250</v>
      </c>
      <c r="L47" t="str">
        <f t="shared" si="24"/>
        <v/>
      </c>
      <c r="M47">
        <f ca="1">MATCH(MAX(M49:M69),M49:M69,0)</f>
        <v>1</v>
      </c>
      <c r="O47">
        <f t="array" aca="1" ref="O47" ca="1">MIN(IF(M49:M69=TRUE,IF(N49:N69=TRUE,IF(ISNUMBER(O49:O69),O49:O69))))</f>
        <v>0</v>
      </c>
    </row>
    <row r="48" spans="1:42">
      <c r="S48" t="str">
        <f t="shared" ref="S48" si="25">IF(ISNUMBER(I48),"0x"&amp;DEC2HEX((POWER(2,16)*(I48-1))+((M48+N48-2)*POWER(2,8))+((O48-1)*POWER(2,4))+(P48-1)+0,8),"")</f>
        <v/>
      </c>
      <c r="T48" t="s">
        <v>175</v>
      </c>
      <c r="U48" t="s">
        <v>66</v>
      </c>
      <c r="V48" t="s">
        <v>53</v>
      </c>
      <c r="W48" t="s">
        <v>54</v>
      </c>
    </row>
    <row r="49" spans="2:23">
      <c r="B49" t="s">
        <v>123</v>
      </c>
      <c r="C49" t="s">
        <v>124</v>
      </c>
      <c r="D49" t="s">
        <v>172</v>
      </c>
      <c r="M49">
        <f t="array" ref="M49:M69" ca="1">IF(ISNUMBER(O49:O69),IF(M20:M40=$N$15,K20:K40,FALSE),FALSE)</f>
        <v>0.78431372549019607</v>
      </c>
      <c r="N49" t="b">
        <f t="array" ref="N49:N69" ca="1">M20:M40=$N$15</f>
        <v>1</v>
      </c>
      <c r="O49">
        <f>IF(MATCH(B20,$W$20:$W$40,0),ROW(B20)-19)</f>
        <v>1</v>
      </c>
      <c r="P49">
        <f t="shared" ref="P49:P69" si="26">MATCH(B20,$W$20:$W$40,0)</f>
        <v>1</v>
      </c>
      <c r="S49" t="str">
        <f ca="1">IF(Sheet3!C4=0,"","data phase bit time = "&amp;AD15*AD16/1000&amp;"us ("&amp;AD16&amp;"Tq, Tq="&amp;AD15&amp;"ns)")</f>
        <v>data phase bit time = 0.2us (8Tq, Tq=25ns)</v>
      </c>
      <c r="T49">
        <f ca="1">AD15</f>
        <v>25</v>
      </c>
      <c r="U49">
        <f ca="1">propFD*AD15</f>
        <v>50</v>
      </c>
      <c r="V49">
        <f ca="1">pseg1FD*AD15</f>
        <v>75</v>
      </c>
      <c r="W49">
        <f ca="1">pseg2FD*AD15</f>
        <v>50</v>
      </c>
    </row>
    <row r="50" spans="2:23">
      <c r="B50" s="24" t="s">
        <v>125</v>
      </c>
      <c r="C50" s="24" t="s">
        <v>119</v>
      </c>
      <c r="D50">
        <v>150</v>
      </c>
      <c r="M50">
        <f ca="1"/>
        <v>0.58823529411764708</v>
      </c>
      <c r="N50" t="b">
        <f ca="1"/>
        <v>1</v>
      </c>
      <c r="O50">
        <f t="shared" ref="O50:O69" si="27">IF(MATCH(B21,$W$20:$W$40,0),ROW(B21)-19)</f>
        <v>2</v>
      </c>
      <c r="P50">
        <f t="shared" si="26"/>
        <v>2</v>
      </c>
      <c r="S50" t="str">
        <f ca="1">IF(Sheet3!C4=0,"nominal bit time = "&amp;G15*G16/1000&amp;"us ("&amp;G16&amp;"Tq, Tq="&amp;G15&amp;"ns)","arbitration phase bit time = "&amp;G15*G16/1000&amp;"us ("&amp;G16&amp;"Tq, Tq="&amp;G15&amp;"ns)")</f>
        <v>arbitration phase bit time = 1us (40Tq, Tq=25ns)</v>
      </c>
      <c r="T50">
        <f ca="1">G15</f>
        <v>25</v>
      </c>
      <c r="U50">
        <f ca="1">prop*G15</f>
        <v>525</v>
      </c>
      <c r="V50">
        <f ca="1">pseg1*G15</f>
        <v>200</v>
      </c>
      <c r="W50">
        <f ca="1">pseg2*G15</f>
        <v>250</v>
      </c>
    </row>
    <row r="51" spans="2:23">
      <c r="B51" s="24" t="s">
        <v>126</v>
      </c>
      <c r="C51" s="24" t="s">
        <v>119</v>
      </c>
      <c r="D51">
        <v>255</v>
      </c>
      <c r="L51" t="str">
        <f t="shared" si="24"/>
        <v/>
      </c>
      <c r="M51" t="b">
        <f ca="1"/>
        <v>0</v>
      </c>
      <c r="N51" t="b">
        <f ca="1"/>
        <v>0</v>
      </c>
      <c r="O51" t="e">
        <f t="shared" si="27"/>
        <v>#N/A</v>
      </c>
      <c r="P51" t="e">
        <f t="shared" si="26"/>
        <v>#N/A</v>
      </c>
      <c r="T51">
        <f>IF(Sheet3!C4=0,"",1)</f>
        <v>1</v>
      </c>
      <c r="U51">
        <f ca="1">IF(Sheet3!C4=0,"",propFD)</f>
        <v>2</v>
      </c>
      <c r="V51">
        <f ca="1">IF(Sheet3!C4=0,"",pseg1FD)</f>
        <v>3</v>
      </c>
      <c r="W51">
        <f ca="1">IF(Sheet3!C4=0,"",pseg2FD)</f>
        <v>2</v>
      </c>
    </row>
    <row r="52" spans="2:23">
      <c r="B52" s="24" t="s">
        <v>127</v>
      </c>
      <c r="C52" s="24" t="s">
        <v>119</v>
      </c>
      <c r="D52">
        <v>255</v>
      </c>
      <c r="K52" t="str">
        <f t="shared" ref="K52:K54" si="28">IF(ISNUMBER(B52),"0x"&amp;DEC2HEX((POWER(2,24)*(B52-1))+((I52-1)*POWER(2,22))+((G52-1)*POWER(2,19))+((H52-1)*POWER(2,16))+(F52-1)+0,8),"")</f>
        <v/>
      </c>
      <c r="L52" t="str">
        <f t="shared" si="24"/>
        <v/>
      </c>
      <c r="M52" t="b">
        <f ca="1"/>
        <v>0</v>
      </c>
      <c r="N52" t="b">
        <f ca="1"/>
        <v>0</v>
      </c>
      <c r="O52" t="e">
        <f t="shared" si="27"/>
        <v>#N/A</v>
      </c>
      <c r="P52" t="e">
        <f t="shared" si="26"/>
        <v>#N/A</v>
      </c>
      <c r="T52">
        <v>1</v>
      </c>
      <c r="U52">
        <f ca="1">prop</f>
        <v>21</v>
      </c>
      <c r="V52">
        <f ca="1">pseg1</f>
        <v>8</v>
      </c>
      <c r="W52">
        <f ca="1">pseg2</f>
        <v>10</v>
      </c>
    </row>
    <row r="53" spans="2:23">
      <c r="B53" s="24" t="s">
        <v>128</v>
      </c>
      <c r="C53" s="24">
        <v>5000</v>
      </c>
      <c r="D53">
        <v>250</v>
      </c>
      <c r="K53" t="str">
        <f t="shared" si="28"/>
        <v/>
      </c>
      <c r="L53" t="str">
        <f t="shared" si="24"/>
        <v/>
      </c>
      <c r="M53" t="b">
        <f ca="1"/>
        <v>0</v>
      </c>
      <c r="N53" t="b">
        <f ca="1"/>
        <v>0</v>
      </c>
      <c r="O53" t="e">
        <f t="shared" si="27"/>
        <v>#N/A</v>
      </c>
      <c r="P53" t="e">
        <f t="shared" si="26"/>
        <v>#N/A</v>
      </c>
    </row>
    <row r="54" spans="2:23">
      <c r="B54" s="24" t="s">
        <v>129</v>
      </c>
      <c r="C54" s="24">
        <v>5000</v>
      </c>
      <c r="D54">
        <v>240</v>
      </c>
      <c r="K54" t="str">
        <f t="shared" si="28"/>
        <v/>
      </c>
      <c r="L54" t="str">
        <f t="shared" si="24"/>
        <v/>
      </c>
      <c r="M54" t="b">
        <f ca="1"/>
        <v>0</v>
      </c>
      <c r="N54" t="b">
        <f ca="1"/>
        <v>0</v>
      </c>
      <c r="O54" t="e">
        <f t="shared" si="27"/>
        <v>#N/A</v>
      </c>
      <c r="P54" t="e">
        <f t="shared" si="26"/>
        <v>#N/A</v>
      </c>
    </row>
    <row r="55" spans="2:23">
      <c r="B55" s="24" t="s">
        <v>130</v>
      </c>
      <c r="C55" s="24" t="s">
        <v>121</v>
      </c>
      <c r="D55">
        <v>210</v>
      </c>
      <c r="K55" t="str">
        <f t="shared" ref="K55:K62" si="29">IF(ISNUMBER(B55),"0x"&amp;DEC2HEX((POWER(2,24)*(B55-1))+((I55-1)*POWER(2,22))+((G55-1)*POWER(2,19))+((H55-1)*POWER(2,16))+(F55-1)+0,8),"")</f>
        <v/>
      </c>
      <c r="L55" t="str">
        <f t="shared" ref="L55:L62" si="30">IF(ISNUMBER(B55),"0x"&amp;DEC2HEX((POWER(2,16)*(B55-1))+((F55+G55-2)*POWER(2,8))+((H55-1)*POWER(2,4))+(I55-1)+0,8),"")</f>
        <v/>
      </c>
      <c r="M55" t="b">
        <f ca="1"/>
        <v>0</v>
      </c>
      <c r="N55" t="b">
        <f ca="1"/>
        <v>0</v>
      </c>
      <c r="O55" t="e">
        <f t="shared" si="27"/>
        <v>#N/A</v>
      </c>
      <c r="P55" t="e">
        <f t="shared" si="26"/>
        <v>#N/A</v>
      </c>
    </row>
    <row r="56" spans="2:23">
      <c r="B56" s="24" t="s">
        <v>131</v>
      </c>
      <c r="C56" s="24" t="s">
        <v>119</v>
      </c>
      <c r="D56">
        <v>230</v>
      </c>
      <c r="K56" t="str">
        <f t="shared" si="29"/>
        <v/>
      </c>
      <c r="L56" t="str">
        <f t="shared" si="30"/>
        <v/>
      </c>
      <c r="M56" t="b">
        <f ca="1"/>
        <v>0</v>
      </c>
      <c r="N56" t="b">
        <f ca="1"/>
        <v>0</v>
      </c>
      <c r="O56" t="e">
        <f t="shared" si="27"/>
        <v>#N/A</v>
      </c>
      <c r="P56" t="e">
        <f t="shared" si="26"/>
        <v>#N/A</v>
      </c>
    </row>
    <row r="57" spans="2:23">
      <c r="B57" s="24" t="s">
        <v>132</v>
      </c>
      <c r="C57" s="24" t="s">
        <v>121</v>
      </c>
      <c r="D57">
        <v>210</v>
      </c>
      <c r="K57" t="str">
        <f t="shared" si="29"/>
        <v/>
      </c>
      <c r="L57" t="str">
        <f t="shared" si="30"/>
        <v/>
      </c>
      <c r="M57" t="b">
        <f ca="1"/>
        <v>0</v>
      </c>
      <c r="N57" t="b">
        <f ca="1"/>
        <v>0</v>
      </c>
      <c r="O57" t="e">
        <f t="shared" si="27"/>
        <v>#N/A</v>
      </c>
      <c r="P57" t="e">
        <f t="shared" si="26"/>
        <v>#N/A</v>
      </c>
    </row>
    <row r="58" spans="2:23">
      <c r="B58" s="24" t="s">
        <v>133</v>
      </c>
      <c r="C58" s="24" t="s">
        <v>120</v>
      </c>
      <c r="D58">
        <v>250</v>
      </c>
      <c r="K58" t="str">
        <f t="shared" si="29"/>
        <v/>
      </c>
      <c r="L58" t="str">
        <f t="shared" si="30"/>
        <v/>
      </c>
      <c r="M58" t="b">
        <f ca="1"/>
        <v>0</v>
      </c>
      <c r="N58" t="b">
        <f ca="1"/>
        <v>0</v>
      </c>
      <c r="O58" t="e">
        <f t="shared" si="27"/>
        <v>#N/A</v>
      </c>
      <c r="P58" t="e">
        <f t="shared" si="26"/>
        <v>#N/A</v>
      </c>
    </row>
    <row r="59" spans="2:23">
      <c r="B59" s="24" t="s">
        <v>134</v>
      </c>
      <c r="C59" s="24" t="s">
        <v>120</v>
      </c>
      <c r="D59">
        <v>250</v>
      </c>
      <c r="K59" t="str">
        <f t="shared" si="29"/>
        <v/>
      </c>
      <c r="L59" t="str">
        <f t="shared" si="30"/>
        <v/>
      </c>
      <c r="M59" t="b">
        <f ca="1"/>
        <v>0</v>
      </c>
      <c r="N59" t="b">
        <f ca="1"/>
        <v>0</v>
      </c>
      <c r="O59" t="e">
        <f t="shared" si="27"/>
        <v>#N/A</v>
      </c>
      <c r="P59" t="e">
        <f t="shared" si="26"/>
        <v>#N/A</v>
      </c>
    </row>
    <row r="60" spans="2:23">
      <c r="B60" s="24" t="s">
        <v>135</v>
      </c>
      <c r="C60" s="24" t="s">
        <v>119</v>
      </c>
      <c r="D60">
        <v>250</v>
      </c>
      <c r="K60" t="str">
        <f t="shared" si="29"/>
        <v/>
      </c>
      <c r="L60" t="str">
        <f t="shared" si="30"/>
        <v/>
      </c>
      <c r="M60" t="b">
        <f ca="1"/>
        <v>0</v>
      </c>
      <c r="N60" t="b">
        <f ca="1"/>
        <v>0</v>
      </c>
      <c r="O60" t="e">
        <f t="shared" si="27"/>
        <v>#N/A</v>
      </c>
      <c r="P60" t="e">
        <f t="shared" si="26"/>
        <v>#N/A</v>
      </c>
    </row>
    <row r="61" spans="2:23">
      <c r="B61" s="24" t="s">
        <v>136</v>
      </c>
      <c r="C61" s="24">
        <v>5000</v>
      </c>
      <c r="D61">
        <v>250</v>
      </c>
      <c r="K61" t="str">
        <f t="shared" si="29"/>
        <v/>
      </c>
      <c r="L61" t="str">
        <f t="shared" si="30"/>
        <v/>
      </c>
      <c r="M61" t="b">
        <f ca="1"/>
        <v>0</v>
      </c>
      <c r="N61" t="b">
        <f ca="1"/>
        <v>0</v>
      </c>
      <c r="O61" t="e">
        <f t="shared" si="27"/>
        <v>#N/A</v>
      </c>
      <c r="P61" t="e">
        <f t="shared" si="26"/>
        <v>#N/A</v>
      </c>
    </row>
    <row r="62" spans="2:23">
      <c r="B62" s="24" t="s">
        <v>137</v>
      </c>
      <c r="C62" s="24">
        <v>5000</v>
      </c>
      <c r="D62">
        <v>220</v>
      </c>
      <c r="K62" t="str">
        <f t="shared" si="29"/>
        <v/>
      </c>
      <c r="L62" t="str">
        <f t="shared" si="30"/>
        <v/>
      </c>
      <c r="M62" t="b">
        <f ca="1"/>
        <v>0</v>
      </c>
      <c r="N62" t="b">
        <f ca="1"/>
        <v>0</v>
      </c>
      <c r="O62" t="e">
        <f t="shared" si="27"/>
        <v>#N/A</v>
      </c>
      <c r="P62" t="e">
        <f t="shared" si="26"/>
        <v>#N/A</v>
      </c>
    </row>
    <row r="63" spans="2:23">
      <c r="B63" s="24" t="s">
        <v>138</v>
      </c>
      <c r="C63" s="24" t="s">
        <v>122</v>
      </c>
      <c r="D63">
        <v>1900</v>
      </c>
      <c r="M63" t="b">
        <f ca="1"/>
        <v>0</v>
      </c>
      <c r="N63" t="b">
        <f ca="1"/>
        <v>0</v>
      </c>
      <c r="O63" t="e">
        <f t="shared" si="27"/>
        <v>#N/A</v>
      </c>
      <c r="P63" t="e">
        <f t="shared" si="26"/>
        <v>#N/A</v>
      </c>
    </row>
    <row r="64" spans="2:23">
      <c r="B64" s="24" t="s">
        <v>140</v>
      </c>
      <c r="C64" s="24" t="s">
        <v>121</v>
      </c>
      <c r="D64">
        <v>210</v>
      </c>
      <c r="M64" t="b">
        <f ca="1"/>
        <v>0</v>
      </c>
      <c r="N64" t="b">
        <f ca="1"/>
        <v>0</v>
      </c>
      <c r="O64" t="e">
        <f t="shared" si="27"/>
        <v>#N/A</v>
      </c>
      <c r="P64" t="e">
        <f t="shared" si="26"/>
        <v>#N/A</v>
      </c>
    </row>
    <row r="65" spans="2:16">
      <c r="B65" s="24" t="s">
        <v>139</v>
      </c>
      <c r="C65" s="24" t="s">
        <v>119</v>
      </c>
      <c r="D65">
        <v>230</v>
      </c>
      <c r="M65" t="b">
        <f ca="1"/>
        <v>0</v>
      </c>
      <c r="N65" t="b">
        <f ca="1"/>
        <v>0</v>
      </c>
      <c r="O65" t="e">
        <f t="shared" si="27"/>
        <v>#N/A</v>
      </c>
      <c r="P65" t="e">
        <f t="shared" si="26"/>
        <v>#N/A</v>
      </c>
    </row>
    <row r="66" spans="2:16">
      <c r="B66" s="24" t="s">
        <v>141</v>
      </c>
      <c r="C66" s="24" t="s">
        <v>120</v>
      </c>
      <c r="D66">
        <v>250</v>
      </c>
      <c r="M66" t="b">
        <f ca="1"/>
        <v>0</v>
      </c>
      <c r="N66" t="b">
        <f ca="1"/>
        <v>0</v>
      </c>
      <c r="O66" t="e">
        <f t="shared" si="27"/>
        <v>#N/A</v>
      </c>
      <c r="P66" t="e">
        <f t="shared" si="26"/>
        <v>#N/A</v>
      </c>
    </row>
    <row r="67" spans="2:16">
      <c r="B67" s="24" t="s">
        <v>142</v>
      </c>
      <c r="C67" s="24" t="s">
        <v>120</v>
      </c>
      <c r="D67">
        <v>255</v>
      </c>
      <c r="M67" t="b">
        <f ca="1"/>
        <v>0</v>
      </c>
      <c r="N67" t="b">
        <f ca="1"/>
        <v>0</v>
      </c>
      <c r="O67" t="e">
        <f t="shared" si="27"/>
        <v>#N/A</v>
      </c>
      <c r="P67" t="e">
        <f t="shared" si="26"/>
        <v>#N/A</v>
      </c>
    </row>
    <row r="68" spans="2:16">
      <c r="B68" s="24" t="s">
        <v>143</v>
      </c>
      <c r="C68" s="24" t="s">
        <v>120</v>
      </c>
      <c r="D68">
        <v>250</v>
      </c>
      <c r="M68" t="b">
        <f ca="1"/>
        <v>0</v>
      </c>
      <c r="N68" t="b">
        <f ca="1"/>
        <v>0</v>
      </c>
      <c r="O68" t="e">
        <f t="shared" si="27"/>
        <v>#N/A</v>
      </c>
      <c r="P68" t="e">
        <f t="shared" si="26"/>
        <v>#N/A</v>
      </c>
    </row>
    <row r="69" spans="2:16">
      <c r="B69" s="24" t="s">
        <v>144</v>
      </c>
      <c r="C69" s="24" t="s">
        <v>120</v>
      </c>
      <c r="D69">
        <v>220</v>
      </c>
      <c r="M69" t="b">
        <f ca="1"/>
        <v>0</v>
      </c>
      <c r="N69" t="b">
        <f ca="1"/>
        <v>0</v>
      </c>
      <c r="O69" t="e">
        <f t="shared" si="27"/>
        <v>#N/A</v>
      </c>
      <c r="P69" t="e">
        <f t="shared" si="26"/>
        <v>#N/A</v>
      </c>
    </row>
    <row r="70" spans="2:16">
      <c r="B70" s="24" t="s">
        <v>145</v>
      </c>
      <c r="C70" s="24" t="s">
        <v>120</v>
      </c>
      <c r="D70">
        <v>255</v>
      </c>
    </row>
    <row r="71" spans="2:16">
      <c r="B71" s="24" t="s">
        <v>146</v>
      </c>
      <c r="C71" s="24" t="s">
        <v>120</v>
      </c>
      <c r="D71">
        <v>255</v>
      </c>
    </row>
    <row r="72" spans="2:16">
      <c r="B72" s="24" t="s">
        <v>147</v>
      </c>
      <c r="C72" s="24" t="s">
        <v>120</v>
      </c>
      <c r="D72">
        <v>255</v>
      </c>
    </row>
    <row r="73" spans="2:16">
      <c r="B73" s="24" t="s">
        <v>148</v>
      </c>
      <c r="C73" s="24" t="s">
        <v>120</v>
      </c>
      <c r="D73">
        <v>255</v>
      </c>
    </row>
    <row r="74" spans="2:16">
      <c r="B74" s="24"/>
      <c r="C74" s="24"/>
    </row>
  </sheetData>
  <mergeCells count="71">
    <mergeCell ref="P39:Q39"/>
    <mergeCell ref="P40:Q40"/>
    <mergeCell ref="P29:Q29"/>
    <mergeCell ref="P30:Q30"/>
    <mergeCell ref="P31:Q31"/>
    <mergeCell ref="P32:Q32"/>
    <mergeCell ref="P33:Q33"/>
    <mergeCell ref="P34:Q34"/>
    <mergeCell ref="P35:Q35"/>
    <mergeCell ref="P36:Q36"/>
    <mergeCell ref="P37:Q37"/>
    <mergeCell ref="P38:Q38"/>
    <mergeCell ref="M40:N40"/>
    <mergeCell ref="P20:Q20"/>
    <mergeCell ref="P21:Q21"/>
    <mergeCell ref="P22:Q22"/>
    <mergeCell ref="P23:Q23"/>
    <mergeCell ref="P24:Q24"/>
    <mergeCell ref="P25:Q25"/>
    <mergeCell ref="P26:Q26"/>
    <mergeCell ref="P27:Q27"/>
    <mergeCell ref="P28:Q28"/>
    <mergeCell ref="M34:N34"/>
    <mergeCell ref="M35:N35"/>
    <mergeCell ref="M36:N36"/>
    <mergeCell ref="M37:N37"/>
    <mergeCell ref="M38:N38"/>
    <mergeCell ref="M39:N39"/>
    <mergeCell ref="M33:N33"/>
    <mergeCell ref="M22:N22"/>
    <mergeCell ref="M23:N23"/>
    <mergeCell ref="M24:N24"/>
    <mergeCell ref="M25:N25"/>
    <mergeCell ref="M26:N26"/>
    <mergeCell ref="M27:N27"/>
    <mergeCell ref="M28:N28"/>
    <mergeCell ref="M29:N29"/>
    <mergeCell ref="M30:N30"/>
    <mergeCell ref="M31:N31"/>
    <mergeCell ref="M32:N32"/>
    <mergeCell ref="M21:N21"/>
    <mergeCell ref="M18:N18"/>
    <mergeCell ref="P18:Q18"/>
    <mergeCell ref="M19:N19"/>
    <mergeCell ref="P19:Q19"/>
    <mergeCell ref="M20:N20"/>
    <mergeCell ref="AH18:AI18"/>
    <mergeCell ref="AK18:AL18"/>
    <mergeCell ref="AH19:AI19"/>
    <mergeCell ref="AK19:AL19"/>
    <mergeCell ref="AK20:AL20"/>
    <mergeCell ref="AK21:AL21"/>
    <mergeCell ref="AK22:AL22"/>
    <mergeCell ref="AK23:AL23"/>
    <mergeCell ref="AK24:AL24"/>
    <mergeCell ref="AK25:AL25"/>
    <mergeCell ref="AK26:AL26"/>
    <mergeCell ref="AK27:AL27"/>
    <mergeCell ref="AK28:AL28"/>
    <mergeCell ref="AK29:AL29"/>
    <mergeCell ref="AK30:AL30"/>
    <mergeCell ref="AK31:AL31"/>
    <mergeCell ref="AK32:AL32"/>
    <mergeCell ref="AK33:AL33"/>
    <mergeCell ref="AK34:AL34"/>
    <mergeCell ref="AK35:AL35"/>
    <mergeCell ref="AK36:AL36"/>
    <mergeCell ref="AK37:AL37"/>
    <mergeCell ref="AK38:AL38"/>
    <mergeCell ref="AK39:AL39"/>
    <mergeCell ref="AK40:AL40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AC89"/>
  <sheetViews>
    <sheetView topLeftCell="A4" workbookViewId="0">
      <selection activeCell="K10" sqref="K10"/>
    </sheetView>
  </sheetViews>
  <sheetFormatPr defaultRowHeight="15" customHeight="1"/>
  <cols>
    <col min="2" max="2" width="19.7109375" customWidth="1"/>
    <col min="3" max="3" width="30.140625" customWidth="1"/>
    <col min="28" max="28" width="13.7109375" customWidth="1"/>
  </cols>
  <sheetData>
    <row r="1" spans="2:29" ht="15" customHeight="1">
      <c r="B1" t="s">
        <v>14</v>
      </c>
      <c r="C1">
        <f>MATCH(C2,Device_list,0)</f>
        <v>30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</row>
    <row r="2" spans="2:29" ht="15" customHeight="1">
      <c r="B2" t="s">
        <v>15</v>
      </c>
      <c r="C2" s="1" t="str">
        <f>Calculate_Bit_Timing!D2</f>
        <v>MPC5777M</v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</row>
    <row r="3" spans="2:29" ht="15" customHeight="1">
      <c r="B3" t="s">
        <v>68</v>
      </c>
      <c r="C3">
        <f>INDEX($E$14:$E$63,$C$1,1)</f>
        <v>2</v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</row>
    <row r="4" spans="2:29" ht="15" customHeight="1">
      <c r="B4" t="s">
        <v>90</v>
      </c>
      <c r="C4">
        <f>INDEX($F$14:$F$63,$C$1,1)</f>
        <v>5</v>
      </c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</row>
    <row r="5" spans="2:29" ht="15" customHeight="1">
      <c r="B5" t="s">
        <v>16</v>
      </c>
      <c r="C5">
        <f>INDEX(D14:D63,C1,1)</f>
        <v>0</v>
      </c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</row>
    <row r="6" spans="2:29" ht="15" customHeight="1"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</row>
    <row r="7" spans="2:29" ht="15" customHeight="1">
      <c r="B7" t="s">
        <v>17</v>
      </c>
      <c r="C7">
        <f>INDEX($J$14:$J$73,$C$1,1)</f>
        <v>0</v>
      </c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</row>
    <row r="8" spans="2:29" ht="15" customHeight="1"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</row>
    <row r="9" spans="2:29" ht="15" customHeight="1">
      <c r="B9" s="174" t="s">
        <v>18</v>
      </c>
      <c r="C9" s="1" t="s">
        <v>19</v>
      </c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</row>
    <row r="10" spans="2:29" ht="15" customHeight="1">
      <c r="B10" s="174"/>
      <c r="C10" s="1" t="e">
        <f ca="1">INDIRECT("PLL_"&amp;C4&amp;"!L4")</f>
        <v>#REF!</v>
      </c>
      <c r="J10" s="34">
        <v>1</v>
      </c>
      <c r="K10" s="72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</row>
    <row r="11" spans="2:29" ht="15" customHeight="1" thickBot="1"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B11" t="s">
        <v>8</v>
      </c>
      <c r="AC11">
        <v>2</v>
      </c>
    </row>
    <row r="12" spans="2:29" ht="15" customHeight="1" thickBot="1">
      <c r="J12" s="34"/>
      <c r="K12" s="89" t="str">
        <f ca="1">"CANx_CTRL1 = 0x"&amp;DEC2HEX((POWER(2,24)*(K15))+((S15)*POWER(2,22))+((U15)*POWER(2,19))+((X15)*POWER(2,16))+(X19),8)</f>
        <v>CANx_CTRL1 = 0x02810014</v>
      </c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1"/>
      <c r="AB12" t="s">
        <v>1</v>
      </c>
      <c r="AC12">
        <v>8</v>
      </c>
    </row>
    <row r="13" spans="2:29" ht="15" customHeight="1">
      <c r="B13" s="2" t="s">
        <v>20</v>
      </c>
      <c r="C13" s="3" t="s">
        <v>21</v>
      </c>
      <c r="E13" t="s">
        <v>67</v>
      </c>
      <c r="F13" t="s">
        <v>90</v>
      </c>
      <c r="J13" s="34"/>
      <c r="K13" s="5">
        <v>0</v>
      </c>
      <c r="L13" s="6">
        <v>1</v>
      </c>
      <c r="M13" s="6">
        <v>2</v>
      </c>
      <c r="N13" s="6">
        <v>3</v>
      </c>
      <c r="O13" s="6">
        <v>4</v>
      </c>
      <c r="P13" s="6">
        <v>5</v>
      </c>
      <c r="Q13" s="6">
        <v>6</v>
      </c>
      <c r="R13" s="6">
        <v>7</v>
      </c>
      <c r="S13" s="6">
        <v>8</v>
      </c>
      <c r="T13" s="6">
        <v>9</v>
      </c>
      <c r="U13" s="6">
        <v>10</v>
      </c>
      <c r="V13" s="6">
        <v>11</v>
      </c>
      <c r="W13" s="6">
        <v>12</v>
      </c>
      <c r="X13" s="6">
        <v>13</v>
      </c>
      <c r="Y13" s="6">
        <v>14</v>
      </c>
      <c r="Z13" s="7">
        <v>15</v>
      </c>
      <c r="AB13" t="s">
        <v>2</v>
      </c>
      <c r="AC13">
        <v>25</v>
      </c>
    </row>
    <row r="14" spans="2:29" ht="15" customHeight="1">
      <c r="B14" s="3">
        <v>1</v>
      </c>
      <c r="C14" s="3" t="s">
        <v>13</v>
      </c>
      <c r="E14">
        <v>1</v>
      </c>
      <c r="F14">
        <v>0</v>
      </c>
      <c r="J14" s="34"/>
      <c r="K14" s="175" t="s">
        <v>52</v>
      </c>
      <c r="L14" s="176"/>
      <c r="M14" s="176"/>
      <c r="N14" s="176"/>
      <c r="O14" s="176"/>
      <c r="P14" s="176"/>
      <c r="Q14" s="176"/>
      <c r="R14" s="176"/>
      <c r="S14" s="176" t="s">
        <v>9</v>
      </c>
      <c r="T14" s="176"/>
      <c r="U14" s="176" t="s">
        <v>53</v>
      </c>
      <c r="V14" s="176"/>
      <c r="W14" s="176"/>
      <c r="X14" s="177" t="s">
        <v>54</v>
      </c>
      <c r="Y14" s="177"/>
      <c r="Z14" s="178"/>
      <c r="AB14" t="s">
        <v>3</v>
      </c>
      <c r="AC14">
        <v>1</v>
      </c>
    </row>
    <row r="15" spans="2:29" ht="15" customHeight="1">
      <c r="B15" s="3">
        <v>2</v>
      </c>
      <c r="C15" s="3" t="s">
        <v>22</v>
      </c>
      <c r="E15">
        <v>1</v>
      </c>
      <c r="F15">
        <v>0</v>
      </c>
      <c r="J15" s="34"/>
      <c r="K15" s="179">
        <f ca="1">presc-1</f>
        <v>0</v>
      </c>
      <c r="L15" s="180"/>
      <c r="M15" s="180"/>
      <c r="N15" s="180"/>
      <c r="O15" s="180"/>
      <c r="P15" s="180"/>
      <c r="Q15" s="180"/>
      <c r="R15" s="180"/>
      <c r="S15" s="180">
        <f ca="1">rjw-1</f>
        <v>9</v>
      </c>
      <c r="T15" s="180"/>
      <c r="U15" s="180">
        <f ca="1">pseg1-1</f>
        <v>7</v>
      </c>
      <c r="V15" s="180"/>
      <c r="W15" s="180"/>
      <c r="X15" s="180">
        <f ca="1">pseg2-1</f>
        <v>9</v>
      </c>
      <c r="Y15" s="180"/>
      <c r="Z15" s="181"/>
      <c r="AB15" t="s">
        <v>4</v>
      </c>
      <c r="AC15">
        <v>256</v>
      </c>
    </row>
    <row r="16" spans="2:29" ht="15" customHeight="1">
      <c r="B16" s="3">
        <v>3</v>
      </c>
      <c r="C16" s="3" t="s">
        <v>23</v>
      </c>
      <c r="E16">
        <v>1</v>
      </c>
      <c r="F16">
        <v>0</v>
      </c>
      <c r="J16" s="34"/>
      <c r="K16" s="42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4">
        <f ca="1">1+U15</f>
        <v>8</v>
      </c>
      <c r="W16" s="43"/>
      <c r="X16" s="45"/>
      <c r="Y16" s="44">
        <f ca="1">1+X15</f>
        <v>10</v>
      </c>
      <c r="Z16" s="46"/>
      <c r="AB16" t="s">
        <v>5</v>
      </c>
      <c r="AC16">
        <v>8</v>
      </c>
    </row>
    <row r="17" spans="2:29" ht="15" customHeight="1">
      <c r="B17" s="3">
        <v>4</v>
      </c>
      <c r="C17" s="3" t="s">
        <v>24</v>
      </c>
      <c r="E17">
        <v>1</v>
      </c>
      <c r="F17">
        <v>0</v>
      </c>
      <c r="J17" s="34"/>
      <c r="K17" s="47">
        <v>16</v>
      </c>
      <c r="L17" s="48">
        <v>17</v>
      </c>
      <c r="M17" s="48">
        <v>18</v>
      </c>
      <c r="N17" s="48">
        <v>19</v>
      </c>
      <c r="O17" s="48">
        <v>20</v>
      </c>
      <c r="P17" s="48">
        <v>21</v>
      </c>
      <c r="Q17" s="48">
        <v>22</v>
      </c>
      <c r="R17" s="48">
        <v>23</v>
      </c>
      <c r="S17" s="48">
        <v>24</v>
      </c>
      <c r="T17" s="48">
        <v>25</v>
      </c>
      <c r="U17" s="48">
        <v>26</v>
      </c>
      <c r="V17" s="48">
        <v>27</v>
      </c>
      <c r="W17" s="48">
        <v>28</v>
      </c>
      <c r="X17" s="48">
        <v>29</v>
      </c>
      <c r="Y17" s="48">
        <v>30</v>
      </c>
      <c r="Z17" s="49">
        <v>31</v>
      </c>
      <c r="AB17" t="s">
        <v>6</v>
      </c>
      <c r="AC17">
        <v>8</v>
      </c>
    </row>
    <row r="18" spans="2:29" ht="15" customHeight="1">
      <c r="B18" s="3">
        <v>5</v>
      </c>
      <c r="C18" s="3" t="s">
        <v>25</v>
      </c>
      <c r="E18">
        <v>1</v>
      </c>
      <c r="F18">
        <v>0</v>
      </c>
      <c r="J18" s="34"/>
      <c r="K18" s="33" t="s">
        <v>55</v>
      </c>
      <c r="L18" s="8" t="s">
        <v>56</v>
      </c>
      <c r="M18" s="8" t="s">
        <v>57</v>
      </c>
      <c r="N18" s="14" t="s">
        <v>58</v>
      </c>
      <c r="O18" s="8" t="s">
        <v>59</v>
      </c>
      <c r="P18" s="8" t="s">
        <v>60</v>
      </c>
      <c r="Q18" s="150"/>
      <c r="R18" s="136"/>
      <c r="S18" s="14" t="s">
        <v>61</v>
      </c>
      <c r="T18" s="8" t="s">
        <v>62</v>
      </c>
      <c r="U18" s="14" t="s">
        <v>63</v>
      </c>
      <c r="V18" s="14" t="s">
        <v>64</v>
      </c>
      <c r="W18" s="14" t="s">
        <v>65</v>
      </c>
      <c r="X18" s="176" t="s">
        <v>66</v>
      </c>
      <c r="Y18" s="176"/>
      <c r="Z18" s="182"/>
      <c r="AB18" t="s">
        <v>7</v>
      </c>
      <c r="AC18">
        <v>8</v>
      </c>
    </row>
    <row r="19" spans="2:29" ht="15" customHeight="1" thickBot="1">
      <c r="B19" s="3">
        <v>6</v>
      </c>
      <c r="C19" s="3" t="s">
        <v>26</v>
      </c>
      <c r="E19">
        <v>1</v>
      </c>
      <c r="F19">
        <v>0</v>
      </c>
      <c r="J19" s="34"/>
      <c r="K19" s="9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85">
        <v>0</v>
      </c>
      <c r="R19" s="186"/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83">
        <f ca="1">prop-1</f>
        <v>20</v>
      </c>
      <c r="Y19" s="183"/>
      <c r="Z19" s="184"/>
      <c r="AB19" t="s">
        <v>9</v>
      </c>
      <c r="AC19">
        <v>4</v>
      </c>
    </row>
    <row r="20" spans="2:29" ht="15" customHeight="1">
      <c r="B20" s="3">
        <v>7</v>
      </c>
      <c r="C20" s="3" t="s">
        <v>27</v>
      </c>
      <c r="E20">
        <v>1</v>
      </c>
      <c r="F20">
        <v>0</v>
      </c>
      <c r="J20" s="34">
        <v>2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</row>
    <row r="21" spans="2:29" ht="15" customHeight="1" thickBot="1">
      <c r="B21" s="3">
        <v>8</v>
      </c>
      <c r="C21" s="3" t="s">
        <v>28</v>
      </c>
      <c r="E21">
        <v>1</v>
      </c>
      <c r="F21">
        <v>0</v>
      </c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B21" t="s">
        <v>8</v>
      </c>
      <c r="AC21">
        <v>0</v>
      </c>
    </row>
    <row r="22" spans="2:29" ht="15" customHeight="1" thickBot="1">
      <c r="B22" s="3">
        <v>9</v>
      </c>
      <c r="C22" s="3" t="s">
        <v>29</v>
      </c>
      <c r="E22">
        <v>1</v>
      </c>
      <c r="F22">
        <v>0</v>
      </c>
      <c r="J22" s="34"/>
      <c r="K22" s="89" t="str">
        <f ca="1">"CANx_BTP = 0x"&amp;DEC2HEX(2^16*Q25+2^8*M29+2^4*S29+W29,8)</f>
        <v>CANx_BTP = 0x00001C99</v>
      </c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1"/>
      <c r="AB22" t="s">
        <v>1</v>
      </c>
      <c r="AC22">
        <v>4</v>
      </c>
    </row>
    <row r="23" spans="2:29" ht="15" customHeight="1">
      <c r="B23" s="3">
        <v>10</v>
      </c>
      <c r="C23" s="3" t="s">
        <v>30</v>
      </c>
      <c r="E23">
        <v>1</v>
      </c>
      <c r="F23">
        <v>0</v>
      </c>
      <c r="J23" s="34"/>
      <c r="K23" s="5">
        <v>0</v>
      </c>
      <c r="L23" s="6">
        <v>1</v>
      </c>
      <c r="M23" s="6">
        <v>2</v>
      </c>
      <c r="N23" s="6">
        <v>3</v>
      </c>
      <c r="O23" s="6">
        <v>4</v>
      </c>
      <c r="P23" s="6">
        <v>5</v>
      </c>
      <c r="Q23" s="6">
        <v>6</v>
      </c>
      <c r="R23" s="6">
        <v>7</v>
      </c>
      <c r="S23" s="6">
        <v>8</v>
      </c>
      <c r="T23" s="6">
        <v>9</v>
      </c>
      <c r="U23" s="6">
        <v>10</v>
      </c>
      <c r="V23" s="6">
        <v>11</v>
      </c>
      <c r="W23" s="6">
        <v>12</v>
      </c>
      <c r="X23" s="6">
        <v>13</v>
      </c>
      <c r="Y23" s="6">
        <v>14</v>
      </c>
      <c r="Z23" s="7">
        <v>15</v>
      </c>
      <c r="AB23" t="s">
        <v>2</v>
      </c>
      <c r="AC23">
        <v>81</v>
      </c>
    </row>
    <row r="24" spans="2:29" ht="15" customHeight="1">
      <c r="B24" s="3">
        <v>11</v>
      </c>
      <c r="C24" s="3" t="s">
        <v>31</v>
      </c>
      <c r="E24">
        <v>1</v>
      </c>
      <c r="F24">
        <v>0</v>
      </c>
      <c r="J24" s="34"/>
      <c r="K24" s="160"/>
      <c r="L24" s="161"/>
      <c r="M24" s="161"/>
      <c r="N24" s="161"/>
      <c r="O24" s="161"/>
      <c r="P24" s="167"/>
      <c r="Q24" s="143" t="s">
        <v>77</v>
      </c>
      <c r="R24" s="126"/>
      <c r="S24" s="126"/>
      <c r="T24" s="126"/>
      <c r="U24" s="126"/>
      <c r="V24" s="126"/>
      <c r="W24" s="126"/>
      <c r="X24" s="126"/>
      <c r="Y24" s="126"/>
      <c r="Z24" s="128"/>
      <c r="AB24" t="s">
        <v>3</v>
      </c>
      <c r="AC24">
        <v>1</v>
      </c>
    </row>
    <row r="25" spans="2:29" ht="15" customHeight="1">
      <c r="B25" s="3">
        <v>12</v>
      </c>
      <c r="C25" s="3" t="s">
        <v>32</v>
      </c>
      <c r="E25">
        <v>1</v>
      </c>
      <c r="F25">
        <v>0</v>
      </c>
      <c r="J25" s="34"/>
      <c r="K25" s="165">
        <v>0</v>
      </c>
      <c r="L25" s="168"/>
      <c r="M25" s="168"/>
      <c r="N25" s="168"/>
      <c r="O25" s="168"/>
      <c r="P25" s="166"/>
      <c r="Q25" s="169">
        <f ca="1">presc-1</f>
        <v>0</v>
      </c>
      <c r="R25" s="170"/>
      <c r="S25" s="170"/>
      <c r="T25" s="170"/>
      <c r="U25" s="170"/>
      <c r="V25" s="170"/>
      <c r="W25" s="170"/>
      <c r="X25" s="170"/>
      <c r="Y25" s="170"/>
      <c r="Z25" s="171"/>
      <c r="AB25" t="s">
        <v>4</v>
      </c>
      <c r="AC25">
        <v>1024</v>
      </c>
    </row>
    <row r="26" spans="2:29" ht="15" customHeight="1">
      <c r="B26" s="3">
        <v>13</v>
      </c>
      <c r="C26" s="3" t="s">
        <v>33</v>
      </c>
      <c r="E26">
        <v>1</v>
      </c>
      <c r="F26">
        <v>0</v>
      </c>
      <c r="J26" s="34"/>
      <c r="K26" s="50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2">
        <f>1+U25</f>
        <v>1</v>
      </c>
      <c r="W26" s="51"/>
      <c r="X26" s="53"/>
      <c r="Y26" s="52">
        <f>1+X25</f>
        <v>1</v>
      </c>
      <c r="Z26" s="54"/>
      <c r="AB26" t="s">
        <v>5</v>
      </c>
      <c r="AC26">
        <v>48</v>
      </c>
    </row>
    <row r="27" spans="2:29" ht="15" customHeight="1">
      <c r="B27" s="3">
        <v>14</v>
      </c>
      <c r="C27" s="3" t="s">
        <v>34</v>
      </c>
      <c r="E27">
        <v>1</v>
      </c>
      <c r="F27">
        <v>0</v>
      </c>
      <c r="J27" s="34"/>
      <c r="K27" s="5">
        <v>16</v>
      </c>
      <c r="L27" s="6">
        <v>17</v>
      </c>
      <c r="M27" s="6">
        <v>18</v>
      </c>
      <c r="N27" s="6">
        <v>19</v>
      </c>
      <c r="O27" s="6">
        <v>20</v>
      </c>
      <c r="P27" s="6">
        <v>21</v>
      </c>
      <c r="Q27" s="6">
        <v>22</v>
      </c>
      <c r="R27" s="6">
        <v>23</v>
      </c>
      <c r="S27" s="6">
        <v>24</v>
      </c>
      <c r="T27" s="6">
        <v>25</v>
      </c>
      <c r="U27" s="6">
        <v>26</v>
      </c>
      <c r="V27" s="6">
        <v>27</v>
      </c>
      <c r="W27" s="6">
        <v>28</v>
      </c>
      <c r="X27" s="6">
        <v>29</v>
      </c>
      <c r="Y27" s="6">
        <v>30</v>
      </c>
      <c r="Z27" s="7">
        <v>31</v>
      </c>
      <c r="AB27" t="s">
        <v>6</v>
      </c>
      <c r="AC27">
        <v>16</v>
      </c>
    </row>
    <row r="28" spans="2:29" ht="15" customHeight="1">
      <c r="B28" s="3">
        <v>15</v>
      </c>
      <c r="C28" s="3" t="s">
        <v>35</v>
      </c>
      <c r="E28">
        <v>1</v>
      </c>
      <c r="F28">
        <v>0</v>
      </c>
      <c r="J28" s="34"/>
      <c r="K28" s="134"/>
      <c r="L28" s="136"/>
      <c r="M28" s="150" t="s">
        <v>78</v>
      </c>
      <c r="N28" s="135"/>
      <c r="O28" s="135"/>
      <c r="P28" s="135"/>
      <c r="Q28" s="135"/>
      <c r="R28" s="136"/>
      <c r="S28" s="150" t="s">
        <v>79</v>
      </c>
      <c r="T28" s="135"/>
      <c r="U28" s="135"/>
      <c r="V28" s="136"/>
      <c r="W28" s="150" t="s">
        <v>80</v>
      </c>
      <c r="X28" s="135"/>
      <c r="Y28" s="135"/>
      <c r="Z28" s="137"/>
      <c r="AB28" t="s">
        <v>7</v>
      </c>
      <c r="AC28">
        <v>16</v>
      </c>
    </row>
    <row r="29" spans="2:29" ht="15" customHeight="1" thickBot="1">
      <c r="B29" s="3">
        <v>16</v>
      </c>
      <c r="C29" s="3" t="s">
        <v>36</v>
      </c>
      <c r="E29">
        <v>1</v>
      </c>
      <c r="F29">
        <v>0</v>
      </c>
      <c r="J29" s="34"/>
      <c r="K29" s="172">
        <v>0</v>
      </c>
      <c r="L29" s="173"/>
      <c r="M29" s="158">
        <f ca="1">prop+pseg1-1</f>
        <v>28</v>
      </c>
      <c r="N29" s="141"/>
      <c r="O29" s="141"/>
      <c r="P29" s="141"/>
      <c r="Q29" s="141"/>
      <c r="R29" s="159"/>
      <c r="S29" s="158">
        <f ca="1">pseg2-1</f>
        <v>9</v>
      </c>
      <c r="T29" s="141"/>
      <c r="U29" s="141"/>
      <c r="V29" s="159"/>
      <c r="W29" s="158">
        <f ca="1">rjw-1</f>
        <v>9</v>
      </c>
      <c r="X29" s="141"/>
      <c r="Y29" s="141"/>
      <c r="Z29" s="142"/>
      <c r="AB29" t="s">
        <v>9</v>
      </c>
      <c r="AC29">
        <v>16</v>
      </c>
    </row>
    <row r="30" spans="2:29" ht="15" customHeight="1">
      <c r="B30" s="3">
        <v>17</v>
      </c>
      <c r="C30" s="3" t="s">
        <v>37</v>
      </c>
      <c r="E30">
        <v>1</v>
      </c>
      <c r="F30">
        <v>0</v>
      </c>
      <c r="J30" s="34">
        <v>3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</row>
    <row r="31" spans="2:29" ht="15" customHeight="1" thickBot="1">
      <c r="B31" s="3">
        <v>18</v>
      </c>
      <c r="C31" s="3" t="s">
        <v>38</v>
      </c>
      <c r="E31">
        <v>1</v>
      </c>
      <c r="F31">
        <v>0</v>
      </c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B31" t="s">
        <v>8</v>
      </c>
      <c r="AC31">
        <v>2</v>
      </c>
    </row>
    <row r="32" spans="2:29" ht="15" customHeight="1" thickBot="1">
      <c r="B32" s="3">
        <v>19</v>
      </c>
      <c r="C32" s="3" t="s">
        <v>39</v>
      </c>
      <c r="E32">
        <v>1</v>
      </c>
      <c r="F32">
        <v>0</v>
      </c>
      <c r="J32" s="34"/>
      <c r="K32" s="89" t="str">
        <f ca="1">"CANx_CBT = 0x"&amp;DEC2HEX(2^31+2^21*L35+2^16*V35+2^10*K39+2^5*Q39+V39,8)</f>
        <v>CANx_CBT = 0x800950E9</v>
      </c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Z32" s="91"/>
      <c r="AB32" t="s">
        <v>1</v>
      </c>
      <c r="AC32">
        <v>8</v>
      </c>
    </row>
    <row r="33" spans="2:29" ht="15" customHeight="1">
      <c r="B33" s="3">
        <v>20</v>
      </c>
      <c r="C33" s="3" t="s">
        <v>40</v>
      </c>
      <c r="E33">
        <v>1</v>
      </c>
      <c r="F33">
        <v>0</v>
      </c>
      <c r="J33" s="34"/>
      <c r="K33" s="5">
        <v>0</v>
      </c>
      <c r="L33" s="6">
        <v>1</v>
      </c>
      <c r="M33" s="6">
        <v>2</v>
      </c>
      <c r="N33" s="6">
        <v>3</v>
      </c>
      <c r="O33" s="6">
        <v>4</v>
      </c>
      <c r="P33" s="6">
        <v>5</v>
      </c>
      <c r="Q33" s="6">
        <v>6</v>
      </c>
      <c r="R33" s="6">
        <v>7</v>
      </c>
      <c r="S33" s="6">
        <v>8</v>
      </c>
      <c r="T33" s="6">
        <v>9</v>
      </c>
      <c r="U33" s="6">
        <v>10</v>
      </c>
      <c r="V33" s="6">
        <v>11</v>
      </c>
      <c r="W33" s="6">
        <v>12</v>
      </c>
      <c r="X33" s="6">
        <v>13</v>
      </c>
      <c r="Y33" s="6">
        <v>14</v>
      </c>
      <c r="Z33" s="7">
        <v>15</v>
      </c>
      <c r="AB33" t="s">
        <v>2</v>
      </c>
      <c r="AC33">
        <v>129</v>
      </c>
    </row>
    <row r="34" spans="2:29" ht="15" customHeight="1">
      <c r="B34" s="3">
        <v>21</v>
      </c>
      <c r="C34" s="3" t="s">
        <v>41</v>
      </c>
      <c r="E34">
        <v>1</v>
      </c>
      <c r="F34">
        <v>0</v>
      </c>
      <c r="J34" s="34"/>
      <c r="K34" s="30" t="s">
        <v>84</v>
      </c>
      <c r="L34" s="143" t="s">
        <v>85</v>
      </c>
      <c r="M34" s="126"/>
      <c r="N34" s="126"/>
      <c r="O34" s="126"/>
      <c r="P34" s="126"/>
      <c r="Q34" s="126"/>
      <c r="R34" s="126"/>
      <c r="S34" s="126"/>
      <c r="T34" s="126"/>
      <c r="U34" s="127"/>
      <c r="V34" s="143" t="s">
        <v>86</v>
      </c>
      <c r="W34" s="126"/>
      <c r="X34" s="126"/>
      <c r="Y34" s="126"/>
      <c r="Z34" s="128"/>
      <c r="AB34" t="s">
        <v>3</v>
      </c>
      <c r="AC34">
        <v>1</v>
      </c>
    </row>
    <row r="35" spans="2:29" ht="15" customHeight="1">
      <c r="B35" s="3">
        <v>22</v>
      </c>
      <c r="C35" s="3" t="s">
        <v>42</v>
      </c>
      <c r="E35">
        <v>1</v>
      </c>
      <c r="F35">
        <v>0</v>
      </c>
      <c r="J35" s="34"/>
      <c r="K35" s="16">
        <v>1</v>
      </c>
      <c r="L35" s="146">
        <f ca="1">presc-1</f>
        <v>0</v>
      </c>
      <c r="M35" s="132"/>
      <c r="N35" s="132"/>
      <c r="O35" s="132"/>
      <c r="P35" s="132"/>
      <c r="Q35" s="132"/>
      <c r="R35" s="132"/>
      <c r="S35" s="132"/>
      <c r="T35" s="132"/>
      <c r="U35" s="162"/>
      <c r="V35" s="146">
        <f ca="1">rjw-1</f>
        <v>9</v>
      </c>
      <c r="W35" s="132"/>
      <c r="X35" s="132"/>
      <c r="Y35" s="132"/>
      <c r="Z35" s="133"/>
      <c r="AB35" t="s">
        <v>4</v>
      </c>
      <c r="AC35">
        <v>1024</v>
      </c>
    </row>
    <row r="36" spans="2:29" ht="15" customHeight="1">
      <c r="B36" s="3">
        <v>23</v>
      </c>
      <c r="C36" s="3" t="s">
        <v>43</v>
      </c>
      <c r="E36">
        <v>1</v>
      </c>
      <c r="F36">
        <v>0</v>
      </c>
      <c r="J36" s="34"/>
      <c r="K36" s="50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2">
        <f>1+U35</f>
        <v>1</v>
      </c>
      <c r="W36" s="51"/>
      <c r="X36" s="53"/>
      <c r="Y36" s="52">
        <f>1+X35</f>
        <v>1</v>
      </c>
      <c r="Z36" s="54"/>
      <c r="AB36" t="s">
        <v>5</v>
      </c>
      <c r="AC36">
        <v>64</v>
      </c>
    </row>
    <row r="37" spans="2:29" ht="15" customHeight="1">
      <c r="B37" s="3">
        <v>24</v>
      </c>
      <c r="C37" s="3" t="s">
        <v>44</v>
      </c>
      <c r="E37">
        <v>1</v>
      </c>
      <c r="F37">
        <v>0</v>
      </c>
      <c r="J37" s="34"/>
      <c r="K37" s="5">
        <v>16</v>
      </c>
      <c r="L37" s="6">
        <v>17</v>
      </c>
      <c r="M37" s="6">
        <v>18</v>
      </c>
      <c r="N37" s="6">
        <v>19</v>
      </c>
      <c r="O37" s="6">
        <v>20</v>
      </c>
      <c r="P37" s="6">
        <v>21</v>
      </c>
      <c r="Q37" s="6">
        <v>22</v>
      </c>
      <c r="R37" s="6">
        <v>23</v>
      </c>
      <c r="S37" s="6">
        <v>24</v>
      </c>
      <c r="T37" s="6">
        <v>25</v>
      </c>
      <c r="U37" s="6">
        <v>26</v>
      </c>
      <c r="V37" s="6">
        <v>27</v>
      </c>
      <c r="W37" s="6">
        <v>28</v>
      </c>
      <c r="X37" s="6">
        <v>29</v>
      </c>
      <c r="Y37" s="6">
        <v>30</v>
      </c>
      <c r="Z37" s="7">
        <v>31</v>
      </c>
      <c r="AB37" t="s">
        <v>6</v>
      </c>
      <c r="AC37">
        <v>32</v>
      </c>
    </row>
    <row r="38" spans="2:29" ht="15" customHeight="1">
      <c r="B38" s="3">
        <v>25</v>
      </c>
      <c r="C38" s="3" t="s">
        <v>45</v>
      </c>
      <c r="E38">
        <v>1</v>
      </c>
      <c r="F38">
        <v>0</v>
      </c>
      <c r="J38" s="34"/>
      <c r="K38" s="134" t="s">
        <v>87</v>
      </c>
      <c r="L38" s="135"/>
      <c r="M38" s="135"/>
      <c r="N38" s="135"/>
      <c r="O38" s="135"/>
      <c r="P38" s="136"/>
      <c r="Q38" s="150" t="s">
        <v>88</v>
      </c>
      <c r="R38" s="135"/>
      <c r="S38" s="135"/>
      <c r="T38" s="135"/>
      <c r="U38" s="136"/>
      <c r="V38" s="150" t="s">
        <v>89</v>
      </c>
      <c r="W38" s="135"/>
      <c r="X38" s="135"/>
      <c r="Y38" s="135"/>
      <c r="Z38" s="137"/>
      <c r="AB38" t="s">
        <v>7</v>
      </c>
      <c r="AC38">
        <v>32</v>
      </c>
    </row>
    <row r="39" spans="2:29" ht="15" customHeight="1" thickBot="1">
      <c r="B39" s="3">
        <v>26</v>
      </c>
      <c r="C39" s="3" t="s">
        <v>46</v>
      </c>
      <c r="E39">
        <v>1</v>
      </c>
      <c r="F39">
        <v>0</v>
      </c>
      <c r="J39" s="34"/>
      <c r="K39" s="138">
        <f ca="1">prop-1</f>
        <v>20</v>
      </c>
      <c r="L39" s="139"/>
      <c r="M39" s="139"/>
      <c r="N39" s="139"/>
      <c r="O39" s="139"/>
      <c r="P39" s="140"/>
      <c r="Q39" s="163">
        <f ca="1">pseg1-1</f>
        <v>7</v>
      </c>
      <c r="R39" s="139"/>
      <c r="S39" s="139"/>
      <c r="T39" s="139"/>
      <c r="U39" s="140"/>
      <c r="V39" s="163">
        <f ca="1">pseg2-1</f>
        <v>9</v>
      </c>
      <c r="W39" s="139"/>
      <c r="X39" s="139"/>
      <c r="Y39" s="139"/>
      <c r="Z39" s="164"/>
      <c r="AB39" t="s">
        <v>9</v>
      </c>
      <c r="AC39">
        <v>16</v>
      </c>
    </row>
    <row r="40" spans="2:29" ht="15" customHeight="1">
      <c r="B40" s="3">
        <v>27</v>
      </c>
      <c r="C40" s="3" t="s">
        <v>48</v>
      </c>
      <c r="E40">
        <v>1</v>
      </c>
      <c r="F40">
        <v>0</v>
      </c>
      <c r="J40" s="34">
        <v>4</v>
      </c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</row>
    <row r="41" spans="2:29" ht="15" customHeight="1" thickBot="1">
      <c r="B41" s="3">
        <v>28</v>
      </c>
      <c r="C41" s="3" t="s">
        <v>81</v>
      </c>
      <c r="E41">
        <v>1</v>
      </c>
      <c r="F41">
        <v>0</v>
      </c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B41" t="s">
        <v>8</v>
      </c>
      <c r="AC41">
        <v>0</v>
      </c>
    </row>
    <row r="42" spans="2:29" ht="15" customHeight="1" thickBot="1">
      <c r="B42" s="3">
        <v>29</v>
      </c>
      <c r="C42" s="3" t="s">
        <v>82</v>
      </c>
      <c r="E42">
        <v>2</v>
      </c>
      <c r="F42">
        <v>5</v>
      </c>
      <c r="J42" s="34"/>
      <c r="K42" s="89" t="str">
        <f ca="1">"CANx_NBTP = 0x"&amp;DEC2HEX(2^25*K45+2^8*K49+2^16*R45+T49,8)</f>
        <v>CANx_NBTP = 0x12001C09</v>
      </c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  <c r="Z42" s="91"/>
      <c r="AB42" t="s">
        <v>1</v>
      </c>
      <c r="AC42">
        <v>4</v>
      </c>
    </row>
    <row r="43" spans="2:29" ht="15" customHeight="1">
      <c r="B43" s="3">
        <v>30</v>
      </c>
      <c r="C43" s="3" t="s">
        <v>47</v>
      </c>
      <c r="E43">
        <v>2</v>
      </c>
      <c r="F43">
        <v>5</v>
      </c>
      <c r="J43" s="34"/>
      <c r="K43" s="5">
        <v>0</v>
      </c>
      <c r="L43" s="6">
        <v>1</v>
      </c>
      <c r="M43" s="6">
        <v>2</v>
      </c>
      <c r="N43" s="6">
        <v>3</v>
      </c>
      <c r="O43" s="6">
        <v>4</v>
      </c>
      <c r="P43" s="6">
        <v>5</v>
      </c>
      <c r="Q43" s="6">
        <v>6</v>
      </c>
      <c r="R43" s="6">
        <v>7</v>
      </c>
      <c r="S43" s="6">
        <v>8</v>
      </c>
      <c r="T43" s="6">
        <v>9</v>
      </c>
      <c r="U43" s="6">
        <v>10</v>
      </c>
      <c r="V43" s="6">
        <v>11</v>
      </c>
      <c r="W43" s="6">
        <v>12</v>
      </c>
      <c r="X43" s="6">
        <v>13</v>
      </c>
      <c r="Y43" s="6">
        <v>14</v>
      </c>
      <c r="Z43" s="7">
        <v>15</v>
      </c>
      <c r="AB43" t="s">
        <v>2</v>
      </c>
      <c r="AC43">
        <v>385</v>
      </c>
    </row>
    <row r="44" spans="2:29" ht="15" customHeight="1">
      <c r="B44" s="3">
        <v>31</v>
      </c>
      <c r="C44" s="3" t="s">
        <v>83</v>
      </c>
      <c r="E44">
        <v>1</v>
      </c>
      <c r="F44">
        <v>0</v>
      </c>
      <c r="J44" s="34"/>
      <c r="K44" s="125" t="s">
        <v>152</v>
      </c>
      <c r="L44" s="126"/>
      <c r="M44" s="126"/>
      <c r="N44" s="126"/>
      <c r="O44" s="126"/>
      <c r="P44" s="126"/>
      <c r="Q44" s="127"/>
      <c r="R44" s="126" t="s">
        <v>151</v>
      </c>
      <c r="S44" s="126"/>
      <c r="T44" s="126"/>
      <c r="U44" s="126"/>
      <c r="V44" s="126"/>
      <c r="W44" s="126"/>
      <c r="X44" s="126"/>
      <c r="Y44" s="126"/>
      <c r="Z44" s="128"/>
      <c r="AB44" t="s">
        <v>3</v>
      </c>
      <c r="AC44">
        <v>1</v>
      </c>
    </row>
    <row r="45" spans="2:29" ht="15" customHeight="1">
      <c r="B45" s="3">
        <v>32</v>
      </c>
      <c r="C45" s="3" t="s">
        <v>150</v>
      </c>
      <c r="E45">
        <v>2</v>
      </c>
      <c r="F45">
        <v>5</v>
      </c>
      <c r="J45" s="34"/>
      <c r="K45" s="129">
        <f ca="1">rjw-1</f>
        <v>9</v>
      </c>
      <c r="L45" s="130"/>
      <c r="M45" s="130"/>
      <c r="N45" s="130"/>
      <c r="O45" s="130"/>
      <c r="P45" s="130"/>
      <c r="Q45" s="131"/>
      <c r="R45" s="132">
        <f ca="1">presc-1</f>
        <v>0</v>
      </c>
      <c r="S45" s="132"/>
      <c r="T45" s="132"/>
      <c r="U45" s="132"/>
      <c r="V45" s="132"/>
      <c r="W45" s="132"/>
      <c r="X45" s="132"/>
      <c r="Y45" s="132"/>
      <c r="Z45" s="133"/>
      <c r="AB45" t="s">
        <v>4</v>
      </c>
      <c r="AC45">
        <v>512</v>
      </c>
    </row>
    <row r="46" spans="2:29" ht="15" customHeight="1">
      <c r="B46" s="3">
        <v>33</v>
      </c>
      <c r="C46" s="3" t="s">
        <v>149</v>
      </c>
      <c r="E46">
        <v>4</v>
      </c>
      <c r="F46">
        <v>8</v>
      </c>
      <c r="J46" s="34"/>
      <c r="K46" s="50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2">
        <f>1+U45</f>
        <v>1</v>
      </c>
      <c r="W46" s="51"/>
      <c r="X46" s="53"/>
      <c r="Y46" s="52">
        <f>1+X45</f>
        <v>1</v>
      </c>
      <c r="Z46" s="54"/>
      <c r="AB46" t="s">
        <v>5</v>
      </c>
      <c r="AC46">
        <v>128</v>
      </c>
    </row>
    <row r="47" spans="2:29" ht="15" customHeight="1">
      <c r="B47" s="3">
        <v>34</v>
      </c>
      <c r="C47" s="3" t="s">
        <v>115</v>
      </c>
      <c r="E47">
        <v>1</v>
      </c>
      <c r="F47">
        <v>0</v>
      </c>
      <c r="J47" s="34"/>
      <c r="K47" s="5">
        <v>16</v>
      </c>
      <c r="L47" s="6">
        <v>17</v>
      </c>
      <c r="M47" s="6">
        <v>18</v>
      </c>
      <c r="N47" s="6">
        <v>19</v>
      </c>
      <c r="O47" s="6">
        <v>20</v>
      </c>
      <c r="P47" s="6">
        <v>21</v>
      </c>
      <c r="Q47" s="6">
        <v>22</v>
      </c>
      <c r="R47" s="6">
        <v>23</v>
      </c>
      <c r="S47" s="6">
        <v>24</v>
      </c>
      <c r="T47" s="6">
        <v>25</v>
      </c>
      <c r="U47" s="6">
        <v>26</v>
      </c>
      <c r="V47" s="6">
        <v>27</v>
      </c>
      <c r="W47" s="6">
        <v>28</v>
      </c>
      <c r="X47" s="6">
        <v>29</v>
      </c>
      <c r="Y47" s="6">
        <v>30</v>
      </c>
      <c r="Z47" s="7">
        <v>31</v>
      </c>
      <c r="AB47" t="s">
        <v>6</v>
      </c>
      <c r="AC47">
        <v>128</v>
      </c>
    </row>
    <row r="48" spans="2:29" ht="15" customHeight="1">
      <c r="B48" s="3">
        <v>35</v>
      </c>
      <c r="C48" s="3" t="s">
        <v>183</v>
      </c>
      <c r="E48">
        <v>3</v>
      </c>
      <c r="F48">
        <v>7</v>
      </c>
      <c r="J48" s="34"/>
      <c r="K48" s="134" t="s">
        <v>154</v>
      </c>
      <c r="L48" s="135"/>
      <c r="M48" s="135"/>
      <c r="N48" s="135"/>
      <c r="O48" s="135"/>
      <c r="P48" s="135"/>
      <c r="Q48" s="135"/>
      <c r="R48" s="136"/>
      <c r="S48" s="25"/>
      <c r="T48" s="135" t="s">
        <v>153</v>
      </c>
      <c r="U48" s="135"/>
      <c r="V48" s="135"/>
      <c r="W48" s="135"/>
      <c r="X48" s="135"/>
      <c r="Y48" s="135"/>
      <c r="Z48" s="137"/>
      <c r="AB48" t="s">
        <v>7</v>
      </c>
      <c r="AC48">
        <v>128</v>
      </c>
    </row>
    <row r="49" spans="2:29" ht="15" customHeight="1" thickBot="1">
      <c r="B49" s="3">
        <v>36</v>
      </c>
      <c r="C49" s="3" t="s">
        <v>184</v>
      </c>
      <c r="E49">
        <v>1</v>
      </c>
      <c r="F49">
        <v>0</v>
      </c>
      <c r="J49" s="34"/>
      <c r="K49" s="138">
        <f ca="1">prop+pseg1-1</f>
        <v>28</v>
      </c>
      <c r="L49" s="139"/>
      <c r="M49" s="139"/>
      <c r="N49" s="139"/>
      <c r="O49" s="139"/>
      <c r="P49" s="139"/>
      <c r="Q49" s="139"/>
      <c r="R49" s="140"/>
      <c r="S49" s="11">
        <v>0</v>
      </c>
      <c r="T49" s="141">
        <f ca="1">pseg2-1</f>
        <v>9</v>
      </c>
      <c r="U49" s="141"/>
      <c r="V49" s="141"/>
      <c r="W49" s="141"/>
      <c r="X49" s="141"/>
      <c r="Y49" s="141"/>
      <c r="Z49" s="142"/>
      <c r="AB49" t="s">
        <v>9</v>
      </c>
      <c r="AC49">
        <v>128</v>
      </c>
    </row>
    <row r="50" spans="2:29" ht="15" customHeight="1">
      <c r="B50" s="3">
        <v>37</v>
      </c>
      <c r="C50" s="3" t="s">
        <v>185</v>
      </c>
      <c r="E50">
        <v>3</v>
      </c>
      <c r="F50">
        <v>7</v>
      </c>
      <c r="J50" s="34">
        <v>5</v>
      </c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</row>
    <row r="51" spans="2:29" ht="15" customHeight="1" thickBot="1"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B51" t="s">
        <v>8</v>
      </c>
      <c r="AC51">
        <v>0</v>
      </c>
    </row>
    <row r="52" spans="2:29" ht="15" customHeight="1" thickBot="1">
      <c r="J52" s="34"/>
      <c r="K52" s="89" t="str">
        <f ca="1">"CANx_FBTP = 0x"&amp;DEC2HEX(2^24*N55+2^23*S55+2^16*V55+2^8*O59+2^4*T59+Y59,8)</f>
        <v>CANx_FBTP = 0x04800411</v>
      </c>
      <c r="L52" s="90"/>
      <c r="M52" s="90"/>
      <c r="N52" s="90"/>
      <c r="O52" s="90"/>
      <c r="P52" s="90"/>
      <c r="Q52" s="90"/>
      <c r="R52" s="90"/>
      <c r="S52" s="90"/>
      <c r="T52" s="90"/>
      <c r="U52" s="90"/>
      <c r="V52" s="90"/>
      <c r="W52" s="90"/>
      <c r="X52" s="90"/>
      <c r="Y52" s="90"/>
      <c r="Z52" s="91"/>
      <c r="AB52" t="s">
        <v>1</v>
      </c>
      <c r="AC52">
        <v>4</v>
      </c>
    </row>
    <row r="53" spans="2:29" ht="15" customHeight="1">
      <c r="J53" s="34"/>
      <c r="K53" s="5">
        <v>0</v>
      </c>
      <c r="L53" s="6">
        <v>1</v>
      </c>
      <c r="M53" s="6">
        <v>2</v>
      </c>
      <c r="N53" s="6">
        <v>3</v>
      </c>
      <c r="O53" s="6">
        <v>4</v>
      </c>
      <c r="P53" s="6">
        <v>5</v>
      </c>
      <c r="Q53" s="6">
        <v>6</v>
      </c>
      <c r="R53" s="6">
        <v>7</v>
      </c>
      <c r="S53" s="6">
        <v>8</v>
      </c>
      <c r="T53" s="6">
        <v>9</v>
      </c>
      <c r="U53" s="6">
        <v>10</v>
      </c>
      <c r="V53" s="6">
        <v>11</v>
      </c>
      <c r="W53" s="6">
        <v>12</v>
      </c>
      <c r="X53" s="6">
        <v>13</v>
      </c>
      <c r="Y53" s="6">
        <v>14</v>
      </c>
      <c r="Z53" s="7">
        <v>15</v>
      </c>
      <c r="AB53" t="s">
        <v>2</v>
      </c>
      <c r="AC53">
        <v>81</v>
      </c>
    </row>
    <row r="54" spans="2:29" ht="15" customHeight="1">
      <c r="J54" s="34"/>
      <c r="K54" s="160"/>
      <c r="L54" s="161"/>
      <c r="M54" s="161"/>
      <c r="N54" s="143" t="s">
        <v>91</v>
      </c>
      <c r="O54" s="126"/>
      <c r="P54" s="126"/>
      <c r="Q54" s="126"/>
      <c r="R54" s="127"/>
      <c r="S54" s="13" t="s">
        <v>92</v>
      </c>
      <c r="T54" s="143"/>
      <c r="U54" s="127"/>
      <c r="V54" s="143" t="s">
        <v>93</v>
      </c>
      <c r="W54" s="126"/>
      <c r="X54" s="126"/>
      <c r="Y54" s="126"/>
      <c r="Z54" s="128"/>
      <c r="AB54" t="s">
        <v>3</v>
      </c>
      <c r="AC54">
        <v>1</v>
      </c>
    </row>
    <row r="55" spans="2:29" ht="15" customHeight="1">
      <c r="J55" s="34"/>
      <c r="K55" s="147">
        <v>0</v>
      </c>
      <c r="L55" s="148"/>
      <c r="M55" s="148"/>
      <c r="N55" s="146">
        <f ca="1">tdc_off</f>
        <v>4</v>
      </c>
      <c r="O55" s="132"/>
      <c r="P55" s="132"/>
      <c r="Q55" s="132"/>
      <c r="R55" s="162"/>
      <c r="S55" s="27">
        <f ca="1">tdc_en</f>
        <v>1</v>
      </c>
      <c r="T55" s="144">
        <v>0</v>
      </c>
      <c r="U55" s="145"/>
      <c r="V55" s="146">
        <f ca="1">prescFD-1</f>
        <v>0</v>
      </c>
      <c r="W55" s="132"/>
      <c r="X55" s="132"/>
      <c r="Y55" s="132"/>
      <c r="Z55" s="133"/>
      <c r="AB55" t="s">
        <v>4</v>
      </c>
      <c r="AC55">
        <v>1024</v>
      </c>
    </row>
    <row r="56" spans="2:29" ht="15" customHeight="1">
      <c r="J56" s="34"/>
      <c r="K56" s="50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2">
        <f>1+U55</f>
        <v>1</v>
      </c>
      <c r="W56" s="51"/>
      <c r="X56" s="53"/>
      <c r="Y56" s="52">
        <f>1+X55</f>
        <v>1</v>
      </c>
      <c r="Z56" s="54"/>
      <c r="AB56" t="s">
        <v>5</v>
      </c>
      <c r="AC56">
        <v>48</v>
      </c>
    </row>
    <row r="57" spans="2:29" ht="15" customHeight="1">
      <c r="J57" s="34"/>
      <c r="K57" s="5">
        <v>16</v>
      </c>
      <c r="L57" s="6">
        <v>17</v>
      </c>
      <c r="M57" s="6">
        <v>18</v>
      </c>
      <c r="N57" s="6">
        <v>19</v>
      </c>
      <c r="O57" s="6">
        <v>20</v>
      </c>
      <c r="P57" s="6">
        <v>21</v>
      </c>
      <c r="Q57" s="6">
        <v>22</v>
      </c>
      <c r="R57" s="6">
        <v>23</v>
      </c>
      <c r="S57" s="6">
        <v>24</v>
      </c>
      <c r="T57" s="6">
        <v>25</v>
      </c>
      <c r="U57" s="6">
        <v>26</v>
      </c>
      <c r="V57" s="6">
        <v>27</v>
      </c>
      <c r="W57" s="6">
        <v>28</v>
      </c>
      <c r="X57" s="6">
        <v>29</v>
      </c>
      <c r="Y57" s="6">
        <v>30</v>
      </c>
      <c r="Z57" s="7">
        <v>31</v>
      </c>
      <c r="AB57" t="s">
        <v>6</v>
      </c>
      <c r="AC57">
        <v>16</v>
      </c>
    </row>
    <row r="58" spans="2:29" ht="15" customHeight="1">
      <c r="J58" s="34"/>
      <c r="K58" s="134"/>
      <c r="L58" s="135"/>
      <c r="M58" s="135"/>
      <c r="N58" s="136"/>
      <c r="O58" s="150" t="s">
        <v>94</v>
      </c>
      <c r="P58" s="135"/>
      <c r="Q58" s="135"/>
      <c r="R58" s="136"/>
      <c r="S58" s="12"/>
      <c r="T58" s="150" t="s">
        <v>95</v>
      </c>
      <c r="U58" s="135"/>
      <c r="V58" s="136"/>
      <c r="W58" s="150"/>
      <c r="X58" s="136"/>
      <c r="Y58" s="150" t="s">
        <v>96</v>
      </c>
      <c r="Z58" s="137"/>
      <c r="AB58" t="s">
        <v>7</v>
      </c>
      <c r="AC58">
        <v>16</v>
      </c>
    </row>
    <row r="59" spans="2:29" ht="15" customHeight="1" thickBot="1">
      <c r="J59" s="34"/>
      <c r="K59" s="151">
        <v>0</v>
      </c>
      <c r="L59" s="152"/>
      <c r="M59" s="152"/>
      <c r="N59" s="153"/>
      <c r="O59" s="156">
        <f ca="1">pseg1FD+propFD-1</f>
        <v>4</v>
      </c>
      <c r="P59" s="154"/>
      <c r="Q59" s="154"/>
      <c r="R59" s="155"/>
      <c r="S59" s="28">
        <v>0</v>
      </c>
      <c r="T59" s="156">
        <f ca="1">pseg2FD-1</f>
        <v>1</v>
      </c>
      <c r="U59" s="154"/>
      <c r="V59" s="155"/>
      <c r="W59" s="188">
        <v>0</v>
      </c>
      <c r="X59" s="153"/>
      <c r="Y59" s="156">
        <f ca="1">rjwFD-1</f>
        <v>1</v>
      </c>
      <c r="Z59" s="157"/>
      <c r="AB59" t="s">
        <v>9</v>
      </c>
      <c r="AC59">
        <v>16</v>
      </c>
    </row>
    <row r="60" spans="2:29" ht="15" customHeight="1">
      <c r="J60" s="34">
        <v>6</v>
      </c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</row>
    <row r="61" spans="2:29" ht="15" customHeight="1" thickBot="1"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B61" t="s">
        <v>8</v>
      </c>
      <c r="AC61">
        <v>2</v>
      </c>
    </row>
    <row r="62" spans="2:29" ht="15" customHeight="1" thickBot="1">
      <c r="J62" s="34"/>
      <c r="K62" s="89" t="str">
        <f ca="1">"CANx_FDCBT = 0x"&amp;DEC2HEX(2^20*M65+2^16*Y65+2^10*L69+2^5*S69+X69,8)</f>
        <v>CANx_FDCBT = 0x00010841</v>
      </c>
      <c r="L62" s="90"/>
      <c r="M62" s="90"/>
      <c r="N62" s="90"/>
      <c r="O62" s="90"/>
      <c r="P62" s="90"/>
      <c r="Q62" s="90"/>
      <c r="R62" s="90"/>
      <c r="S62" s="90"/>
      <c r="T62" s="90"/>
      <c r="U62" s="90"/>
      <c r="V62" s="90"/>
      <c r="W62" s="90"/>
      <c r="X62" s="90"/>
      <c r="Y62" s="90"/>
      <c r="Z62" s="91"/>
      <c r="AB62" t="s">
        <v>1</v>
      </c>
      <c r="AC62">
        <v>8</v>
      </c>
    </row>
    <row r="63" spans="2:29" ht="15" customHeight="1">
      <c r="J63" s="34"/>
      <c r="K63" s="5">
        <v>0</v>
      </c>
      <c r="L63" s="6">
        <v>1</v>
      </c>
      <c r="M63" s="6">
        <v>2</v>
      </c>
      <c r="N63" s="6">
        <v>3</v>
      </c>
      <c r="O63" s="6">
        <v>4</v>
      </c>
      <c r="P63" s="6">
        <v>5</v>
      </c>
      <c r="Q63" s="6">
        <v>6</v>
      </c>
      <c r="R63" s="6">
        <v>7</v>
      </c>
      <c r="S63" s="6">
        <v>8</v>
      </c>
      <c r="T63" s="6">
        <v>9</v>
      </c>
      <c r="U63" s="6">
        <v>10</v>
      </c>
      <c r="V63" s="6">
        <v>11</v>
      </c>
      <c r="W63" s="6">
        <v>12</v>
      </c>
      <c r="X63" s="6">
        <v>13</v>
      </c>
      <c r="Y63" s="6">
        <v>14</v>
      </c>
      <c r="Z63" s="7">
        <v>15</v>
      </c>
      <c r="AB63" t="s">
        <v>2</v>
      </c>
      <c r="AC63">
        <v>129</v>
      </c>
    </row>
    <row r="64" spans="2:29" ht="15" customHeight="1">
      <c r="J64" s="34"/>
      <c r="K64" s="147"/>
      <c r="L64" s="149"/>
      <c r="M64" s="143" t="s">
        <v>97</v>
      </c>
      <c r="N64" s="126"/>
      <c r="O64" s="126"/>
      <c r="P64" s="126"/>
      <c r="Q64" s="126"/>
      <c r="R64" s="126"/>
      <c r="S64" s="126"/>
      <c r="T64" s="126"/>
      <c r="U64" s="126"/>
      <c r="V64" s="127"/>
      <c r="W64" s="143"/>
      <c r="X64" s="127"/>
      <c r="Y64" s="143" t="s">
        <v>98</v>
      </c>
      <c r="Z64" s="128"/>
      <c r="AB64" t="s">
        <v>3</v>
      </c>
      <c r="AC64">
        <v>1</v>
      </c>
    </row>
    <row r="65" spans="10:29" ht="15" customHeight="1">
      <c r="J65" s="34"/>
      <c r="K65" s="165">
        <v>0</v>
      </c>
      <c r="L65" s="166"/>
      <c r="M65" s="146">
        <f ca="1">prescFD-1</f>
        <v>0</v>
      </c>
      <c r="N65" s="132"/>
      <c r="O65" s="132"/>
      <c r="P65" s="132"/>
      <c r="Q65" s="132"/>
      <c r="R65" s="132"/>
      <c r="S65" s="132"/>
      <c r="T65" s="132"/>
      <c r="U65" s="132"/>
      <c r="V65" s="162"/>
      <c r="W65" s="144">
        <v>0</v>
      </c>
      <c r="X65" s="145"/>
      <c r="Y65" s="146">
        <f ca="1">rjwFD-1</f>
        <v>1</v>
      </c>
      <c r="Z65" s="133"/>
      <c r="AB65" t="s">
        <v>4</v>
      </c>
      <c r="AC65">
        <v>1024</v>
      </c>
    </row>
    <row r="66" spans="10:29" ht="15" customHeight="1">
      <c r="J66" s="34"/>
      <c r="K66" s="50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2">
        <f>1+U65</f>
        <v>1</v>
      </c>
      <c r="W66" s="51"/>
      <c r="X66" s="53"/>
      <c r="Y66" s="52">
        <f>1+X65</f>
        <v>1</v>
      </c>
      <c r="Z66" s="54"/>
      <c r="AB66" t="s">
        <v>5</v>
      </c>
      <c r="AC66">
        <v>64</v>
      </c>
    </row>
    <row r="67" spans="10:29" ht="15" customHeight="1">
      <c r="J67" s="34"/>
      <c r="K67" s="5">
        <v>16</v>
      </c>
      <c r="L67" s="6">
        <v>17</v>
      </c>
      <c r="M67" s="6">
        <v>18</v>
      </c>
      <c r="N67" s="6">
        <v>19</v>
      </c>
      <c r="O67" s="6">
        <v>20</v>
      </c>
      <c r="P67" s="6">
        <v>21</v>
      </c>
      <c r="Q67" s="6">
        <v>22</v>
      </c>
      <c r="R67" s="6">
        <v>23</v>
      </c>
      <c r="S67" s="6">
        <v>24</v>
      </c>
      <c r="T67" s="6">
        <v>25</v>
      </c>
      <c r="U67" s="6">
        <v>26</v>
      </c>
      <c r="V67" s="6">
        <v>27</v>
      </c>
      <c r="W67" s="6">
        <v>28</v>
      </c>
      <c r="X67" s="6">
        <v>29</v>
      </c>
      <c r="Y67" s="6">
        <v>30</v>
      </c>
      <c r="Z67" s="7">
        <v>31</v>
      </c>
      <c r="AB67" t="s">
        <v>6</v>
      </c>
      <c r="AC67">
        <v>32</v>
      </c>
    </row>
    <row r="68" spans="10:29" ht="15" customHeight="1">
      <c r="J68" s="34"/>
      <c r="K68" s="17"/>
      <c r="L68" s="150" t="s">
        <v>99</v>
      </c>
      <c r="M68" s="135"/>
      <c r="N68" s="135"/>
      <c r="O68" s="135"/>
      <c r="P68" s="136"/>
      <c r="Q68" s="150"/>
      <c r="R68" s="136"/>
      <c r="S68" s="150" t="s">
        <v>100</v>
      </c>
      <c r="T68" s="135"/>
      <c r="U68" s="136"/>
      <c r="V68" s="150"/>
      <c r="W68" s="136"/>
      <c r="X68" s="150" t="s">
        <v>101</v>
      </c>
      <c r="Y68" s="135"/>
      <c r="Z68" s="137"/>
      <c r="AB68" t="s">
        <v>7</v>
      </c>
      <c r="AC68">
        <v>32</v>
      </c>
    </row>
    <row r="69" spans="10:29" ht="15" customHeight="1" thickBot="1">
      <c r="J69" s="34"/>
      <c r="K69" s="10">
        <v>0</v>
      </c>
      <c r="L69" s="163">
        <f ca="1">propFD</f>
        <v>2</v>
      </c>
      <c r="M69" s="139"/>
      <c r="N69" s="139"/>
      <c r="O69" s="139"/>
      <c r="P69" s="140"/>
      <c r="Q69" s="187">
        <v>0</v>
      </c>
      <c r="R69" s="173"/>
      <c r="S69" s="163">
        <f ca="1">pseg1FD-1</f>
        <v>2</v>
      </c>
      <c r="T69" s="139"/>
      <c r="U69" s="140"/>
      <c r="V69" s="187">
        <v>0</v>
      </c>
      <c r="W69" s="173"/>
      <c r="X69" s="163">
        <f ca="1">pseg2FD-1</f>
        <v>1</v>
      </c>
      <c r="Y69" s="139"/>
      <c r="Z69" s="164"/>
      <c r="AB69" t="s">
        <v>9</v>
      </c>
      <c r="AC69">
        <v>16</v>
      </c>
    </row>
    <row r="70" spans="10:29" ht="15" customHeight="1">
      <c r="J70" s="34">
        <v>7</v>
      </c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</row>
    <row r="71" spans="10:29" ht="15" customHeight="1" thickBot="1"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B71" t="s">
        <v>8</v>
      </c>
      <c r="AC71">
        <v>2</v>
      </c>
    </row>
    <row r="72" spans="10:29" ht="15" customHeight="1" thickBot="1">
      <c r="J72" s="34"/>
      <c r="K72" s="89" t="str">
        <f ca="1">"CANx_FDCBT = 0x"&amp;DEC2HEX(2^20*M75+2^16*X75+2^10*L79+2^5*S79+X79,8)</f>
        <v>CANx_FDCBT = 0x00010841</v>
      </c>
      <c r="L72" s="90"/>
      <c r="M72" s="90"/>
      <c r="N72" s="90"/>
      <c r="O72" s="90"/>
      <c r="P72" s="90"/>
      <c r="Q72" s="90"/>
      <c r="R72" s="90"/>
      <c r="S72" s="90"/>
      <c r="T72" s="90"/>
      <c r="U72" s="90"/>
      <c r="V72" s="90"/>
      <c r="W72" s="90"/>
      <c r="X72" s="90"/>
      <c r="Y72" s="90"/>
      <c r="Z72" s="91"/>
      <c r="AB72" t="s">
        <v>1</v>
      </c>
      <c r="AC72">
        <v>5</v>
      </c>
    </row>
    <row r="73" spans="10:29" ht="15" customHeight="1">
      <c r="J73" s="34"/>
      <c r="K73" s="5">
        <v>0</v>
      </c>
      <c r="L73" s="6">
        <v>1</v>
      </c>
      <c r="M73" s="6">
        <v>2</v>
      </c>
      <c r="N73" s="6">
        <v>3</v>
      </c>
      <c r="O73" s="6">
        <v>4</v>
      </c>
      <c r="P73" s="6">
        <v>5</v>
      </c>
      <c r="Q73" s="6">
        <v>6</v>
      </c>
      <c r="R73" s="6">
        <v>7</v>
      </c>
      <c r="S73" s="6">
        <v>8</v>
      </c>
      <c r="T73" s="6">
        <v>9</v>
      </c>
      <c r="U73" s="6">
        <v>10</v>
      </c>
      <c r="V73" s="6">
        <v>11</v>
      </c>
      <c r="W73" s="6">
        <v>12</v>
      </c>
      <c r="X73" s="6">
        <v>13</v>
      </c>
      <c r="Y73" s="6">
        <v>14</v>
      </c>
      <c r="Z73" s="7">
        <v>15</v>
      </c>
      <c r="AB73" t="s">
        <v>2</v>
      </c>
      <c r="AC73">
        <v>48</v>
      </c>
    </row>
    <row r="74" spans="10:29" ht="15" customHeight="1">
      <c r="J74" s="34"/>
      <c r="K74" s="147"/>
      <c r="L74" s="149"/>
      <c r="M74" s="143" t="s">
        <v>97</v>
      </c>
      <c r="N74" s="126"/>
      <c r="O74" s="126"/>
      <c r="P74" s="126"/>
      <c r="Q74" s="126"/>
      <c r="R74" s="126"/>
      <c r="S74" s="126"/>
      <c r="T74" s="126"/>
      <c r="U74" s="126"/>
      <c r="V74" s="127"/>
      <c r="W74" s="23"/>
      <c r="X74" s="126" t="s">
        <v>98</v>
      </c>
      <c r="Y74" s="126"/>
      <c r="Z74" s="128"/>
      <c r="AB74" t="s">
        <v>3</v>
      </c>
      <c r="AC74">
        <v>1</v>
      </c>
    </row>
    <row r="75" spans="10:29" ht="15" customHeight="1">
      <c r="J75" s="34"/>
      <c r="K75" s="165">
        <v>0</v>
      </c>
      <c r="L75" s="166"/>
      <c r="M75" s="146">
        <f ca="1">prescFD-1</f>
        <v>0</v>
      </c>
      <c r="N75" s="132"/>
      <c r="O75" s="132"/>
      <c r="P75" s="132"/>
      <c r="Q75" s="132"/>
      <c r="R75" s="132"/>
      <c r="S75" s="132"/>
      <c r="T75" s="132"/>
      <c r="U75" s="132"/>
      <c r="V75" s="162"/>
      <c r="W75" s="31">
        <v>0</v>
      </c>
      <c r="X75" s="132">
        <f ca="1">rjwFD-1</f>
        <v>1</v>
      </c>
      <c r="Y75" s="132"/>
      <c r="Z75" s="133"/>
      <c r="AB75" t="s">
        <v>4</v>
      </c>
      <c r="AC75">
        <v>1024</v>
      </c>
    </row>
    <row r="76" spans="10:29" ht="15" customHeight="1">
      <c r="J76" s="34"/>
      <c r="K76" s="50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2">
        <f>1+U75</f>
        <v>1</v>
      </c>
      <c r="W76" s="51"/>
      <c r="X76" s="53"/>
      <c r="Y76" s="52" t="e">
        <f>1+#REF!</f>
        <v>#REF!</v>
      </c>
      <c r="Z76" s="54"/>
      <c r="AB76" t="s">
        <v>5</v>
      </c>
      <c r="AC76">
        <v>32</v>
      </c>
    </row>
    <row r="77" spans="10:29" ht="15" customHeight="1">
      <c r="J77" s="34"/>
      <c r="K77" s="5">
        <v>16</v>
      </c>
      <c r="L77" s="6">
        <v>17</v>
      </c>
      <c r="M77" s="6">
        <v>18</v>
      </c>
      <c r="N77" s="6">
        <v>19</v>
      </c>
      <c r="O77" s="6">
        <v>20</v>
      </c>
      <c r="P77" s="6">
        <v>21</v>
      </c>
      <c r="Q77" s="6">
        <v>22</v>
      </c>
      <c r="R77" s="6">
        <v>23</v>
      </c>
      <c r="S77" s="6">
        <v>24</v>
      </c>
      <c r="T77" s="6">
        <v>25</v>
      </c>
      <c r="U77" s="6">
        <v>26</v>
      </c>
      <c r="V77" s="6">
        <v>27</v>
      </c>
      <c r="W77" s="6">
        <v>28</v>
      </c>
      <c r="X77" s="6">
        <v>29</v>
      </c>
      <c r="Y77" s="6">
        <v>30</v>
      </c>
      <c r="Z77" s="7">
        <v>31</v>
      </c>
      <c r="AB77" t="s">
        <v>6</v>
      </c>
      <c r="AC77">
        <v>8</v>
      </c>
    </row>
    <row r="78" spans="10:29" ht="15" customHeight="1">
      <c r="J78" s="34"/>
      <c r="K78" s="17"/>
      <c r="L78" s="150" t="s">
        <v>99</v>
      </c>
      <c r="M78" s="135"/>
      <c r="N78" s="135"/>
      <c r="O78" s="135"/>
      <c r="P78" s="136"/>
      <c r="Q78" s="150"/>
      <c r="R78" s="136"/>
      <c r="S78" s="150" t="s">
        <v>100</v>
      </c>
      <c r="T78" s="135"/>
      <c r="U78" s="136"/>
      <c r="V78" s="150"/>
      <c r="W78" s="136"/>
      <c r="X78" s="150" t="s">
        <v>101</v>
      </c>
      <c r="Y78" s="135"/>
      <c r="Z78" s="137"/>
      <c r="AB78" t="s">
        <v>7</v>
      </c>
      <c r="AC78">
        <v>8</v>
      </c>
    </row>
    <row r="79" spans="10:29" ht="15" customHeight="1" thickBot="1">
      <c r="J79" s="34"/>
      <c r="K79" s="10">
        <v>0</v>
      </c>
      <c r="L79" s="163">
        <f ca="1">propFD</f>
        <v>2</v>
      </c>
      <c r="M79" s="139"/>
      <c r="N79" s="139"/>
      <c r="O79" s="139"/>
      <c r="P79" s="140"/>
      <c r="Q79" s="187">
        <v>0</v>
      </c>
      <c r="R79" s="173"/>
      <c r="S79" s="163">
        <f ca="1">pseg1FD-1</f>
        <v>2</v>
      </c>
      <c r="T79" s="139"/>
      <c r="U79" s="140"/>
      <c r="V79" s="187">
        <v>0</v>
      </c>
      <c r="W79" s="173"/>
      <c r="X79" s="163">
        <f ca="1">pseg2FD-1</f>
        <v>1</v>
      </c>
      <c r="Y79" s="139"/>
      <c r="Z79" s="164"/>
      <c r="AB79" t="s">
        <v>9</v>
      </c>
      <c r="AC79">
        <v>8</v>
      </c>
    </row>
    <row r="80" spans="10:29" ht="15" customHeight="1">
      <c r="J80" s="34">
        <v>8</v>
      </c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</row>
    <row r="81" spans="10:29" ht="15" customHeight="1" thickBot="1"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B81" t="s">
        <v>8</v>
      </c>
      <c r="AC81">
        <v>0</v>
      </c>
    </row>
    <row r="82" spans="10:29" ht="15" customHeight="1" thickBot="1">
      <c r="J82" s="34"/>
      <c r="K82" s="89" t="str">
        <f ca="1">"CANx_DBTP = 0x"&amp;DEC2HEX(2^23*S85+2^16*V85+2^8*N89+2^4*S89+W89,8)</f>
        <v>CANx_DBTP = 0x00800411</v>
      </c>
      <c r="L82" s="90"/>
      <c r="M82" s="90"/>
      <c r="N82" s="90"/>
      <c r="O82" s="90"/>
      <c r="P82" s="90"/>
      <c r="Q82" s="90"/>
      <c r="R82" s="90"/>
      <c r="S82" s="90"/>
      <c r="T82" s="90"/>
      <c r="U82" s="90"/>
      <c r="V82" s="90"/>
      <c r="W82" s="90"/>
      <c r="X82" s="90"/>
      <c r="Y82" s="90"/>
      <c r="Z82" s="91"/>
      <c r="AB82" t="s">
        <v>1</v>
      </c>
      <c r="AC82">
        <v>4</v>
      </c>
    </row>
    <row r="83" spans="10:29" ht="15" customHeight="1">
      <c r="J83" s="34"/>
      <c r="K83" s="5">
        <v>0</v>
      </c>
      <c r="L83" s="6">
        <v>1</v>
      </c>
      <c r="M83" s="6">
        <v>2</v>
      </c>
      <c r="N83" s="6">
        <v>3</v>
      </c>
      <c r="O83" s="6">
        <v>4</v>
      </c>
      <c r="P83" s="6">
        <v>5</v>
      </c>
      <c r="Q83" s="6">
        <v>6</v>
      </c>
      <c r="R83" s="6">
        <v>7</v>
      </c>
      <c r="S83" s="6">
        <v>8</v>
      </c>
      <c r="T83" s="6">
        <v>9</v>
      </c>
      <c r="U83" s="6">
        <v>10</v>
      </c>
      <c r="V83" s="6">
        <v>11</v>
      </c>
      <c r="W83" s="6">
        <v>12</v>
      </c>
      <c r="X83" s="6">
        <v>13</v>
      </c>
      <c r="Y83" s="6">
        <v>14</v>
      </c>
      <c r="Z83" s="7">
        <v>15</v>
      </c>
      <c r="AB83" t="s">
        <v>2</v>
      </c>
      <c r="AC83">
        <v>49</v>
      </c>
    </row>
    <row r="84" spans="10:29" ht="15" customHeight="1">
      <c r="J84" s="34"/>
      <c r="K84" s="125"/>
      <c r="L84" s="126"/>
      <c r="M84" s="126"/>
      <c r="N84" s="126"/>
      <c r="O84" s="126"/>
      <c r="P84" s="126"/>
      <c r="Q84" s="126"/>
      <c r="R84" s="127"/>
      <c r="S84" s="26" t="s">
        <v>92</v>
      </c>
      <c r="T84" s="143"/>
      <c r="U84" s="127"/>
      <c r="V84" s="143" t="s">
        <v>155</v>
      </c>
      <c r="W84" s="126"/>
      <c r="X84" s="126"/>
      <c r="Y84" s="126"/>
      <c r="Z84" s="128"/>
      <c r="AB84" t="s">
        <v>3</v>
      </c>
      <c r="AC84">
        <v>1</v>
      </c>
    </row>
    <row r="85" spans="10:29" ht="15" customHeight="1">
      <c r="J85" s="34"/>
      <c r="K85" s="147">
        <v>0</v>
      </c>
      <c r="L85" s="148"/>
      <c r="M85" s="148"/>
      <c r="N85" s="148"/>
      <c r="O85" s="148"/>
      <c r="P85" s="148"/>
      <c r="Q85" s="148"/>
      <c r="R85" s="149"/>
      <c r="S85" s="27">
        <f ca="1">tdc_en</f>
        <v>1</v>
      </c>
      <c r="T85" s="144">
        <v>0</v>
      </c>
      <c r="U85" s="145"/>
      <c r="V85" s="146">
        <f ca="1">prescFD-1</f>
        <v>0</v>
      </c>
      <c r="W85" s="132"/>
      <c r="X85" s="132"/>
      <c r="Y85" s="132"/>
      <c r="Z85" s="133"/>
      <c r="AB85" t="s">
        <v>4</v>
      </c>
      <c r="AC85">
        <v>32</v>
      </c>
    </row>
    <row r="86" spans="10:29" ht="15" customHeight="1">
      <c r="J86" s="34"/>
      <c r="K86" s="50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2">
        <f>1+U85</f>
        <v>1</v>
      </c>
      <c r="W86" s="51"/>
      <c r="X86" s="53"/>
      <c r="Y86" s="52">
        <f>1+X85</f>
        <v>1</v>
      </c>
      <c r="Z86" s="54"/>
      <c r="AB86" t="s">
        <v>5</v>
      </c>
      <c r="AC86">
        <v>16</v>
      </c>
    </row>
    <row r="87" spans="10:29" ht="15" customHeight="1">
      <c r="J87" s="34"/>
      <c r="K87" s="5">
        <v>16</v>
      </c>
      <c r="L87" s="6">
        <v>17</v>
      </c>
      <c r="M87" s="6">
        <v>18</v>
      </c>
      <c r="N87" s="6">
        <v>19</v>
      </c>
      <c r="O87" s="6">
        <v>20</v>
      </c>
      <c r="P87" s="6">
        <v>21</v>
      </c>
      <c r="Q87" s="6">
        <v>22</v>
      </c>
      <c r="R87" s="6">
        <v>23</v>
      </c>
      <c r="S87" s="6">
        <v>24</v>
      </c>
      <c r="T87" s="6">
        <v>25</v>
      </c>
      <c r="U87" s="6">
        <v>26</v>
      </c>
      <c r="V87" s="6">
        <v>27</v>
      </c>
      <c r="W87" s="6">
        <v>28</v>
      </c>
      <c r="X87" s="6">
        <v>29</v>
      </c>
      <c r="Y87" s="6">
        <v>30</v>
      </c>
      <c r="Z87" s="7">
        <v>31</v>
      </c>
      <c r="AB87" t="s">
        <v>6</v>
      </c>
      <c r="AC87">
        <v>16</v>
      </c>
    </row>
    <row r="88" spans="10:29" ht="15" customHeight="1">
      <c r="J88" s="34"/>
      <c r="K88" s="134"/>
      <c r="L88" s="135"/>
      <c r="M88" s="136"/>
      <c r="N88" s="135" t="s">
        <v>156</v>
      </c>
      <c r="O88" s="135"/>
      <c r="P88" s="135"/>
      <c r="Q88" s="135"/>
      <c r="R88" s="136"/>
      <c r="S88" s="150" t="s">
        <v>157</v>
      </c>
      <c r="T88" s="135"/>
      <c r="U88" s="135"/>
      <c r="V88" s="136"/>
      <c r="W88" s="150" t="s">
        <v>158</v>
      </c>
      <c r="X88" s="135"/>
      <c r="Y88" s="135"/>
      <c r="Z88" s="137"/>
      <c r="AB88" t="s">
        <v>7</v>
      </c>
      <c r="AC88">
        <v>16</v>
      </c>
    </row>
    <row r="89" spans="10:29" ht="15" customHeight="1" thickBot="1">
      <c r="J89" s="34"/>
      <c r="K89" s="151">
        <v>0</v>
      </c>
      <c r="L89" s="152"/>
      <c r="M89" s="153"/>
      <c r="N89" s="154">
        <f ca="1">pseg1FD+propFD-1</f>
        <v>4</v>
      </c>
      <c r="O89" s="154"/>
      <c r="P89" s="154"/>
      <c r="Q89" s="154"/>
      <c r="R89" s="155"/>
      <c r="S89" s="156">
        <f ca="1">pseg2FD-1</f>
        <v>1</v>
      </c>
      <c r="T89" s="154"/>
      <c r="U89" s="154"/>
      <c r="V89" s="155"/>
      <c r="W89" s="156">
        <f ca="1">rjwFD-1</f>
        <v>1</v>
      </c>
      <c r="X89" s="154"/>
      <c r="Y89" s="154"/>
      <c r="Z89" s="157"/>
      <c r="AB89" t="s">
        <v>9</v>
      </c>
      <c r="AC89">
        <v>16</v>
      </c>
    </row>
  </sheetData>
  <mergeCells count="117">
    <mergeCell ref="L79:P79"/>
    <mergeCell ref="Q79:R79"/>
    <mergeCell ref="S79:U79"/>
    <mergeCell ref="V79:W79"/>
    <mergeCell ref="X79:Z79"/>
    <mergeCell ref="K48:R48"/>
    <mergeCell ref="K49:R49"/>
    <mergeCell ref="T48:Z48"/>
    <mergeCell ref="T49:Z49"/>
    <mergeCell ref="X78:Z78"/>
    <mergeCell ref="X75:Z75"/>
    <mergeCell ref="K72:Z72"/>
    <mergeCell ref="K74:L74"/>
    <mergeCell ref="M74:V74"/>
    <mergeCell ref="X74:Z74"/>
    <mergeCell ref="K75:L75"/>
    <mergeCell ref="M75:V75"/>
    <mergeCell ref="L78:P78"/>
    <mergeCell ref="Q78:R78"/>
    <mergeCell ref="S78:U78"/>
    <mergeCell ref="V78:W78"/>
    <mergeCell ref="K62:Z62"/>
    <mergeCell ref="W59:X59"/>
    <mergeCell ref="L68:P68"/>
    <mergeCell ref="L69:P69"/>
    <mergeCell ref="Q68:R68"/>
    <mergeCell ref="Q69:R69"/>
    <mergeCell ref="S68:U68"/>
    <mergeCell ref="S69:U69"/>
    <mergeCell ref="V68:W68"/>
    <mergeCell ref="V69:W69"/>
    <mergeCell ref="X68:Z68"/>
    <mergeCell ref="X69:Z69"/>
    <mergeCell ref="T54:U54"/>
    <mergeCell ref="V34:Z34"/>
    <mergeCell ref="V35:Z35"/>
    <mergeCell ref="V54:Z54"/>
    <mergeCell ref="M65:V65"/>
    <mergeCell ref="Y64:Z64"/>
    <mergeCell ref="Y65:Z65"/>
    <mergeCell ref="W64:X64"/>
    <mergeCell ref="K55:M55"/>
    <mergeCell ref="N55:R55"/>
    <mergeCell ref="K59:N59"/>
    <mergeCell ref="O59:R59"/>
    <mergeCell ref="T59:V59"/>
    <mergeCell ref="T55:U55"/>
    <mergeCell ref="V55:Z55"/>
    <mergeCell ref="T58:V58"/>
    <mergeCell ref="W58:X58"/>
    <mergeCell ref="Y58:Z58"/>
    <mergeCell ref="K58:N58"/>
    <mergeCell ref="O58:R58"/>
    <mergeCell ref="K42:Z42"/>
    <mergeCell ref="W65:X65"/>
    <mergeCell ref="K45:Q45"/>
    <mergeCell ref="B9:B10"/>
    <mergeCell ref="K12:Z12"/>
    <mergeCell ref="K14:R14"/>
    <mergeCell ref="S14:T14"/>
    <mergeCell ref="U14:W14"/>
    <mergeCell ref="X14:Z14"/>
    <mergeCell ref="K22:Z22"/>
    <mergeCell ref="K15:R15"/>
    <mergeCell ref="S15:T15"/>
    <mergeCell ref="U15:W15"/>
    <mergeCell ref="X15:Z15"/>
    <mergeCell ref="X18:Z18"/>
    <mergeCell ref="X19:Z19"/>
    <mergeCell ref="Q18:R18"/>
    <mergeCell ref="Q19:R19"/>
    <mergeCell ref="K24:P24"/>
    <mergeCell ref="K25:P25"/>
    <mergeCell ref="Q24:Z24"/>
    <mergeCell ref="Q25:Z25"/>
    <mergeCell ref="K28:L28"/>
    <mergeCell ref="M28:R28"/>
    <mergeCell ref="S28:V28"/>
    <mergeCell ref="K32:Z32"/>
    <mergeCell ref="W28:Z28"/>
    <mergeCell ref="M29:R29"/>
    <mergeCell ref="K29:L29"/>
    <mergeCell ref="K89:M89"/>
    <mergeCell ref="N89:R89"/>
    <mergeCell ref="S89:V89"/>
    <mergeCell ref="W89:Z89"/>
    <mergeCell ref="T85:U85"/>
    <mergeCell ref="V85:Z85"/>
    <mergeCell ref="K85:R85"/>
    <mergeCell ref="K88:M88"/>
    <mergeCell ref="N88:R88"/>
    <mergeCell ref="S88:V88"/>
    <mergeCell ref="W88:Z88"/>
    <mergeCell ref="K82:Z82"/>
    <mergeCell ref="T84:U84"/>
    <mergeCell ref="V84:Z84"/>
    <mergeCell ref="K84:R84"/>
    <mergeCell ref="S29:V29"/>
    <mergeCell ref="W29:Z29"/>
    <mergeCell ref="Y59:Z59"/>
    <mergeCell ref="K52:Z52"/>
    <mergeCell ref="K54:M54"/>
    <mergeCell ref="N54:R54"/>
    <mergeCell ref="L34:U34"/>
    <mergeCell ref="L35:U35"/>
    <mergeCell ref="R44:Z44"/>
    <mergeCell ref="R45:Z45"/>
    <mergeCell ref="K44:Q44"/>
    <mergeCell ref="K38:P38"/>
    <mergeCell ref="K39:P39"/>
    <mergeCell ref="Q38:U38"/>
    <mergeCell ref="Q39:U39"/>
    <mergeCell ref="V38:Z38"/>
    <mergeCell ref="V39:Z39"/>
    <mergeCell ref="K64:L64"/>
    <mergeCell ref="K65:L65"/>
    <mergeCell ref="M64:V64"/>
  </mergeCells>
  <dataValidations disablePrompts="1" count="1">
    <dataValidation type="list" allowBlank="1" showInputMessage="1" showErrorMessage="1" sqref="U15:W15" xr:uid="{00000000-0002-0000-0100-000000000000}">
      <formula1>"0,1,2,3,4,5,6,7"</formula1>
    </dataValidation>
  </dataValidations>
  <pageMargins left="0.7" right="0.7" top="0.75" bottom="0.75" header="0.3" footer="0.3"/>
  <pageSetup paperSize="9" orientation="portrait" r:id="rId1"/>
  <ignoredErrors>
    <ignoredError sqref="K15 S29 S15 U15 X15 X19 W29 K39 Q39 V39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0A7E6-3607-4E45-90A1-19FC79C7C36F}">
  <sheetPr codeName="Sheet4"/>
  <dimension ref="B2:C14"/>
  <sheetViews>
    <sheetView workbookViewId="0">
      <selection activeCell="C8" sqref="C8"/>
    </sheetView>
  </sheetViews>
  <sheetFormatPr defaultRowHeight="15"/>
  <cols>
    <col min="2" max="2" width="21.140625" customWidth="1"/>
  </cols>
  <sheetData>
    <row r="2" spans="2:3">
      <c r="B2" t="s">
        <v>159</v>
      </c>
      <c r="C2">
        <v>80</v>
      </c>
    </row>
    <row r="3" spans="2:3">
      <c r="B3" t="s">
        <v>160</v>
      </c>
      <c r="C3">
        <v>80</v>
      </c>
    </row>
    <row r="4" spans="2:3">
      <c r="B4" t="s">
        <v>162</v>
      </c>
      <c r="C4">
        <v>1000</v>
      </c>
    </row>
    <row r="5" spans="2:3">
      <c r="B5" t="s">
        <v>163</v>
      </c>
      <c r="C5">
        <v>8000</v>
      </c>
    </row>
    <row r="6" spans="2:3">
      <c r="B6" t="s">
        <v>164</v>
      </c>
      <c r="C6">
        <v>8</v>
      </c>
    </row>
    <row r="7" spans="2:3">
      <c r="B7" t="s">
        <v>166</v>
      </c>
      <c r="C7">
        <v>96</v>
      </c>
    </row>
    <row r="9" spans="2:3">
      <c r="B9" t="s">
        <v>161</v>
      </c>
      <c r="C9">
        <f>C2/C4*1000</f>
        <v>80</v>
      </c>
    </row>
    <row r="10" spans="2:3">
      <c r="B10" t="s">
        <v>165</v>
      </c>
      <c r="C10">
        <f>((8.5*C7)+64-(9*C9))/(26+8*C6)</f>
        <v>1.7777777777777777</v>
      </c>
    </row>
    <row r="11" spans="2:3">
      <c r="B11" t="s">
        <v>165</v>
      </c>
      <c r="C11">
        <f>3*(1+C2/C3)</f>
        <v>6</v>
      </c>
    </row>
    <row r="12" spans="2:3">
      <c r="B12" t="s">
        <v>167</v>
      </c>
      <c r="C12">
        <f>MAX(C10,C11)</f>
        <v>6</v>
      </c>
    </row>
    <row r="14" spans="2:3">
      <c r="B14" t="s">
        <v>168</v>
      </c>
      <c r="C14">
        <f>C3/ROUNDUP(C12*C3/C2,0)</f>
        <v>13.333333333333334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27</vt:i4>
      </vt:variant>
    </vt:vector>
  </HeadingPairs>
  <TitlesOfParts>
    <vt:vector size="29" baseType="lpstr">
      <vt:lpstr>Release_Notes</vt:lpstr>
      <vt:lpstr>Calculate_Bit_Timing</vt:lpstr>
      <vt:lpstr>bitrate</vt:lpstr>
      <vt:lpstr>bitrate_fd</vt:lpstr>
      <vt:lpstr>bus_length</vt:lpstr>
      <vt:lpstr>cpiclock</vt:lpstr>
      <vt:lpstr>Device_list</vt:lpstr>
      <vt:lpstr>device1</vt:lpstr>
      <vt:lpstr>presc</vt:lpstr>
      <vt:lpstr>prescFD</vt:lpstr>
      <vt:lpstr>prop</vt:lpstr>
      <vt:lpstr>prop_delay</vt:lpstr>
      <vt:lpstr>propFD</vt:lpstr>
      <vt:lpstr>pseg1</vt:lpstr>
      <vt:lpstr>pseg1FD</vt:lpstr>
      <vt:lpstr>pseg2</vt:lpstr>
      <vt:lpstr>pseg2FD</vt:lpstr>
      <vt:lpstr>recommended</vt:lpstr>
      <vt:lpstr>req_smp</vt:lpstr>
      <vt:lpstr>rjw</vt:lpstr>
      <vt:lpstr>rjwFD</vt:lpstr>
      <vt:lpstr>selected_reg</vt:lpstr>
      <vt:lpstr>selected_regFD</vt:lpstr>
      <vt:lpstr>selrow</vt:lpstr>
      <vt:lpstr>selrowFD</vt:lpstr>
      <vt:lpstr>tdc_en</vt:lpstr>
      <vt:lpstr>tdc_off</vt:lpstr>
      <vt:lpstr>transceiver_list</vt:lpstr>
      <vt:lpstr>transceiver1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Stancik Petr-STNP002</dc:creator>
  <cp:lastModifiedBy>Petr Stancik</cp:lastModifiedBy>
  <dcterms:created xsi:type="dcterms:W3CDTF">2016-09-26T12:06:57Z</dcterms:created>
  <dcterms:modified xsi:type="dcterms:W3CDTF">2019-02-21T13:22:42Z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lay" linkTarget="prop_delay">
    <vt:lpwstr/>
  </property>
</Properties>
</file>